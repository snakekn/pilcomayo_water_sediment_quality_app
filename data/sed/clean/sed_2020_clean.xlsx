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0_clean" sheetId="1" r:id="rId4"/>
  </sheets>
  <definedNames/>
  <calcPr/>
</workbook>
</file>

<file path=xl/sharedStrings.xml><?xml version="1.0" encoding="utf-8"?>
<sst xmlns="http://schemas.openxmlformats.org/spreadsheetml/2006/main" count="315" uniqueCount="148">
  <si>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</si>
  <si>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</si>
  <si>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</si>
  <si>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</si>
  <si>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</si>
  <si>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</si>
  <si>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</si>
  <si>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</si>
  <si>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Average Velocity (m/s)</t>
  </si>
  <si>
    <t>Flow (m3/s)</t>
  </si>
  <si>
    <t>Distance from Bank</t>
  </si>
  <si>
    <t>Conductivity (uS/cm)</t>
  </si>
  <si>
    <t>Apparent Density (g/cm3)</t>
  </si>
  <si>
    <t>Real Density (g/cm3)</t>
  </si>
  <si>
    <t>Moisture (%)</t>
  </si>
  <si>
    <t>Organic Matter (%)</t>
  </si>
  <si>
    <t>pH</t>
  </si>
  <si>
    <t>Sand (%)</t>
  </si>
  <si>
    <t>Silt (%)</t>
  </si>
  <si>
    <t>Clay (%)</t>
  </si>
  <si>
    <t>Textural Classification</t>
  </si>
  <si>
    <t>0.032 mm - No. 450 (ASTM) (%)</t>
  </si>
  <si>
    <t>0.063 mm - No. 230 (ASTM) (%)</t>
  </si>
  <si>
    <t>0.125 mm - No. 120 (ASTM) (%)</t>
  </si>
  <si>
    <t>0.250 mm - No. 060 (ASTM) (%)</t>
  </si>
  <si>
    <t>0.500 mm - No. 035 (ASTM) (%)</t>
  </si>
  <si>
    <t>1.00 mm - No. 018 (ASTM) (%)</t>
  </si>
  <si>
    <t>2.00 mm - No. 010 (ASTM) (%)</t>
  </si>
  <si>
    <t>Residue (%)</t>
  </si>
  <si>
    <t>Sieve Size</t>
  </si>
  <si>
    <t>Aluminum (g/100 g fraction) (% Al)</t>
  </si>
  <si>
    <t>Antimony (mg/kg Sb)</t>
  </si>
  <si>
    <t>Arsenic (mg/kg As)</t>
  </si>
  <si>
    <t>Sulfur (g/100 g fraction) (% S)</t>
  </si>
  <si>
    <t>Barium (mg/kg Ba)</t>
  </si>
  <si>
    <t>Beryllium (mg/kg Be)</t>
  </si>
  <si>
    <t>Bismuth (mg/kg Bi)</t>
  </si>
  <si>
    <t>Boron (mg/kg B)</t>
  </si>
  <si>
    <t>Cadmium (mg/kg Cd)</t>
  </si>
  <si>
    <t>Calcium (g/100 g fraction) (% Ca)</t>
  </si>
  <si>
    <t>Cerium (mg/kg Ce)</t>
  </si>
  <si>
    <t>Cesium (mg/kg Cs)</t>
  </si>
  <si>
    <t>Cobalt (mg/kg Co)</t>
  </si>
  <si>
    <t>Copper (mg/kg Cu)</t>
  </si>
  <si>
    <t>Chromium (mg/kg Cr)</t>
  </si>
  <si>
    <t>Dysprosium (mg/kg Dy)</t>
  </si>
  <si>
    <t>Erbium (mg/kg Er)</t>
  </si>
  <si>
    <t>Scandium (mg/kg Sc)</t>
  </si>
  <si>
    <t>Tin (mg/kg Sn)</t>
  </si>
  <si>
    <t>Strontium (mg/kg Sr)</t>
  </si>
  <si>
    <t>Europium (mg/kg Eu)</t>
  </si>
  <si>
    <t>Phosphorus (g/100 g fraction) (% P)</t>
  </si>
  <si>
    <t>Gadolinium (mg/kg Gd)</t>
  </si>
  <si>
    <t>Gallium (mg/kg Ga)</t>
  </si>
  <si>
    <t>Germanium (mg/kg Ge)</t>
  </si>
  <si>
    <t>Hafnium (mg/kg Hf)</t>
  </si>
  <si>
    <t>Iron (g/100 g fraction) (% Fe)</t>
  </si>
  <si>
    <t>Holmium (mg/kg Ho)</t>
  </si>
  <si>
    <t>Indium (mg/kg In)</t>
  </si>
  <si>
    <t>Ytterbium (mg/kg Yb)</t>
  </si>
  <si>
    <t>Yttrium (mg/kg Y)</t>
  </si>
  <si>
    <t>Lanthanum (mg/kg La)</t>
  </si>
  <si>
    <t>Lithium (mg/kg Li)</t>
  </si>
  <si>
    <t>Lutetium (mg/kg Lu)</t>
  </si>
  <si>
    <t>Magnesium (g/100 g fraction) (% Mg)</t>
  </si>
  <si>
    <t>Manganese (mg/kg Mn)</t>
  </si>
  <si>
    <t>Mercury (ug/kg fraction) (ug/kg Hg)</t>
  </si>
  <si>
    <t>Molybdenum (mg/kg Mo)</t>
  </si>
  <si>
    <t>Neodymium (mg/kg Nd)</t>
  </si>
  <si>
    <t>Niobium (mg/kg Nb)</t>
  </si>
  <si>
    <t>Nickel (mg/kg Ni)</t>
  </si>
  <si>
    <t>Gold (ug/kg fraction) (ug/kg Au)</t>
  </si>
  <si>
    <t>Silver (mg/kg Ag)</t>
  </si>
  <si>
    <t>Lead (mg/kg Pb)</t>
  </si>
  <si>
    <t>Potassium (g/100 g fraction) (% K)</t>
  </si>
  <si>
    <t>Praseodymium (mg/kg Pr)</t>
  </si>
  <si>
    <t>Rhenium (mg/kg Re)</t>
  </si>
  <si>
    <t>Rubidium (mg/kg Rb)</t>
  </si>
  <si>
    <t>Samarium (mg/kg Sm)</t>
  </si>
  <si>
    <t>Selenium (mg/kg Se)</t>
  </si>
  <si>
    <t>Sodium (g/100 g fraction) (% Na)</t>
  </si>
  <si>
    <t>Thallium (mg/kg Tl)</t>
  </si>
  <si>
    <t>Tantalum (mg/kg Ta)</t>
  </si>
  <si>
    <t>Tellurium (mg/kg Te)</t>
  </si>
  <si>
    <t>Terbium (mg/kg Tb)</t>
  </si>
  <si>
    <t>Titanium (g/100 g fraction) (% Ti)</t>
  </si>
  <si>
    <t>Thorium (mg/kg Th)</t>
  </si>
  <si>
    <t>Thulium (mg/kg Tm)</t>
  </si>
  <si>
    <t>Uranium (mg/kg U)</t>
  </si>
  <si>
    <t>Vanadium (mg/kg V)</t>
  </si>
  <si>
    <t>Tungsten (mg/kg W)</t>
  </si>
  <si>
    <t>Zinc (mg/kg Zn)</t>
  </si>
  <si>
    <t>Zirconium (mg/kg Zr)</t>
  </si>
  <si>
    <t>Lat_dd</t>
  </si>
  <si>
    <t>Long_dd</t>
  </si>
  <si>
    <t>Villamontes</t>
  </si>
  <si>
    <t>20/12/2020</t>
  </si>
  <si>
    <t>6:40</t>
  </si>
  <si>
    <t>December 2020</t>
  </si>
  <si>
    <t>DE - CTN</t>
  </si>
  <si>
    <t>Pilcomayo</t>
  </si>
  <si>
    <t>21° 15' 31.92"</t>
  </si>
  <si>
    <t>63° 30' 41.82"</t>
  </si>
  <si>
    <t>Arena</t>
  </si>
  <si>
    <t>&lt;=2.00 mm</t>
  </si>
  <si>
    <t>El Puente</t>
  </si>
  <si>
    <t>17/12/2020</t>
  </si>
  <si>
    <t>11:45</t>
  </si>
  <si>
    <t>San Juan del Oro</t>
  </si>
  <si>
    <t>21° 14' 21.72"</t>
  </si>
  <si>
    <t>65° 12' 31.44"</t>
  </si>
  <si>
    <t>Limo</t>
  </si>
  <si>
    <t>Palca Grande</t>
  </si>
  <si>
    <t>8:47</t>
  </si>
  <si>
    <t>Tumusla</t>
  </si>
  <si>
    <t>20° 44' 32.16"</t>
  </si>
  <si>
    <t>65° 14' 26.04"</t>
  </si>
  <si>
    <t>Franco arenoso</t>
  </si>
  <si>
    <t>0.032 - 0.063 mm</t>
  </si>
  <si>
    <t>0.125 - &lt;2.0 mm</t>
  </si>
  <si>
    <t>Franco limoso</t>
  </si>
  <si>
    <t>Colavi - Canutillos</t>
  </si>
  <si>
    <t>16/12/2020</t>
  </si>
  <si>
    <t>12:55</t>
  </si>
  <si>
    <t>Colavi</t>
  </si>
  <si>
    <t>19° 19' 18.06"</t>
  </si>
  <si>
    <t>65° 33' 7.26"</t>
  </si>
  <si>
    <t>Arenoso franco</t>
  </si>
  <si>
    <t>Tarapaya</t>
  </si>
  <si>
    <t>8:45</t>
  </si>
  <si>
    <t>19° 28' 18.84"</t>
  </si>
  <si>
    <t>65° 47' 39.42"</t>
  </si>
  <si>
    <t>Tacobamba - Agua arriba confluencia Pilcomayo - Tacobamba</t>
  </si>
  <si>
    <t>15/12/2020</t>
  </si>
  <si>
    <t>14:45</t>
  </si>
  <si>
    <t>Tacobamba</t>
  </si>
  <si>
    <t>19° 7' 56.22"</t>
  </si>
  <si>
    <t>65° 34' 11.76"</t>
  </si>
  <si>
    <t>Pilcomayo - Agua arriba confluencia Pilcomayo - Tacobamba</t>
  </si>
  <si>
    <t>13:45</t>
  </si>
  <si>
    <t>19° 7' 56.7"</t>
  </si>
  <si>
    <t>65° 34' 21.48"</t>
  </si>
  <si>
    <t>Misión La Paz - SNIH</t>
  </si>
  <si>
    <t>15/03/2020</t>
  </si>
  <si>
    <t>8:20</t>
  </si>
  <si>
    <t>March 2020</t>
  </si>
  <si>
    <t>22° 22' 41.22"</t>
  </si>
  <si>
    <t>62° 31' 6.9"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</si>
</sst>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3"/>
      <c r="CS1" s="3"/>
    </row>
    <row r="2">
      <c r="A2" s="4" t="s">
        <v>95</v>
      </c>
      <c r="B2" s="5" t="s">
        <v>96</v>
      </c>
      <c r="C2" s="5" t="s">
        <v>97</v>
      </c>
      <c r="D2" s="5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>
        <v>0.49</v>
      </c>
      <c r="J2" s="4">
        <v>64.93</v>
      </c>
      <c r="K2" s="4">
        <v>0.0</v>
      </c>
      <c r="L2" s="4">
        <v>316.0</v>
      </c>
      <c r="M2" s="4">
        <v>1.7</v>
      </c>
      <c r="N2" s="4">
        <v>2.6</v>
      </c>
      <c r="O2" s="4">
        <v>19.66</v>
      </c>
      <c r="P2" s="4">
        <v>0.2</v>
      </c>
      <c r="Q2" s="4">
        <v>8.09</v>
      </c>
      <c r="R2" s="4">
        <v>95.17</v>
      </c>
      <c r="S2" s="4">
        <v>3.83</v>
      </c>
      <c r="T2" s="4">
        <v>1.0</v>
      </c>
      <c r="U2" s="4" t="s">
        <v>103</v>
      </c>
      <c r="V2" s="4">
        <v>3.35</v>
      </c>
      <c r="W2" s="4">
        <v>6.49</v>
      </c>
      <c r="X2" s="4">
        <v>37.91</v>
      </c>
      <c r="Y2" s="4">
        <v>48.72</v>
      </c>
      <c r="Z2" s="4">
        <v>1.08</v>
      </c>
      <c r="AA2" s="4">
        <v>0.07</v>
      </c>
      <c r="AB2" s="4">
        <v>0.23</v>
      </c>
      <c r="AC2" s="4">
        <v>2.15</v>
      </c>
      <c r="AD2" s="4" t="s">
        <v>104</v>
      </c>
      <c r="AE2" s="4">
        <v>0.35</v>
      </c>
      <c r="AF2" s="4">
        <v>0.57</v>
      </c>
      <c r="AG2" s="4">
        <v>6.0</v>
      </c>
      <c r="AH2" s="4">
        <f t="shared" ref="AH2:AH23" si="2">0.5*1</f>
        <v>0.5</v>
      </c>
      <c r="AI2" s="4">
        <v>56.9</v>
      </c>
      <c r="AJ2" s="4">
        <v>0.3</v>
      </c>
      <c r="AK2" s="4">
        <v>1.16</v>
      </c>
      <c r="AL2" s="4">
        <v>5.0</v>
      </c>
      <c r="AM2" s="4">
        <v>0.02</v>
      </c>
      <c r="AN2" s="4">
        <v>0.23</v>
      </c>
      <c r="AO2" s="4">
        <v>12.3</v>
      </c>
      <c r="AP2" s="4">
        <v>0.67</v>
      </c>
      <c r="AQ2" s="4">
        <v>111.0</v>
      </c>
      <c r="AR2" s="4">
        <v>5.9</v>
      </c>
      <c r="AS2" s="4">
        <v>6.0</v>
      </c>
      <c r="AT2" s="4">
        <v>0.6</v>
      </c>
      <c r="AU2" s="4">
        <v>0.2</v>
      </c>
      <c r="AV2" s="4">
        <v>0.8</v>
      </c>
      <c r="AW2" s="4">
        <v>2.34</v>
      </c>
      <c r="AX2" s="4">
        <v>17.1</v>
      </c>
      <c r="AY2" s="4">
        <v>0.2</v>
      </c>
      <c r="AZ2" s="4">
        <v>0.02</v>
      </c>
      <c r="BA2" s="4">
        <v>1.1</v>
      </c>
      <c r="BB2" s="4">
        <v>0.96</v>
      </c>
      <c r="BC2" s="4">
        <f t="shared" ref="BC2:BD2" si="1">0.5*0.1</f>
        <v>0.05</v>
      </c>
      <c r="BD2" s="4">
        <f t="shared" si="1"/>
        <v>0.05</v>
      </c>
      <c r="BE2" s="4">
        <v>0.7</v>
      </c>
      <c r="BF2" s="4">
        <v>0.1</v>
      </c>
      <c r="BG2" s="4">
        <f t="shared" ref="BG2:BG3" si="4">0.5*0.02</f>
        <v>0.01</v>
      </c>
      <c r="BH2" s="4">
        <v>0.2</v>
      </c>
      <c r="BI2" s="4">
        <v>2.83</v>
      </c>
      <c r="BJ2" s="4">
        <v>5.8</v>
      </c>
      <c r="BK2" s="4">
        <v>5.4</v>
      </c>
      <c r="BL2" s="4">
        <f t="shared" ref="BL2:BL23" si="5">0.5*0.1</f>
        <v>0.05</v>
      </c>
      <c r="BM2" s="4">
        <v>0.12</v>
      </c>
      <c r="BN2" s="4">
        <v>98.0</v>
      </c>
      <c r="BO2" s="4">
        <f t="shared" ref="BO2:BO10" si="6">0.5*10</f>
        <v>5</v>
      </c>
      <c r="BP2" s="4">
        <v>0.28</v>
      </c>
      <c r="BQ2" s="4">
        <v>6.11</v>
      </c>
      <c r="BR2" s="4">
        <f t="shared" ref="BR2:BR3" si="7">0.5*0.1</f>
        <v>0.05</v>
      </c>
      <c r="BS2" s="4">
        <v>5.4</v>
      </c>
      <c r="BT2" s="4">
        <v>0.8</v>
      </c>
      <c r="BU2" s="4">
        <v>0.08</v>
      </c>
      <c r="BV2" s="4">
        <v>5.9</v>
      </c>
      <c r="BW2" s="4">
        <v>0.09</v>
      </c>
      <c r="BX2" s="4">
        <v>1.5</v>
      </c>
      <c r="BY2" s="4">
        <f t="shared" ref="BY2:BY3" si="8">0.5*0.001</f>
        <v>0.0005</v>
      </c>
      <c r="BZ2" s="4">
        <v>4.9</v>
      </c>
      <c r="CA2" s="4">
        <v>1.4</v>
      </c>
      <c r="CB2" s="4">
        <v>0.7</v>
      </c>
      <c r="CC2" s="4">
        <v>0.044</v>
      </c>
      <c r="CD2" s="4">
        <v>0.04</v>
      </c>
      <c r="CE2" s="4">
        <f t="shared" ref="CE2:CE23" si="9">0.5*0.05</f>
        <v>0.025</v>
      </c>
      <c r="CF2" s="4">
        <f t="shared" ref="CF2:CF6" si="10">0.5*0.02</f>
        <v>0.01</v>
      </c>
      <c r="CG2" s="4">
        <v>0.1</v>
      </c>
      <c r="CH2" s="4">
        <v>0.006</v>
      </c>
      <c r="CI2" s="4">
        <v>1.7</v>
      </c>
      <c r="CJ2" s="4">
        <f t="shared" ref="CJ2:CJ11" si="11">0.5*0.1</f>
        <v>0.05</v>
      </c>
      <c r="CK2" s="4">
        <v>0.2</v>
      </c>
      <c r="CL2" s="4">
        <v>11.0</v>
      </c>
      <c r="CM2" s="4">
        <v>66.5</v>
      </c>
      <c r="CN2" s="4">
        <v>22.8</v>
      </c>
      <c r="CO2" s="4">
        <v>1.2</v>
      </c>
      <c r="CP2" s="4">
        <v>-21.258867</v>
      </c>
      <c r="CQ2" s="4">
        <v>-63.511617</v>
      </c>
    </row>
    <row r="3">
      <c r="A3" s="4" t="s">
        <v>95</v>
      </c>
      <c r="B3" s="5" t="s">
        <v>96</v>
      </c>
      <c r="C3" s="5" t="s">
        <v>97</v>
      </c>
      <c r="D3" s="5" t="s">
        <v>98</v>
      </c>
      <c r="E3" s="4" t="s">
        <v>99</v>
      </c>
      <c r="F3" s="4" t="s">
        <v>100</v>
      </c>
      <c r="G3" s="4" t="s">
        <v>101</v>
      </c>
      <c r="H3" s="4" t="s">
        <v>102</v>
      </c>
      <c r="I3" s="4">
        <v>0.49</v>
      </c>
      <c r="J3" s="4">
        <v>64.93</v>
      </c>
      <c r="K3" s="4">
        <v>1.0</v>
      </c>
      <c r="L3" s="4">
        <v>275.0</v>
      </c>
      <c r="M3" s="4">
        <v>1.7</v>
      </c>
      <c r="N3" s="4">
        <v>2.6</v>
      </c>
      <c r="O3" s="4">
        <v>18.06</v>
      </c>
      <c r="P3" s="4">
        <v>0.2</v>
      </c>
      <c r="Q3" s="4">
        <v>8.04</v>
      </c>
      <c r="R3" s="4">
        <v>95.32</v>
      </c>
      <c r="S3" s="4">
        <v>3.68</v>
      </c>
      <c r="T3" s="4">
        <v>1.0</v>
      </c>
      <c r="U3" s="4" t="s">
        <v>103</v>
      </c>
      <c r="V3" s="4">
        <v>3.16</v>
      </c>
      <c r="W3" s="4">
        <v>9.96</v>
      </c>
      <c r="X3" s="4">
        <v>35.72</v>
      </c>
      <c r="Y3" s="4">
        <v>46.73</v>
      </c>
      <c r="Z3" s="4">
        <v>2.15</v>
      </c>
      <c r="AA3" s="4">
        <v>0.09</v>
      </c>
      <c r="AB3" s="4">
        <v>0.13</v>
      </c>
      <c r="AC3" s="4">
        <v>2.06</v>
      </c>
      <c r="AD3" s="4" t="s">
        <v>104</v>
      </c>
      <c r="AE3" s="4">
        <v>0.49</v>
      </c>
      <c r="AF3" s="4">
        <v>0.63</v>
      </c>
      <c r="AG3" s="4">
        <v>11.0</v>
      </c>
      <c r="AH3" s="4">
        <f t="shared" si="2"/>
        <v>0.5</v>
      </c>
      <c r="AI3" s="4">
        <v>75.0</v>
      </c>
      <c r="AJ3" s="4">
        <v>0.3</v>
      </c>
      <c r="AK3" s="4">
        <v>0.33</v>
      </c>
      <c r="AL3" s="4">
        <v>5.0</v>
      </c>
      <c r="AM3" s="4">
        <v>0.05</v>
      </c>
      <c r="AN3" s="4">
        <v>0.27</v>
      </c>
      <c r="AO3" s="4">
        <v>17.0</v>
      </c>
      <c r="AP3" s="4">
        <v>0.93</v>
      </c>
      <c r="AQ3" s="4">
        <v>114.0</v>
      </c>
      <c r="AR3" s="4">
        <v>6.1</v>
      </c>
      <c r="AS3" s="4">
        <v>6.0</v>
      </c>
      <c r="AT3" s="4">
        <v>0.7</v>
      </c>
      <c r="AU3" s="4">
        <v>0.3</v>
      </c>
      <c r="AV3" s="4">
        <v>1.1</v>
      </c>
      <c r="AW3" s="4">
        <v>1.04</v>
      </c>
      <c r="AX3" s="4">
        <v>21.5</v>
      </c>
      <c r="AY3" s="4">
        <v>0.3</v>
      </c>
      <c r="AZ3" s="4">
        <v>0.023</v>
      </c>
      <c r="BA3" s="4">
        <v>1.4</v>
      </c>
      <c r="BB3" s="4">
        <v>1.22</v>
      </c>
      <c r="BC3" s="4">
        <f t="shared" ref="BC3:BD3" si="3">0.5*0.1</f>
        <v>0.05</v>
      </c>
      <c r="BD3" s="4">
        <f t="shared" si="3"/>
        <v>0.05</v>
      </c>
      <c r="BE3" s="4">
        <v>0.9</v>
      </c>
      <c r="BF3" s="4">
        <v>0.1</v>
      </c>
      <c r="BG3" s="4">
        <f t="shared" si="4"/>
        <v>0.01</v>
      </c>
      <c r="BH3" s="4">
        <v>0.2</v>
      </c>
      <c r="BI3" s="4">
        <v>3.51</v>
      </c>
      <c r="BJ3" s="4">
        <v>7.9</v>
      </c>
      <c r="BK3" s="4">
        <v>6.2</v>
      </c>
      <c r="BL3" s="4">
        <f t="shared" si="5"/>
        <v>0.05</v>
      </c>
      <c r="BM3" s="4">
        <v>0.15</v>
      </c>
      <c r="BN3" s="4">
        <v>114.0</v>
      </c>
      <c r="BO3" s="4">
        <f t="shared" si="6"/>
        <v>5</v>
      </c>
      <c r="BP3" s="4">
        <v>0.29</v>
      </c>
      <c r="BQ3" s="4">
        <v>8.57</v>
      </c>
      <c r="BR3" s="4">
        <f t="shared" si="7"/>
        <v>0.05</v>
      </c>
      <c r="BS3" s="4">
        <v>5.4</v>
      </c>
      <c r="BT3" s="4">
        <v>2.5</v>
      </c>
      <c r="BU3" s="4">
        <v>0.049</v>
      </c>
      <c r="BV3" s="4">
        <v>7.2</v>
      </c>
      <c r="BW3" s="4">
        <v>0.13</v>
      </c>
      <c r="BX3" s="4">
        <v>2.0</v>
      </c>
      <c r="BY3" s="4">
        <f t="shared" si="8"/>
        <v>0.0005</v>
      </c>
      <c r="BZ3" s="4">
        <v>6.9</v>
      </c>
      <c r="CA3" s="4">
        <v>1.7</v>
      </c>
      <c r="CB3" s="4">
        <v>0.9</v>
      </c>
      <c r="CC3" s="4">
        <v>0.058</v>
      </c>
      <c r="CD3" s="4">
        <v>0.05</v>
      </c>
      <c r="CE3" s="4">
        <f t="shared" si="9"/>
        <v>0.025</v>
      </c>
      <c r="CF3" s="4">
        <f t="shared" si="10"/>
        <v>0.01</v>
      </c>
      <c r="CG3" s="4">
        <v>0.2</v>
      </c>
      <c r="CH3" s="4">
        <v>0.011</v>
      </c>
      <c r="CI3" s="4">
        <v>2.1</v>
      </c>
      <c r="CJ3" s="4">
        <f t="shared" si="11"/>
        <v>0.05</v>
      </c>
      <c r="CK3" s="4">
        <v>0.3</v>
      </c>
      <c r="CL3" s="4">
        <v>18.0</v>
      </c>
      <c r="CM3" s="4">
        <v>81.4</v>
      </c>
      <c r="CN3" s="4">
        <v>22.6</v>
      </c>
      <c r="CO3" s="4">
        <v>1.9</v>
      </c>
      <c r="CP3" s="4">
        <v>-21.258867</v>
      </c>
      <c r="CQ3" s="4">
        <v>-63.511617</v>
      </c>
    </row>
    <row r="4">
      <c r="A4" s="4" t="s">
        <v>105</v>
      </c>
      <c r="B4" s="5" t="s">
        <v>106</v>
      </c>
      <c r="C4" s="5" t="s">
        <v>107</v>
      </c>
      <c r="D4" s="5" t="s">
        <v>98</v>
      </c>
      <c r="E4" s="4" t="s">
        <v>99</v>
      </c>
      <c r="F4" s="4" t="s">
        <v>108</v>
      </c>
      <c r="G4" s="4" t="s">
        <v>109</v>
      </c>
      <c r="H4" s="4" t="s">
        <v>110</v>
      </c>
      <c r="I4" s="4">
        <v>0.14</v>
      </c>
      <c r="J4" s="4">
        <v>0.531</v>
      </c>
      <c r="K4" s="4">
        <v>0.0</v>
      </c>
      <c r="L4" s="4">
        <v>1131.0</v>
      </c>
      <c r="M4" s="4">
        <v>1.24</v>
      </c>
      <c r="N4" s="4">
        <v>2.52</v>
      </c>
      <c r="O4" s="4">
        <v>41.79</v>
      </c>
      <c r="P4" s="4">
        <v>2.44</v>
      </c>
      <c r="Q4" s="4">
        <v>8.1</v>
      </c>
      <c r="R4" s="4">
        <v>12.33</v>
      </c>
      <c r="S4" s="4">
        <v>85.67</v>
      </c>
      <c r="T4" s="4">
        <v>2.0</v>
      </c>
      <c r="U4" s="4" t="s">
        <v>111</v>
      </c>
      <c r="V4" s="4">
        <v>9.98</v>
      </c>
      <c r="W4" s="4">
        <v>8.93</v>
      </c>
      <c r="X4" s="4">
        <v>2.12</v>
      </c>
      <c r="Y4" s="4">
        <v>0.86</v>
      </c>
      <c r="Z4" s="4">
        <v>0.45</v>
      </c>
      <c r="AA4" s="4">
        <v>0.0</v>
      </c>
      <c r="AB4" s="4">
        <v>0.0</v>
      </c>
      <c r="AC4" s="4">
        <v>77.66</v>
      </c>
      <c r="AD4" s="4" t="s">
        <v>104</v>
      </c>
      <c r="AE4" s="4">
        <v>1.79</v>
      </c>
      <c r="AF4" s="4">
        <v>1.52</v>
      </c>
      <c r="AG4" s="4">
        <v>17.6</v>
      </c>
      <c r="AH4" s="4">
        <f t="shared" si="2"/>
        <v>0.5</v>
      </c>
      <c r="AI4" s="4">
        <v>217.0</v>
      </c>
      <c r="AJ4" s="4">
        <v>1.0</v>
      </c>
      <c r="AK4" s="4">
        <v>1.18</v>
      </c>
      <c r="AL4" s="4">
        <v>24.0</v>
      </c>
      <c r="AM4" s="4">
        <v>0.38</v>
      </c>
      <c r="AN4" s="4">
        <v>1.29</v>
      </c>
      <c r="AO4" s="4">
        <v>34.0</v>
      </c>
      <c r="AP4" s="4">
        <v>5.95</v>
      </c>
      <c r="AQ4" s="4">
        <v>41.7</v>
      </c>
      <c r="AR4" s="4">
        <v>24.7</v>
      </c>
      <c r="AS4" s="4">
        <v>21.0</v>
      </c>
      <c r="AT4" s="4">
        <v>2.0</v>
      </c>
      <c r="AU4" s="4">
        <v>0.9</v>
      </c>
      <c r="AV4" s="4">
        <v>3.5</v>
      </c>
      <c r="AW4" s="4">
        <v>1.9</v>
      </c>
      <c r="AX4" s="4">
        <v>110.0</v>
      </c>
      <c r="AY4" s="4">
        <v>0.7</v>
      </c>
      <c r="AZ4" s="4">
        <v>0.046</v>
      </c>
      <c r="BA4" s="4">
        <v>3.5</v>
      </c>
      <c r="BB4" s="4">
        <v>3.66</v>
      </c>
      <c r="BC4" s="4">
        <f t="shared" ref="BC4:BC23" si="12">0.5*0.1</f>
        <v>0.05</v>
      </c>
      <c r="BD4" s="4">
        <v>0.1</v>
      </c>
      <c r="BE4" s="4">
        <v>2.57</v>
      </c>
      <c r="BF4" s="4">
        <v>0.4</v>
      </c>
      <c r="BG4" s="4">
        <v>0.06</v>
      </c>
      <c r="BH4" s="4">
        <v>0.6</v>
      </c>
      <c r="BI4" s="4">
        <v>8.69</v>
      </c>
      <c r="BJ4" s="4">
        <v>16.3</v>
      </c>
      <c r="BK4" s="4">
        <v>30.1</v>
      </c>
      <c r="BL4" s="4">
        <f t="shared" si="5"/>
        <v>0.05</v>
      </c>
      <c r="BM4" s="4">
        <v>0.59</v>
      </c>
      <c r="BN4" s="4">
        <v>438.0</v>
      </c>
      <c r="BO4" s="4">
        <f t="shared" si="6"/>
        <v>5</v>
      </c>
      <c r="BP4" s="4">
        <v>0.98</v>
      </c>
      <c r="BQ4" s="4">
        <v>17.4</v>
      </c>
      <c r="BR4" s="4">
        <v>1.1</v>
      </c>
      <c r="BS4" s="4">
        <v>26.2</v>
      </c>
      <c r="BT4" s="4">
        <f t="shared" ref="BT4:BT6" si="13">0.5*0.5</f>
        <v>0.25</v>
      </c>
      <c r="BU4" s="4">
        <v>0.18</v>
      </c>
      <c r="BV4" s="4">
        <v>30.9</v>
      </c>
      <c r="BW4" s="4">
        <v>0.41</v>
      </c>
      <c r="BX4" s="4">
        <v>4.1</v>
      </c>
      <c r="BY4" s="4">
        <v>0.001</v>
      </c>
      <c r="BZ4" s="4">
        <v>26.4</v>
      </c>
      <c r="CA4" s="4">
        <v>3.9</v>
      </c>
      <c r="CB4" s="4">
        <v>1.2</v>
      </c>
      <c r="CC4" s="4">
        <v>0.118</v>
      </c>
      <c r="CD4" s="4">
        <v>0.25</v>
      </c>
      <c r="CE4" s="4">
        <f t="shared" si="9"/>
        <v>0.025</v>
      </c>
      <c r="CF4" s="4">
        <f t="shared" si="10"/>
        <v>0.01</v>
      </c>
      <c r="CG4" s="4">
        <v>0.4</v>
      </c>
      <c r="CH4" s="4">
        <v>0.039</v>
      </c>
      <c r="CI4" s="4">
        <v>5.4</v>
      </c>
      <c r="CJ4" s="4">
        <f t="shared" si="11"/>
        <v>0.05</v>
      </c>
      <c r="CK4" s="4">
        <v>1.2</v>
      </c>
      <c r="CL4" s="4">
        <v>35.0</v>
      </c>
      <c r="CM4" s="4">
        <f t="shared" ref="CM4:CM5" si="14">1.5*200</f>
        <v>300</v>
      </c>
      <c r="CN4" s="4">
        <v>129.0</v>
      </c>
      <c r="CO4" s="4">
        <v>4.9</v>
      </c>
      <c r="CP4" s="4">
        <v>-21.239367</v>
      </c>
      <c r="CQ4" s="4">
        <v>-65.208733</v>
      </c>
    </row>
    <row r="5">
      <c r="A5" s="4" t="s">
        <v>105</v>
      </c>
      <c r="B5" s="5" t="s">
        <v>106</v>
      </c>
      <c r="C5" s="5" t="s">
        <v>107</v>
      </c>
      <c r="D5" s="5" t="s">
        <v>98</v>
      </c>
      <c r="E5" s="4" t="s">
        <v>99</v>
      </c>
      <c r="F5" s="4" t="s">
        <v>108</v>
      </c>
      <c r="G5" s="4" t="s">
        <v>109</v>
      </c>
      <c r="H5" s="4" t="s">
        <v>110</v>
      </c>
      <c r="I5" s="4">
        <v>0.14</v>
      </c>
      <c r="J5" s="4">
        <v>0.531</v>
      </c>
      <c r="K5" s="4">
        <v>1.0</v>
      </c>
      <c r="L5" s="4">
        <v>832.0</v>
      </c>
      <c r="M5" s="4">
        <v>2.77</v>
      </c>
      <c r="N5" s="4">
        <v>2.63</v>
      </c>
      <c r="O5" s="4">
        <v>18.65</v>
      </c>
      <c r="P5" s="4">
        <v>0.35</v>
      </c>
      <c r="Q5" s="4">
        <v>8.3</v>
      </c>
      <c r="R5" s="4">
        <v>93.18</v>
      </c>
      <c r="S5" s="4">
        <v>5.82</v>
      </c>
      <c r="T5" s="4">
        <v>1.0</v>
      </c>
      <c r="U5" s="4" t="s">
        <v>103</v>
      </c>
      <c r="V5" s="4">
        <v>2.24</v>
      </c>
      <c r="W5" s="4">
        <v>8.15</v>
      </c>
      <c r="X5" s="4">
        <v>42.29</v>
      </c>
      <c r="Y5" s="4">
        <v>33.91</v>
      </c>
      <c r="Z5" s="4">
        <v>4.95</v>
      </c>
      <c r="AA5" s="4">
        <v>0.75</v>
      </c>
      <c r="AB5" s="4">
        <v>1.92</v>
      </c>
      <c r="AC5" s="4">
        <v>5.79</v>
      </c>
      <c r="AD5" s="4" t="s">
        <v>104</v>
      </c>
      <c r="AE5" s="4">
        <v>1.48</v>
      </c>
      <c r="AF5" s="4">
        <v>2.05</v>
      </c>
      <c r="AG5" s="4">
        <v>12.3</v>
      </c>
      <c r="AH5" s="4">
        <f t="shared" si="2"/>
        <v>0.5</v>
      </c>
      <c r="AI5" s="4">
        <v>169.0</v>
      </c>
      <c r="AJ5" s="4">
        <v>0.9</v>
      </c>
      <c r="AK5" s="4">
        <v>0.43</v>
      </c>
      <c r="AL5" s="4">
        <v>12.0</v>
      </c>
      <c r="AM5" s="4">
        <v>0.2</v>
      </c>
      <c r="AN5" s="4">
        <v>0.76</v>
      </c>
      <c r="AO5" s="4">
        <v>43.5</v>
      </c>
      <c r="AP5" s="4">
        <v>4.12</v>
      </c>
      <c r="AQ5" s="4">
        <v>58.9</v>
      </c>
      <c r="AR5" s="4">
        <v>15.9</v>
      </c>
      <c r="AS5" s="4">
        <v>17.0</v>
      </c>
      <c r="AT5" s="4">
        <v>1.6</v>
      </c>
      <c r="AU5" s="4">
        <v>0.6</v>
      </c>
      <c r="AV5" s="4">
        <v>2.2</v>
      </c>
      <c r="AW5" s="4">
        <v>1.02</v>
      </c>
      <c r="AX5" s="4">
        <v>71.2</v>
      </c>
      <c r="AY5" s="4">
        <v>0.7</v>
      </c>
      <c r="AZ5" s="4">
        <v>0.046</v>
      </c>
      <c r="BA5" s="4">
        <v>3.0</v>
      </c>
      <c r="BB5" s="4">
        <v>3.52</v>
      </c>
      <c r="BC5" s="4">
        <f t="shared" si="12"/>
        <v>0.05</v>
      </c>
      <c r="BD5" s="4">
        <v>0.1</v>
      </c>
      <c r="BE5" s="4">
        <v>2.39</v>
      </c>
      <c r="BF5" s="4">
        <v>0.3</v>
      </c>
      <c r="BG5" s="4">
        <v>0.03</v>
      </c>
      <c r="BH5" s="4">
        <v>0.4</v>
      </c>
      <c r="BI5" s="4">
        <v>6.2</v>
      </c>
      <c r="BJ5" s="4">
        <v>22.2</v>
      </c>
      <c r="BK5" s="4">
        <v>20.5</v>
      </c>
      <c r="BL5" s="4">
        <f t="shared" si="5"/>
        <v>0.05</v>
      </c>
      <c r="BM5" s="4">
        <v>0.36</v>
      </c>
      <c r="BN5" s="4">
        <v>224.0</v>
      </c>
      <c r="BO5" s="4">
        <f t="shared" si="6"/>
        <v>5</v>
      </c>
      <c r="BP5" s="4">
        <v>0.9</v>
      </c>
      <c r="BQ5" s="4">
        <v>21.4</v>
      </c>
      <c r="BR5" s="4">
        <v>0.4</v>
      </c>
      <c r="BS5" s="4">
        <v>17.3</v>
      </c>
      <c r="BT5" s="4">
        <f t="shared" si="13"/>
        <v>0.25</v>
      </c>
      <c r="BU5" s="4">
        <v>0.071</v>
      </c>
      <c r="BV5" s="4">
        <v>20.0</v>
      </c>
      <c r="BW5" s="4">
        <v>0.29</v>
      </c>
      <c r="BX5" s="4">
        <v>5.3</v>
      </c>
      <c r="BY5" s="4">
        <f t="shared" ref="BY5:BY11" si="15">0.5*0.001</f>
        <v>0.0005</v>
      </c>
      <c r="BZ5" s="4">
        <v>17.3</v>
      </c>
      <c r="CA5" s="4">
        <v>4.1</v>
      </c>
      <c r="CB5" s="4">
        <v>0.9</v>
      </c>
      <c r="CC5" s="4">
        <v>0.133</v>
      </c>
      <c r="CD5" s="4">
        <v>0.14</v>
      </c>
      <c r="CE5" s="4">
        <f t="shared" si="9"/>
        <v>0.025</v>
      </c>
      <c r="CF5" s="4">
        <f t="shared" si="10"/>
        <v>0.01</v>
      </c>
      <c r="CG5" s="4">
        <v>0.3</v>
      </c>
      <c r="CH5" s="4">
        <v>0.021</v>
      </c>
      <c r="CI5" s="4">
        <v>5.5</v>
      </c>
      <c r="CJ5" s="4">
        <f t="shared" si="11"/>
        <v>0.05</v>
      </c>
      <c r="CK5" s="4">
        <v>0.7</v>
      </c>
      <c r="CL5" s="4">
        <v>26.0</v>
      </c>
      <c r="CM5" s="4">
        <f t="shared" si="14"/>
        <v>300</v>
      </c>
      <c r="CN5" s="4">
        <v>93.1</v>
      </c>
      <c r="CO5" s="4">
        <v>3.9</v>
      </c>
      <c r="CP5" s="4">
        <v>-21.239367</v>
      </c>
      <c r="CQ5" s="4">
        <v>-65.208733</v>
      </c>
    </row>
    <row r="6">
      <c r="A6" s="4" t="s">
        <v>112</v>
      </c>
      <c r="B6" s="5" t="s">
        <v>106</v>
      </c>
      <c r="C6" s="5" t="s">
        <v>113</v>
      </c>
      <c r="D6" s="5" t="s">
        <v>98</v>
      </c>
      <c r="E6" s="4" t="s">
        <v>99</v>
      </c>
      <c r="F6" s="4" t="s">
        <v>114</v>
      </c>
      <c r="G6" s="4" t="s">
        <v>115</v>
      </c>
      <c r="H6" s="4" t="s">
        <v>116</v>
      </c>
      <c r="I6" s="4">
        <v>0.407</v>
      </c>
      <c r="J6" s="4">
        <v>3.77</v>
      </c>
      <c r="K6" s="4">
        <v>0.0</v>
      </c>
      <c r="L6" s="4">
        <v>720.0</v>
      </c>
      <c r="M6" s="4">
        <v>1.62</v>
      </c>
      <c r="N6" s="4">
        <v>2.65</v>
      </c>
      <c r="O6" s="4">
        <v>28.97</v>
      </c>
      <c r="P6" s="4">
        <v>0.7</v>
      </c>
      <c r="Q6" s="4">
        <v>8.2</v>
      </c>
      <c r="R6" s="4">
        <v>50.02</v>
      </c>
      <c r="S6" s="4">
        <v>47.48</v>
      </c>
      <c r="T6" s="4">
        <v>2.5</v>
      </c>
      <c r="U6" s="4" t="s">
        <v>117</v>
      </c>
      <c r="V6" s="4">
        <v>9.12</v>
      </c>
      <c r="W6" s="4">
        <v>13.21</v>
      </c>
      <c r="X6" s="4">
        <v>23.66</v>
      </c>
      <c r="Y6" s="4">
        <v>11.25</v>
      </c>
      <c r="Z6" s="4">
        <v>0.21</v>
      </c>
      <c r="AA6" s="4">
        <v>0.0</v>
      </c>
      <c r="AB6" s="4">
        <v>0.0</v>
      </c>
      <c r="AC6" s="4">
        <v>42.55</v>
      </c>
      <c r="AD6" s="4" t="s">
        <v>118</v>
      </c>
      <c r="AE6" s="4">
        <v>1.18</v>
      </c>
      <c r="AF6" s="4">
        <v>7.87</v>
      </c>
      <c r="AG6" s="4">
        <v>31.4</v>
      </c>
      <c r="AH6" s="4">
        <f t="shared" si="2"/>
        <v>0.5</v>
      </c>
      <c r="AI6" s="4">
        <v>225.0</v>
      </c>
      <c r="AJ6" s="4">
        <v>1.0</v>
      </c>
      <c r="AK6" s="4">
        <v>1.83</v>
      </c>
      <c r="AL6" s="4">
        <v>20.0</v>
      </c>
      <c r="AM6" s="4">
        <v>0.13</v>
      </c>
      <c r="AN6" s="4">
        <v>0.06</v>
      </c>
      <c r="AO6" s="4">
        <v>13.3</v>
      </c>
      <c r="AP6" s="4">
        <v>10.5</v>
      </c>
      <c r="AQ6" s="4">
        <v>70.9</v>
      </c>
      <c r="AR6" s="4">
        <v>87.2</v>
      </c>
      <c r="AS6" s="4">
        <v>12.0</v>
      </c>
      <c r="AT6" s="4">
        <v>0.8</v>
      </c>
      <c r="AU6" s="4">
        <v>0.3</v>
      </c>
      <c r="AV6" s="4">
        <v>3.1</v>
      </c>
      <c r="AW6" s="4">
        <v>3.35</v>
      </c>
      <c r="AX6" s="4">
        <v>21.7</v>
      </c>
      <c r="AY6" s="4">
        <v>0.3</v>
      </c>
      <c r="AZ6" s="4">
        <v>0.024</v>
      </c>
      <c r="BA6" s="4">
        <v>1.4</v>
      </c>
      <c r="BB6" s="4">
        <v>2.32</v>
      </c>
      <c r="BC6" s="4">
        <f t="shared" si="12"/>
        <v>0.05</v>
      </c>
      <c r="BD6" s="4">
        <f t="shared" ref="BD6:BD10" si="16">0.5*0.1</f>
        <v>0.05</v>
      </c>
      <c r="BE6" s="4">
        <v>2.87</v>
      </c>
      <c r="BF6" s="4">
        <v>0.1</v>
      </c>
      <c r="BG6" s="4">
        <v>0.74</v>
      </c>
      <c r="BH6" s="4">
        <v>0.2</v>
      </c>
      <c r="BI6" s="4">
        <v>3.25</v>
      </c>
      <c r="BJ6" s="4">
        <v>6.2</v>
      </c>
      <c r="BK6" s="4">
        <v>9.8</v>
      </c>
      <c r="BL6" s="4">
        <f t="shared" si="5"/>
        <v>0.05</v>
      </c>
      <c r="BM6" s="4">
        <v>0.11</v>
      </c>
      <c r="BN6" s="4">
        <v>464.0</v>
      </c>
      <c r="BO6" s="4">
        <f t="shared" si="6"/>
        <v>5</v>
      </c>
      <c r="BP6" s="4">
        <v>0.47</v>
      </c>
      <c r="BQ6" s="4">
        <v>6.41</v>
      </c>
      <c r="BR6" s="4">
        <v>0.2</v>
      </c>
      <c r="BS6" s="4">
        <v>8.3</v>
      </c>
      <c r="BT6" s="4">
        <f t="shared" si="13"/>
        <v>0.25</v>
      </c>
      <c r="BU6" s="4">
        <v>0.756</v>
      </c>
      <c r="BV6" s="4">
        <v>26.7</v>
      </c>
      <c r="BW6" s="4">
        <v>0.41</v>
      </c>
      <c r="BX6" s="4">
        <v>1.5</v>
      </c>
      <c r="BY6" s="4">
        <f t="shared" si="15"/>
        <v>0.0005</v>
      </c>
      <c r="BZ6" s="4">
        <v>23.0</v>
      </c>
      <c r="CA6" s="4">
        <v>1.4</v>
      </c>
      <c r="CB6" s="4">
        <v>1.3</v>
      </c>
      <c r="CC6" s="4">
        <v>0.037</v>
      </c>
      <c r="CD6" s="4">
        <v>0.19</v>
      </c>
      <c r="CE6" s="4">
        <f t="shared" si="9"/>
        <v>0.025</v>
      </c>
      <c r="CF6" s="4">
        <f t="shared" si="10"/>
        <v>0.01</v>
      </c>
      <c r="CG6" s="4">
        <v>0.2</v>
      </c>
      <c r="CH6" s="4">
        <v>0.004</v>
      </c>
      <c r="CI6" s="4">
        <v>3.1</v>
      </c>
      <c r="CJ6" s="4">
        <f t="shared" si="11"/>
        <v>0.05</v>
      </c>
      <c r="CK6" s="4">
        <v>0.8</v>
      </c>
      <c r="CL6" s="4">
        <v>15.0</v>
      </c>
      <c r="CM6" s="4">
        <v>146.0</v>
      </c>
      <c r="CN6" s="4">
        <v>98.2</v>
      </c>
      <c r="CO6" s="4">
        <v>1.2</v>
      </c>
      <c r="CP6" s="4">
        <v>-20.742267</v>
      </c>
      <c r="CQ6" s="4">
        <v>-65.240567</v>
      </c>
    </row>
    <row r="7">
      <c r="A7" s="4" t="s">
        <v>112</v>
      </c>
      <c r="B7" s="5" t="s">
        <v>106</v>
      </c>
      <c r="C7" s="5" t="s">
        <v>113</v>
      </c>
      <c r="D7" s="5" t="s">
        <v>98</v>
      </c>
      <c r="E7" s="4" t="s">
        <v>99</v>
      </c>
      <c r="F7" s="4" t="s">
        <v>114</v>
      </c>
      <c r="G7" s="4" t="s">
        <v>115</v>
      </c>
      <c r="H7" s="4" t="s">
        <v>116</v>
      </c>
      <c r="I7" s="4">
        <v>0.407</v>
      </c>
      <c r="J7" s="4">
        <v>3.77</v>
      </c>
      <c r="K7" s="4">
        <v>0.0</v>
      </c>
      <c r="L7" s="4">
        <v>720.0</v>
      </c>
      <c r="M7" s="4">
        <v>1.62</v>
      </c>
      <c r="N7" s="4">
        <v>2.65</v>
      </c>
      <c r="O7" s="4">
        <v>28.97</v>
      </c>
      <c r="P7" s="4">
        <v>0.7</v>
      </c>
      <c r="Q7" s="4">
        <v>8.2</v>
      </c>
      <c r="R7" s="4">
        <v>50.02</v>
      </c>
      <c r="S7" s="4">
        <v>47.48</v>
      </c>
      <c r="T7" s="4">
        <v>2.5</v>
      </c>
      <c r="U7" s="4" t="s">
        <v>117</v>
      </c>
      <c r="V7" s="4">
        <v>9.12</v>
      </c>
      <c r="W7" s="4">
        <v>13.21</v>
      </c>
      <c r="X7" s="4">
        <v>23.66</v>
      </c>
      <c r="Y7" s="4">
        <v>11.25</v>
      </c>
      <c r="Z7" s="4">
        <v>0.21</v>
      </c>
      <c r="AA7" s="4">
        <v>0.0</v>
      </c>
      <c r="AB7" s="4">
        <v>0.0</v>
      </c>
      <c r="AC7" s="4">
        <v>42.55</v>
      </c>
      <c r="AD7" s="4" t="s">
        <v>119</v>
      </c>
      <c r="AE7" s="4">
        <v>1.42</v>
      </c>
      <c r="AF7" s="4">
        <v>6.27</v>
      </c>
      <c r="AG7" s="4">
        <v>31.4</v>
      </c>
      <c r="AH7" s="4">
        <f t="shared" si="2"/>
        <v>0.5</v>
      </c>
      <c r="AI7" s="4">
        <v>212.0</v>
      </c>
      <c r="AJ7" s="4">
        <v>1.2</v>
      </c>
      <c r="AK7" s="4">
        <v>1.36</v>
      </c>
      <c r="AL7" s="4">
        <v>13.0</v>
      </c>
      <c r="AM7" s="4">
        <v>0.16</v>
      </c>
      <c r="AN7" s="4">
        <v>0.43</v>
      </c>
      <c r="AO7" s="4">
        <v>22.7</v>
      </c>
      <c r="AP7" s="4">
        <v>4.72</v>
      </c>
      <c r="AQ7" s="4">
        <v>48.3</v>
      </c>
      <c r="AR7" s="4">
        <v>23.3</v>
      </c>
      <c r="AS7" s="4">
        <v>15.0</v>
      </c>
      <c r="AT7" s="4">
        <v>1.2</v>
      </c>
      <c r="AU7" s="4">
        <v>0.4</v>
      </c>
      <c r="AV7" s="4">
        <v>3.1</v>
      </c>
      <c r="AW7" s="4">
        <v>3.99</v>
      </c>
      <c r="AX7" s="4">
        <v>48.3</v>
      </c>
      <c r="AY7" s="4">
        <v>0.4</v>
      </c>
      <c r="AZ7" s="4">
        <v>0.044</v>
      </c>
      <c r="BA7" s="4">
        <v>2.2</v>
      </c>
      <c r="BB7" s="4">
        <v>3.1</v>
      </c>
      <c r="BC7" s="4">
        <f t="shared" si="12"/>
        <v>0.05</v>
      </c>
      <c r="BD7" s="4">
        <f t="shared" si="16"/>
        <v>0.05</v>
      </c>
      <c r="BE7" s="4">
        <v>3.09</v>
      </c>
      <c r="BF7" s="4">
        <v>0.2</v>
      </c>
      <c r="BG7" s="4">
        <v>0.08</v>
      </c>
      <c r="BH7" s="4">
        <v>0.3</v>
      </c>
      <c r="BI7" s="4">
        <v>4.5</v>
      </c>
      <c r="BJ7" s="4">
        <v>10.9</v>
      </c>
      <c r="BK7" s="4">
        <v>24.3</v>
      </c>
      <c r="BL7" s="4">
        <f t="shared" si="5"/>
        <v>0.05</v>
      </c>
      <c r="BM7" s="4">
        <v>0.32</v>
      </c>
      <c r="BN7" s="4">
        <v>371.0</v>
      </c>
      <c r="BO7" s="4">
        <f t="shared" si="6"/>
        <v>5</v>
      </c>
      <c r="BP7" s="4">
        <v>1.32</v>
      </c>
      <c r="BQ7" s="4">
        <v>11.2</v>
      </c>
      <c r="BR7" s="4">
        <v>0.1</v>
      </c>
      <c r="BS7" s="4">
        <v>22.2</v>
      </c>
      <c r="BT7" s="4">
        <v>0.8</v>
      </c>
      <c r="BU7" s="4">
        <v>0.152</v>
      </c>
      <c r="BV7" s="4">
        <v>23.6</v>
      </c>
      <c r="BW7" s="4">
        <v>0.32</v>
      </c>
      <c r="BX7" s="4">
        <v>2.7</v>
      </c>
      <c r="BY7" s="4">
        <f t="shared" si="15"/>
        <v>0.0005</v>
      </c>
      <c r="BZ7" s="4">
        <v>18.8</v>
      </c>
      <c r="CA7" s="4">
        <v>2.4</v>
      </c>
      <c r="CB7" s="4">
        <v>1.1</v>
      </c>
      <c r="CC7" s="4">
        <v>0.084</v>
      </c>
      <c r="CD7" s="4">
        <v>0.15</v>
      </c>
      <c r="CE7" s="4">
        <f t="shared" si="9"/>
        <v>0.025</v>
      </c>
      <c r="CF7" s="4">
        <v>0.04</v>
      </c>
      <c r="CG7" s="4">
        <v>0.3</v>
      </c>
      <c r="CH7" s="4">
        <v>0.01</v>
      </c>
      <c r="CI7" s="4">
        <v>4.2</v>
      </c>
      <c r="CJ7" s="4">
        <f t="shared" si="11"/>
        <v>0.05</v>
      </c>
      <c r="CK7" s="4">
        <v>0.6</v>
      </c>
      <c r="CL7" s="4">
        <v>19.0</v>
      </c>
      <c r="CM7" s="4">
        <v>108.0</v>
      </c>
      <c r="CN7" s="4">
        <v>114.0</v>
      </c>
      <c r="CO7" s="4">
        <v>2.1</v>
      </c>
      <c r="CP7" s="4">
        <v>-20.742267</v>
      </c>
      <c r="CQ7" s="4">
        <v>-65.240567</v>
      </c>
    </row>
    <row r="8">
      <c r="A8" s="4" t="s">
        <v>112</v>
      </c>
      <c r="B8" s="5" t="s">
        <v>106</v>
      </c>
      <c r="C8" s="5" t="s">
        <v>113</v>
      </c>
      <c r="D8" s="5" t="s">
        <v>98</v>
      </c>
      <c r="E8" s="4" t="s">
        <v>99</v>
      </c>
      <c r="F8" s="4" t="s">
        <v>114</v>
      </c>
      <c r="G8" s="4" t="s">
        <v>115</v>
      </c>
      <c r="H8" s="4" t="s">
        <v>116</v>
      </c>
      <c r="I8" s="4">
        <v>0.407</v>
      </c>
      <c r="J8" s="4">
        <v>3.77</v>
      </c>
      <c r="K8" s="4">
        <v>1.0</v>
      </c>
      <c r="L8" s="4">
        <v>1020.0</v>
      </c>
      <c r="M8" s="4">
        <v>1.49</v>
      </c>
      <c r="N8" s="4">
        <v>2.55</v>
      </c>
      <c r="O8" s="4">
        <v>27.57</v>
      </c>
      <c r="P8" s="4">
        <v>0.77</v>
      </c>
      <c r="Q8" s="4">
        <v>8.1</v>
      </c>
      <c r="R8" s="4">
        <v>27.32</v>
      </c>
      <c r="S8" s="4">
        <v>70.68</v>
      </c>
      <c r="T8" s="4">
        <v>2.0</v>
      </c>
      <c r="U8" s="4" t="s">
        <v>120</v>
      </c>
      <c r="V8" s="4">
        <v>13.87</v>
      </c>
      <c r="W8" s="4">
        <v>12.99</v>
      </c>
      <c r="X8" s="4">
        <v>10.68</v>
      </c>
      <c r="Y8" s="4">
        <v>1.65</v>
      </c>
      <c r="Z8" s="4">
        <v>0.05</v>
      </c>
      <c r="AA8" s="4">
        <v>0.0</v>
      </c>
      <c r="AB8" s="4">
        <v>0.0</v>
      </c>
      <c r="AC8" s="4">
        <v>60.76</v>
      </c>
      <c r="AD8" s="4" t="s">
        <v>104</v>
      </c>
      <c r="AE8" s="4">
        <v>1.45</v>
      </c>
      <c r="AF8" s="4">
        <v>5.68</v>
      </c>
      <c r="AG8" s="4">
        <v>55.0</v>
      </c>
      <c r="AH8" s="4">
        <f t="shared" si="2"/>
        <v>0.5</v>
      </c>
      <c r="AI8" s="4">
        <v>218.0</v>
      </c>
      <c r="AJ8" s="4">
        <v>1.0</v>
      </c>
      <c r="AK8" s="4">
        <v>1.65</v>
      </c>
      <c r="AL8" s="4">
        <v>14.0</v>
      </c>
      <c r="AM8" s="4">
        <v>0.25</v>
      </c>
      <c r="AN8" s="4">
        <v>0.46</v>
      </c>
      <c r="AO8" s="4">
        <v>19.6</v>
      </c>
      <c r="AP8" s="4">
        <v>5.45</v>
      </c>
      <c r="AQ8" s="4">
        <v>44.6</v>
      </c>
      <c r="AR8" s="4">
        <v>25.0</v>
      </c>
      <c r="AS8" s="4">
        <v>15.0</v>
      </c>
      <c r="AT8" s="4">
        <v>1.1</v>
      </c>
      <c r="AU8" s="4">
        <v>0.4</v>
      </c>
      <c r="AV8" s="4">
        <v>3.5</v>
      </c>
      <c r="AW8" s="4">
        <v>3.78</v>
      </c>
      <c r="AX8" s="4">
        <v>50.8</v>
      </c>
      <c r="AY8" s="4">
        <v>0.4</v>
      </c>
      <c r="AZ8" s="4">
        <v>0.039</v>
      </c>
      <c r="BA8" s="4">
        <v>2.2</v>
      </c>
      <c r="BB8" s="4">
        <v>2.61</v>
      </c>
      <c r="BC8" s="4">
        <f t="shared" si="12"/>
        <v>0.05</v>
      </c>
      <c r="BD8" s="4">
        <f t="shared" si="16"/>
        <v>0.05</v>
      </c>
      <c r="BE8" s="4">
        <v>2.98</v>
      </c>
      <c r="BF8" s="4">
        <v>0.2</v>
      </c>
      <c r="BG8" s="4">
        <v>0.07</v>
      </c>
      <c r="BH8" s="4">
        <v>0.3</v>
      </c>
      <c r="BI8" s="4">
        <v>4.33</v>
      </c>
      <c r="BJ8" s="4">
        <v>9.6</v>
      </c>
      <c r="BK8" s="4">
        <v>27.0</v>
      </c>
      <c r="BL8" s="4">
        <f t="shared" si="5"/>
        <v>0.05</v>
      </c>
      <c r="BM8" s="4">
        <v>0.36</v>
      </c>
      <c r="BN8" s="4">
        <v>368.0</v>
      </c>
      <c r="BO8" s="4">
        <f t="shared" si="6"/>
        <v>5</v>
      </c>
      <c r="BP8" s="4">
        <v>1.26</v>
      </c>
      <c r="BQ8" s="4">
        <v>9.68</v>
      </c>
      <c r="BR8" s="4">
        <v>0.2</v>
      </c>
      <c r="BS8" s="4">
        <v>24.5</v>
      </c>
      <c r="BT8" s="4">
        <f t="shared" ref="BT8:BT10" si="17">0.5*0.5</f>
        <v>0.25</v>
      </c>
      <c r="BU8" s="4">
        <v>0.172</v>
      </c>
      <c r="BV8" s="4">
        <v>30.2</v>
      </c>
      <c r="BW8" s="4">
        <v>0.33</v>
      </c>
      <c r="BX8" s="4">
        <v>2.3</v>
      </c>
      <c r="BY8" s="4">
        <f t="shared" si="15"/>
        <v>0.0005</v>
      </c>
      <c r="BZ8" s="4">
        <v>20.3</v>
      </c>
      <c r="CA8" s="4">
        <v>2.5</v>
      </c>
      <c r="CB8" s="4">
        <v>1.1</v>
      </c>
      <c r="CC8" s="4">
        <v>0.073</v>
      </c>
      <c r="CD8" s="4">
        <v>0.17</v>
      </c>
      <c r="CE8" s="4">
        <f t="shared" si="9"/>
        <v>0.025</v>
      </c>
      <c r="CF8" s="4">
        <v>0.03</v>
      </c>
      <c r="CG8" s="4">
        <v>0.3</v>
      </c>
      <c r="CH8" s="4">
        <v>0.011</v>
      </c>
      <c r="CI8" s="4">
        <v>4.1</v>
      </c>
      <c r="CJ8" s="4">
        <f t="shared" si="11"/>
        <v>0.05</v>
      </c>
      <c r="CK8" s="4">
        <v>0.6</v>
      </c>
      <c r="CL8" s="4">
        <v>20.0</v>
      </c>
      <c r="CM8" s="4">
        <v>121.0</v>
      </c>
      <c r="CN8" s="4">
        <v>108.0</v>
      </c>
      <c r="CO8" s="4">
        <v>2.2</v>
      </c>
      <c r="CP8" s="4">
        <v>-20.742267</v>
      </c>
      <c r="CQ8" s="4">
        <v>-65.240567</v>
      </c>
    </row>
    <row r="9">
      <c r="A9" s="4" t="s">
        <v>121</v>
      </c>
      <c r="B9" s="5" t="s">
        <v>122</v>
      </c>
      <c r="C9" s="5" t="s">
        <v>123</v>
      </c>
      <c r="D9" s="5" t="s">
        <v>98</v>
      </c>
      <c r="E9" s="4" t="s">
        <v>99</v>
      </c>
      <c r="F9" s="4" t="s">
        <v>124</v>
      </c>
      <c r="G9" s="4" t="s">
        <v>125</v>
      </c>
      <c r="H9" s="4" t="s">
        <v>126</v>
      </c>
      <c r="I9" s="4">
        <v>0.394</v>
      </c>
      <c r="J9" s="4">
        <v>0.024</v>
      </c>
      <c r="K9" s="4">
        <v>0.0</v>
      </c>
      <c r="L9" s="4">
        <v>682.0</v>
      </c>
      <c r="M9" s="4">
        <v>1.47</v>
      </c>
      <c r="N9" s="4">
        <v>2.62</v>
      </c>
      <c r="O9" s="4">
        <v>45.27</v>
      </c>
      <c r="P9" s="4">
        <v>0.97</v>
      </c>
      <c r="Q9" s="4">
        <v>4.8</v>
      </c>
      <c r="R9" s="4">
        <v>80.85</v>
      </c>
      <c r="S9" s="4">
        <v>17.15</v>
      </c>
      <c r="T9" s="4">
        <v>2.0</v>
      </c>
      <c r="U9" s="4" t="s">
        <v>127</v>
      </c>
      <c r="V9" s="4">
        <v>7.87</v>
      </c>
      <c r="W9" s="4">
        <v>26.68</v>
      </c>
      <c r="X9" s="4">
        <v>32.31</v>
      </c>
      <c r="Y9" s="4">
        <v>17.98</v>
      </c>
      <c r="Z9" s="4">
        <v>4.83</v>
      </c>
      <c r="AA9" s="4">
        <v>0.93</v>
      </c>
      <c r="AB9" s="4">
        <v>0.08</v>
      </c>
      <c r="AC9" s="4">
        <v>9.32</v>
      </c>
      <c r="AD9" s="4" t="s">
        <v>118</v>
      </c>
      <c r="AE9" s="4">
        <v>1.7</v>
      </c>
      <c r="AF9" s="4">
        <v>1.73</v>
      </c>
      <c r="AG9" s="4">
        <v>14.2</v>
      </c>
      <c r="AH9" s="4">
        <f t="shared" si="2"/>
        <v>0.5</v>
      </c>
      <c r="AI9" s="4">
        <v>176.0</v>
      </c>
      <c r="AJ9" s="4">
        <v>1.1</v>
      </c>
      <c r="AK9" s="4">
        <v>2.0</v>
      </c>
      <c r="AL9" s="4">
        <v>11.0</v>
      </c>
      <c r="AM9" s="4">
        <v>0.14</v>
      </c>
      <c r="AN9" s="4">
        <v>0.51</v>
      </c>
      <c r="AO9" s="4">
        <v>20.9</v>
      </c>
      <c r="AP9" s="4">
        <v>4.74</v>
      </c>
      <c r="AQ9" s="4">
        <v>41.9</v>
      </c>
      <c r="AR9" s="4">
        <v>21.3</v>
      </c>
      <c r="AS9" s="4">
        <v>19.0</v>
      </c>
      <c r="AT9" s="4">
        <v>1.5</v>
      </c>
      <c r="AU9" s="4">
        <v>0.6</v>
      </c>
      <c r="AV9" s="4">
        <v>4.0</v>
      </c>
      <c r="AW9" s="4">
        <v>2.77</v>
      </c>
      <c r="AX9" s="4">
        <v>43.2</v>
      </c>
      <c r="AY9" s="4">
        <v>0.5</v>
      </c>
      <c r="AZ9" s="4">
        <v>0.04</v>
      </c>
      <c r="BA9" s="4">
        <v>2.4</v>
      </c>
      <c r="BB9" s="4">
        <v>4.44</v>
      </c>
      <c r="BC9" s="4">
        <f t="shared" si="12"/>
        <v>0.05</v>
      </c>
      <c r="BD9" s="4">
        <f t="shared" si="16"/>
        <v>0.05</v>
      </c>
      <c r="BE9" s="4">
        <v>2.84</v>
      </c>
      <c r="BF9" s="4">
        <v>0.2</v>
      </c>
      <c r="BG9" s="4">
        <v>0.05</v>
      </c>
      <c r="BH9" s="4">
        <v>0.4</v>
      </c>
      <c r="BI9" s="4">
        <v>5.83</v>
      </c>
      <c r="BJ9" s="4">
        <v>9.9</v>
      </c>
      <c r="BK9" s="4">
        <v>29.6</v>
      </c>
      <c r="BL9" s="4">
        <f t="shared" si="5"/>
        <v>0.05</v>
      </c>
      <c r="BM9" s="4">
        <v>0.51</v>
      </c>
      <c r="BN9" s="4">
        <v>387.0</v>
      </c>
      <c r="BO9" s="4">
        <f t="shared" si="6"/>
        <v>5</v>
      </c>
      <c r="BP9" s="4">
        <v>0.57</v>
      </c>
      <c r="BQ9" s="4">
        <v>10.6</v>
      </c>
      <c r="BR9" s="4">
        <v>0.3</v>
      </c>
      <c r="BS9" s="4">
        <v>24.1</v>
      </c>
      <c r="BT9" s="4">
        <f t="shared" si="17"/>
        <v>0.25</v>
      </c>
      <c r="BU9" s="4">
        <v>0.134</v>
      </c>
      <c r="BV9" s="4">
        <v>19.1</v>
      </c>
      <c r="BW9" s="4">
        <v>0.4</v>
      </c>
      <c r="BX9" s="4">
        <v>2.5</v>
      </c>
      <c r="BY9" s="4">
        <f t="shared" si="15"/>
        <v>0.0005</v>
      </c>
      <c r="BZ9" s="4">
        <v>24.6</v>
      </c>
      <c r="CA9" s="4">
        <v>2.6</v>
      </c>
      <c r="CB9" s="4">
        <v>1.0</v>
      </c>
      <c r="CC9" s="4">
        <v>0.075</v>
      </c>
      <c r="CD9" s="4">
        <v>0.18</v>
      </c>
      <c r="CE9" s="4">
        <f t="shared" si="9"/>
        <v>0.025</v>
      </c>
      <c r="CF9" s="4">
        <f t="shared" ref="CF9:CF10" si="18">0.5*0.02</f>
        <v>0.01</v>
      </c>
      <c r="CG9" s="4">
        <v>0.3</v>
      </c>
      <c r="CH9" s="4">
        <v>0.015</v>
      </c>
      <c r="CI9" s="4">
        <v>4.5</v>
      </c>
      <c r="CJ9" s="4">
        <f t="shared" si="11"/>
        <v>0.05</v>
      </c>
      <c r="CK9" s="4">
        <v>0.5</v>
      </c>
      <c r="CL9" s="4">
        <v>25.0</v>
      </c>
      <c r="CM9" s="4">
        <v>197.0</v>
      </c>
      <c r="CN9" s="4">
        <v>88.8</v>
      </c>
      <c r="CO9" s="4">
        <v>2.0</v>
      </c>
      <c r="CP9" s="4">
        <v>-19.321683</v>
      </c>
      <c r="CQ9" s="4">
        <v>-65.552017</v>
      </c>
    </row>
    <row r="10">
      <c r="A10" s="4" t="s">
        <v>121</v>
      </c>
      <c r="B10" s="5" t="s">
        <v>122</v>
      </c>
      <c r="C10" s="5" t="s">
        <v>123</v>
      </c>
      <c r="D10" s="5" t="s">
        <v>98</v>
      </c>
      <c r="E10" s="4" t="s">
        <v>99</v>
      </c>
      <c r="F10" s="4" t="s">
        <v>124</v>
      </c>
      <c r="G10" s="4" t="s">
        <v>125</v>
      </c>
      <c r="H10" s="4" t="s">
        <v>126</v>
      </c>
      <c r="I10" s="4">
        <v>0.394</v>
      </c>
      <c r="J10" s="4">
        <v>0.024</v>
      </c>
      <c r="K10" s="4">
        <v>0.0</v>
      </c>
      <c r="L10" s="4">
        <v>682.0</v>
      </c>
      <c r="M10" s="4">
        <v>1.47</v>
      </c>
      <c r="N10" s="4">
        <v>2.62</v>
      </c>
      <c r="O10" s="4">
        <v>45.27</v>
      </c>
      <c r="P10" s="4">
        <v>0.97</v>
      </c>
      <c r="Q10" s="4">
        <v>4.8</v>
      </c>
      <c r="R10" s="4">
        <v>80.85</v>
      </c>
      <c r="S10" s="4">
        <v>17.15</v>
      </c>
      <c r="T10" s="4">
        <v>2.0</v>
      </c>
      <c r="U10" s="4" t="s">
        <v>127</v>
      </c>
      <c r="V10" s="4">
        <v>7.87</v>
      </c>
      <c r="W10" s="4">
        <v>26.68</v>
      </c>
      <c r="X10" s="4">
        <v>32.31</v>
      </c>
      <c r="Y10" s="4">
        <v>17.98</v>
      </c>
      <c r="Z10" s="4">
        <v>4.83</v>
      </c>
      <c r="AA10" s="4">
        <v>0.93</v>
      </c>
      <c r="AB10" s="4">
        <v>0.08</v>
      </c>
      <c r="AC10" s="4">
        <v>9.32</v>
      </c>
      <c r="AD10" s="4" t="s">
        <v>119</v>
      </c>
      <c r="AE10" s="4">
        <v>1.03</v>
      </c>
      <c r="AF10" s="4">
        <v>4.98</v>
      </c>
      <c r="AG10" s="4">
        <v>32.9</v>
      </c>
      <c r="AH10" s="4">
        <f t="shared" si="2"/>
        <v>0.5</v>
      </c>
      <c r="AI10" s="4">
        <v>81.7</v>
      </c>
      <c r="AJ10" s="4">
        <v>1.0</v>
      </c>
      <c r="AK10" s="4">
        <v>1.63</v>
      </c>
      <c r="AL10" s="4">
        <v>13.0</v>
      </c>
      <c r="AM10" s="4">
        <v>0.09</v>
      </c>
      <c r="AN10" s="4">
        <v>0.06</v>
      </c>
      <c r="AO10" s="4">
        <v>9.08</v>
      </c>
      <c r="AP10" s="4">
        <v>9.67</v>
      </c>
      <c r="AQ10" s="4">
        <v>39.7</v>
      </c>
      <c r="AR10" s="4">
        <v>105.0</v>
      </c>
      <c r="AS10" s="4">
        <v>10.0</v>
      </c>
      <c r="AT10" s="4">
        <v>0.7</v>
      </c>
      <c r="AU10" s="4">
        <v>0.3</v>
      </c>
      <c r="AV10" s="4">
        <v>3.5</v>
      </c>
      <c r="AW10" s="4">
        <v>3.64</v>
      </c>
      <c r="AX10" s="4">
        <v>13.5</v>
      </c>
      <c r="AY10" s="4">
        <v>0.2</v>
      </c>
      <c r="AZ10" s="4">
        <v>0.027</v>
      </c>
      <c r="BA10" s="4">
        <v>1.3</v>
      </c>
      <c r="BB10" s="4">
        <v>2.2</v>
      </c>
      <c r="BC10" s="4">
        <f t="shared" si="12"/>
        <v>0.05</v>
      </c>
      <c r="BD10" s="4">
        <f t="shared" si="16"/>
        <v>0.05</v>
      </c>
      <c r="BE10" s="4">
        <v>3.51</v>
      </c>
      <c r="BF10" s="4">
        <v>0.1</v>
      </c>
      <c r="BG10" s="4">
        <v>1.02</v>
      </c>
      <c r="BH10" s="4">
        <v>0.2</v>
      </c>
      <c r="BI10" s="4">
        <v>2.91</v>
      </c>
      <c r="BJ10" s="4">
        <v>4.1</v>
      </c>
      <c r="BK10" s="4">
        <v>6.6</v>
      </c>
      <c r="BL10" s="4">
        <f t="shared" si="5"/>
        <v>0.05</v>
      </c>
      <c r="BM10" s="4">
        <v>0.1</v>
      </c>
      <c r="BN10" s="4">
        <v>650.0</v>
      </c>
      <c r="BO10" s="4">
        <f t="shared" si="6"/>
        <v>5</v>
      </c>
      <c r="BP10" s="4">
        <v>0.51</v>
      </c>
      <c r="BQ10" s="4">
        <v>4.72</v>
      </c>
      <c r="BR10" s="4">
        <v>0.1</v>
      </c>
      <c r="BS10" s="4">
        <v>7.7</v>
      </c>
      <c r="BT10" s="4">
        <f t="shared" si="17"/>
        <v>0.25</v>
      </c>
      <c r="BU10" s="4">
        <v>0.438</v>
      </c>
      <c r="BV10" s="4">
        <v>27.2</v>
      </c>
      <c r="BW10" s="4">
        <v>0.29</v>
      </c>
      <c r="BX10" s="4">
        <v>1.1</v>
      </c>
      <c r="BY10" s="4">
        <f t="shared" si="15"/>
        <v>0.0005</v>
      </c>
      <c r="BZ10" s="4">
        <v>18.4</v>
      </c>
      <c r="CA10" s="4">
        <v>1.2</v>
      </c>
      <c r="CB10" s="4">
        <v>1.1</v>
      </c>
      <c r="CC10" s="4">
        <v>0.027</v>
      </c>
      <c r="CD10" s="4">
        <v>0.17</v>
      </c>
      <c r="CE10" s="4">
        <f t="shared" si="9"/>
        <v>0.025</v>
      </c>
      <c r="CF10" s="4">
        <f t="shared" si="18"/>
        <v>0.01</v>
      </c>
      <c r="CG10" s="4">
        <v>0.2</v>
      </c>
      <c r="CH10" s="4">
        <v>0.002</v>
      </c>
      <c r="CI10" s="4">
        <v>2.4</v>
      </c>
      <c r="CJ10" s="4">
        <f t="shared" si="11"/>
        <v>0.05</v>
      </c>
      <c r="CK10" s="4">
        <v>0.6</v>
      </c>
      <c r="CL10" s="4">
        <v>12.0</v>
      </c>
      <c r="CM10" s="4">
        <v>41.9</v>
      </c>
      <c r="CN10" s="4">
        <v>105.0</v>
      </c>
      <c r="CO10" s="4">
        <v>0.9</v>
      </c>
      <c r="CP10" s="4">
        <v>-19.321683</v>
      </c>
      <c r="CQ10" s="4">
        <v>-65.552017</v>
      </c>
    </row>
    <row r="11">
      <c r="A11" s="4" t="s">
        <v>128</v>
      </c>
      <c r="B11" s="5" t="s">
        <v>122</v>
      </c>
      <c r="C11" s="5" t="s">
        <v>129</v>
      </c>
      <c r="D11" s="5" t="s">
        <v>98</v>
      </c>
      <c r="E11" s="4" t="s">
        <v>99</v>
      </c>
      <c r="F11" s="4" t="s">
        <v>128</v>
      </c>
      <c r="G11" s="4" t="s">
        <v>130</v>
      </c>
      <c r="H11" s="4" t="s">
        <v>131</v>
      </c>
      <c r="I11" s="4">
        <v>0.446</v>
      </c>
      <c r="J11" s="4">
        <v>0.426</v>
      </c>
      <c r="K11" s="4">
        <v>0.0</v>
      </c>
      <c r="L11" s="4">
        <v>754.0</v>
      </c>
      <c r="M11" s="4">
        <v>1.54</v>
      </c>
      <c r="N11" s="4">
        <v>2.66</v>
      </c>
      <c r="O11" s="4">
        <v>25.07</v>
      </c>
      <c r="P11" s="4">
        <v>0.3</v>
      </c>
      <c r="Q11" s="4">
        <v>7.3</v>
      </c>
      <c r="R11" s="4">
        <v>99.48</v>
      </c>
      <c r="S11" s="4">
        <v>0.52</v>
      </c>
      <c r="T11" s="4">
        <v>0.0</v>
      </c>
      <c r="U11" s="4" t="s">
        <v>103</v>
      </c>
      <c r="V11" s="4">
        <v>0.06</v>
      </c>
      <c r="W11" s="4">
        <v>0.51</v>
      </c>
      <c r="X11" s="4">
        <v>11.77</v>
      </c>
      <c r="Y11" s="4">
        <v>58.34</v>
      </c>
      <c r="Z11" s="4">
        <v>25.26</v>
      </c>
      <c r="AA11" s="4">
        <v>2.27</v>
      </c>
      <c r="AB11" s="4">
        <v>1.06</v>
      </c>
      <c r="AC11" s="4">
        <v>0.73</v>
      </c>
      <c r="AD11" s="4" t="s">
        <v>104</v>
      </c>
      <c r="AE11" s="4">
        <v>1.72</v>
      </c>
      <c r="AF11" s="4">
        <v>40.8</v>
      </c>
      <c r="AG11" s="4">
        <v>233.0</v>
      </c>
      <c r="AH11" s="4">
        <f t="shared" si="2"/>
        <v>0.5</v>
      </c>
      <c r="AI11" s="4">
        <v>24.1</v>
      </c>
      <c r="AJ11" s="4">
        <v>1.2</v>
      </c>
      <c r="AK11" s="4">
        <v>3.94</v>
      </c>
      <c r="AL11" s="4">
        <v>19.0</v>
      </c>
      <c r="AM11" s="4">
        <v>4.05</v>
      </c>
      <c r="AN11" s="4">
        <v>0.77</v>
      </c>
      <c r="AO11" s="4">
        <v>28.8</v>
      </c>
      <c r="AP11" s="4">
        <v>8.55</v>
      </c>
      <c r="AQ11" s="4">
        <v>38.1</v>
      </c>
      <c r="AR11" s="4">
        <v>57.1</v>
      </c>
      <c r="AS11" s="4">
        <v>15.0</v>
      </c>
      <c r="AT11" s="4">
        <v>1.7</v>
      </c>
      <c r="AU11" s="4">
        <v>0.7</v>
      </c>
      <c r="AV11" s="4">
        <v>4.1</v>
      </c>
      <c r="AW11" s="4">
        <v>29.0</v>
      </c>
      <c r="AX11" s="4">
        <v>69.2</v>
      </c>
      <c r="AY11" s="4">
        <v>0.5</v>
      </c>
      <c r="AZ11" s="4">
        <v>0.072</v>
      </c>
      <c r="BA11" s="4">
        <v>2.8</v>
      </c>
      <c r="BB11" s="4">
        <v>7.01</v>
      </c>
      <c r="BC11" s="4">
        <f t="shared" si="12"/>
        <v>0.05</v>
      </c>
      <c r="BD11" s="4">
        <v>0.2</v>
      </c>
      <c r="BE11" s="4">
        <v>3.28</v>
      </c>
      <c r="BF11" s="4">
        <v>0.3</v>
      </c>
      <c r="BG11" s="4">
        <v>2.57</v>
      </c>
      <c r="BH11" s="4">
        <v>0.5</v>
      </c>
      <c r="BI11" s="4">
        <v>7.43</v>
      </c>
      <c r="BJ11" s="4">
        <v>14.0</v>
      </c>
      <c r="BK11" s="4">
        <v>26.2</v>
      </c>
      <c r="BL11" s="4">
        <f t="shared" si="5"/>
        <v>0.05</v>
      </c>
      <c r="BM11" s="4">
        <v>0.52</v>
      </c>
      <c r="BN11" s="4">
        <v>304.0</v>
      </c>
      <c r="BO11" s="4">
        <v>160.0</v>
      </c>
      <c r="BP11" s="4">
        <v>1.17</v>
      </c>
      <c r="BQ11" s="4">
        <v>14.6</v>
      </c>
      <c r="BR11" s="4">
        <v>0.7</v>
      </c>
      <c r="BS11" s="4">
        <v>13.4</v>
      </c>
      <c r="BT11" s="4">
        <v>1.9</v>
      </c>
      <c r="BU11" s="4">
        <v>5.99</v>
      </c>
      <c r="BV11" s="4">
        <v>186.0</v>
      </c>
      <c r="BW11" s="4">
        <v>0.48</v>
      </c>
      <c r="BX11" s="4">
        <v>3.5</v>
      </c>
      <c r="BY11" s="4">
        <f t="shared" si="15"/>
        <v>0.0005</v>
      </c>
      <c r="BZ11" s="4">
        <v>29.9</v>
      </c>
      <c r="CA11" s="4">
        <v>3.1</v>
      </c>
      <c r="CB11" s="4">
        <v>1.2</v>
      </c>
      <c r="CC11" s="4">
        <v>0.124</v>
      </c>
      <c r="CD11" s="4">
        <v>0.53</v>
      </c>
      <c r="CE11" s="4">
        <f t="shared" si="9"/>
        <v>0.025</v>
      </c>
      <c r="CF11" s="4">
        <v>0.04</v>
      </c>
      <c r="CG11" s="4">
        <v>0.4</v>
      </c>
      <c r="CH11" s="4">
        <v>0.04</v>
      </c>
      <c r="CI11" s="4">
        <v>5.5</v>
      </c>
      <c r="CJ11" s="4">
        <f t="shared" si="11"/>
        <v>0.05</v>
      </c>
      <c r="CK11" s="4">
        <v>1.1</v>
      </c>
      <c r="CL11" s="4">
        <v>31.0</v>
      </c>
      <c r="CM11" s="4">
        <f t="shared" ref="CM11:CM12" si="19">1.5*200</f>
        <v>300</v>
      </c>
      <c r="CN11" s="4">
        <v>1020.0</v>
      </c>
      <c r="CO11" s="4">
        <v>4.9</v>
      </c>
      <c r="CP11" s="4">
        <v>-19.4719</v>
      </c>
      <c r="CQ11" s="4">
        <v>-65.794283</v>
      </c>
    </row>
    <row r="12">
      <c r="A12" s="4" t="s">
        <v>128</v>
      </c>
      <c r="B12" s="5" t="s">
        <v>122</v>
      </c>
      <c r="C12" s="5" t="s">
        <v>129</v>
      </c>
      <c r="D12" s="5" t="s">
        <v>98</v>
      </c>
      <c r="E12" s="4" t="s">
        <v>99</v>
      </c>
      <c r="F12" s="4" t="s">
        <v>128</v>
      </c>
      <c r="G12" s="4" t="s">
        <v>130</v>
      </c>
      <c r="H12" s="4" t="s">
        <v>131</v>
      </c>
      <c r="I12" s="4">
        <v>0.446</v>
      </c>
      <c r="J12" s="4">
        <v>0.426</v>
      </c>
      <c r="K12" s="4">
        <v>3.0</v>
      </c>
      <c r="L12" s="4">
        <v>838.0</v>
      </c>
      <c r="M12" s="4">
        <v>1.55</v>
      </c>
      <c r="N12" s="4">
        <v>2.66</v>
      </c>
      <c r="O12" s="4">
        <v>2.39</v>
      </c>
      <c r="P12" s="4">
        <v>0.27</v>
      </c>
      <c r="Q12" s="4">
        <v>7.4</v>
      </c>
      <c r="R12" s="4">
        <v>98.13</v>
      </c>
      <c r="S12" s="4">
        <v>0.88</v>
      </c>
      <c r="T12" s="4">
        <v>1.0</v>
      </c>
      <c r="U12" s="4" t="s">
        <v>103</v>
      </c>
      <c r="V12" s="4">
        <v>0.6</v>
      </c>
      <c r="W12" s="4">
        <v>3.73</v>
      </c>
      <c r="X12" s="4">
        <v>25.67</v>
      </c>
      <c r="Y12" s="4">
        <v>50.55</v>
      </c>
      <c r="Z12" s="4">
        <v>17.52</v>
      </c>
      <c r="AA12" s="4">
        <v>0.48</v>
      </c>
      <c r="AB12" s="4">
        <v>0.0</v>
      </c>
      <c r="AC12" s="4">
        <v>1.45</v>
      </c>
      <c r="AD12" s="4" t="s">
        <v>104</v>
      </c>
      <c r="AE12" s="4">
        <v>1.94</v>
      </c>
      <c r="AF12" s="4">
        <v>50.3</v>
      </c>
      <c r="AG12" s="4">
        <v>271.0</v>
      </c>
      <c r="AH12" s="4">
        <f t="shared" si="2"/>
        <v>0.5</v>
      </c>
      <c r="AI12" s="4">
        <v>20.4</v>
      </c>
      <c r="AJ12" s="4">
        <v>1.2</v>
      </c>
      <c r="AK12" s="4">
        <v>4.48</v>
      </c>
      <c r="AL12" s="4">
        <v>21.0</v>
      </c>
      <c r="AM12" s="4">
        <v>3.49</v>
      </c>
      <c r="AN12" s="4">
        <v>1.02</v>
      </c>
      <c r="AO12" s="4">
        <v>31.5</v>
      </c>
      <c r="AP12" s="4">
        <v>7.72</v>
      </c>
      <c r="AQ12" s="4">
        <v>44.8</v>
      </c>
      <c r="AR12" s="4">
        <v>61.3</v>
      </c>
      <c r="AS12" s="4">
        <v>16.0</v>
      </c>
      <c r="AT12" s="4">
        <v>2.2</v>
      </c>
      <c r="AU12" s="4">
        <v>0.8</v>
      </c>
      <c r="AV12" s="4">
        <v>4.5</v>
      </c>
      <c r="AW12" s="4">
        <v>29.1</v>
      </c>
      <c r="AX12" s="4">
        <v>91.5</v>
      </c>
      <c r="AY12" s="4">
        <v>0.6</v>
      </c>
      <c r="AZ12" s="4">
        <v>0.095</v>
      </c>
      <c r="BA12" s="4">
        <v>3.2</v>
      </c>
      <c r="BB12" s="4">
        <v>7.96</v>
      </c>
      <c r="BC12" s="4">
        <f t="shared" si="12"/>
        <v>0.05</v>
      </c>
      <c r="BD12" s="4">
        <v>0.1</v>
      </c>
      <c r="BE12" s="4">
        <v>3.61</v>
      </c>
      <c r="BF12" s="4">
        <v>0.4</v>
      </c>
      <c r="BG12" s="4">
        <v>3.48</v>
      </c>
      <c r="BH12" s="4">
        <v>0.6</v>
      </c>
      <c r="BI12" s="4">
        <v>9.06</v>
      </c>
      <c r="BJ12" s="4">
        <v>15.3</v>
      </c>
      <c r="BK12" s="4">
        <v>25.2</v>
      </c>
      <c r="BL12" s="4">
        <f t="shared" si="5"/>
        <v>0.05</v>
      </c>
      <c r="BM12" s="4">
        <v>0.59</v>
      </c>
      <c r="BN12" s="4">
        <v>345.0</v>
      </c>
      <c r="BO12" s="4">
        <f t="shared" ref="BO12:BO23" si="20">0.5*10</f>
        <v>5</v>
      </c>
      <c r="BP12" s="4">
        <v>1.24</v>
      </c>
      <c r="BQ12" s="4">
        <v>16.4</v>
      </c>
      <c r="BR12" s="4">
        <v>0.7</v>
      </c>
      <c r="BS12" s="4">
        <v>12.2</v>
      </c>
      <c r="BT12" s="4">
        <v>4.9</v>
      </c>
      <c r="BU12" s="4">
        <v>5.09</v>
      </c>
      <c r="BV12" s="4">
        <v>236.0</v>
      </c>
      <c r="BW12" s="4">
        <v>0.63</v>
      </c>
      <c r="BX12" s="4">
        <v>3.8</v>
      </c>
      <c r="BY12" s="4">
        <v>0.001</v>
      </c>
      <c r="BZ12" s="4">
        <v>34.7</v>
      </c>
      <c r="CA12" s="4">
        <v>3.5</v>
      </c>
      <c r="CB12" s="4">
        <v>1.1</v>
      </c>
      <c r="CC12" s="4">
        <v>0.161</v>
      </c>
      <c r="CD12" s="4">
        <v>0.67</v>
      </c>
      <c r="CE12" s="4">
        <f t="shared" si="9"/>
        <v>0.025</v>
      </c>
      <c r="CF12" s="4">
        <v>0.06</v>
      </c>
      <c r="CG12" s="4">
        <v>0.4</v>
      </c>
      <c r="CH12" s="4">
        <v>0.06</v>
      </c>
      <c r="CI12" s="4">
        <v>5.6</v>
      </c>
      <c r="CJ12" s="4">
        <v>0.1</v>
      </c>
      <c r="CK12" s="4">
        <v>1.2</v>
      </c>
      <c r="CL12" s="4">
        <v>38.0</v>
      </c>
      <c r="CM12" s="4">
        <f t="shared" si="19"/>
        <v>300</v>
      </c>
      <c r="CN12" s="4">
        <v>1010.0</v>
      </c>
      <c r="CO12" s="4">
        <v>4.9</v>
      </c>
      <c r="CP12" s="4">
        <v>-19.4719</v>
      </c>
      <c r="CQ12" s="4">
        <v>-65.794283</v>
      </c>
    </row>
    <row r="13">
      <c r="A13" s="4" t="s">
        <v>132</v>
      </c>
      <c r="B13" s="5" t="s">
        <v>133</v>
      </c>
      <c r="C13" s="5" t="s">
        <v>134</v>
      </c>
      <c r="D13" s="5" t="s">
        <v>98</v>
      </c>
      <c r="E13" s="4" t="s">
        <v>99</v>
      </c>
      <c r="F13" s="4" t="s">
        <v>135</v>
      </c>
      <c r="G13" s="4" t="s">
        <v>136</v>
      </c>
      <c r="H13" s="4" t="s">
        <v>137</v>
      </c>
      <c r="I13" s="4">
        <v>0.863</v>
      </c>
      <c r="J13" s="4">
        <v>0.167</v>
      </c>
      <c r="K13" s="4">
        <v>0.0</v>
      </c>
      <c r="L13" s="4">
        <v>350.0</v>
      </c>
      <c r="M13" s="4">
        <v>1.66</v>
      </c>
      <c r="N13" s="4">
        <v>2.67</v>
      </c>
      <c r="O13" s="4">
        <v>27.7</v>
      </c>
      <c r="P13" s="4">
        <v>0.27</v>
      </c>
      <c r="Q13" s="4">
        <v>8.4</v>
      </c>
      <c r="R13" s="4">
        <v>73.66</v>
      </c>
      <c r="S13" s="4">
        <v>25.34</v>
      </c>
      <c r="T13" s="4">
        <v>1.0</v>
      </c>
      <c r="U13" s="4" t="s">
        <v>127</v>
      </c>
      <c r="V13" s="4">
        <v>16.59</v>
      </c>
      <c r="W13" s="4">
        <v>37.11</v>
      </c>
      <c r="X13" s="4">
        <v>18.35</v>
      </c>
      <c r="Y13" s="4">
        <v>6.57</v>
      </c>
      <c r="Z13" s="4">
        <v>3.11</v>
      </c>
      <c r="AA13" s="4">
        <v>0.81</v>
      </c>
      <c r="AB13" s="4">
        <v>0.08</v>
      </c>
      <c r="AC13" s="4">
        <v>17.38</v>
      </c>
      <c r="AD13" s="4" t="s">
        <v>118</v>
      </c>
      <c r="AE13" s="4">
        <v>1.08</v>
      </c>
      <c r="AF13" s="4">
        <v>8.06</v>
      </c>
      <c r="AG13" s="4">
        <v>154.0</v>
      </c>
      <c r="AH13" s="4">
        <f t="shared" si="2"/>
        <v>0.5</v>
      </c>
      <c r="AI13" s="4">
        <v>57.5</v>
      </c>
      <c r="AJ13" s="4">
        <v>1.0</v>
      </c>
      <c r="AK13" s="4">
        <v>327.0</v>
      </c>
      <c r="AL13" s="4">
        <v>13.0</v>
      </c>
      <c r="AM13" s="4">
        <v>2.94</v>
      </c>
      <c r="AN13" s="4">
        <v>0.61</v>
      </c>
      <c r="AO13" s="4">
        <v>38.2</v>
      </c>
      <c r="AP13" s="4">
        <v>6.59</v>
      </c>
      <c r="AQ13" s="4">
        <v>55.4</v>
      </c>
      <c r="AR13" s="4">
        <v>135.0</v>
      </c>
      <c r="AS13" s="4">
        <v>12.0</v>
      </c>
      <c r="AT13" s="4">
        <v>1.7</v>
      </c>
      <c r="AU13" s="4">
        <v>0.7</v>
      </c>
      <c r="AV13" s="4">
        <v>3.5</v>
      </c>
      <c r="AW13" s="4">
        <v>63.4</v>
      </c>
      <c r="AX13" s="4">
        <v>37.9</v>
      </c>
      <c r="AY13" s="4">
        <v>0.5</v>
      </c>
      <c r="AZ13" s="4">
        <v>0.046</v>
      </c>
      <c r="BA13" s="4">
        <v>2.9</v>
      </c>
      <c r="BB13" s="4">
        <v>2.98</v>
      </c>
      <c r="BC13" s="4">
        <f t="shared" si="12"/>
        <v>0.05</v>
      </c>
      <c r="BD13" s="4">
        <f t="shared" ref="BD13:BD23" si="21">0.5*0.1</f>
        <v>0.05</v>
      </c>
      <c r="BE13" s="4">
        <v>2.4</v>
      </c>
      <c r="BF13" s="4">
        <v>0.3</v>
      </c>
      <c r="BG13" s="4">
        <v>0.54</v>
      </c>
      <c r="BH13" s="4">
        <v>0.5</v>
      </c>
      <c r="BI13" s="4">
        <v>6.65</v>
      </c>
      <c r="BJ13" s="4">
        <v>21.0</v>
      </c>
      <c r="BK13" s="4">
        <v>13.8</v>
      </c>
      <c r="BL13" s="4">
        <f t="shared" si="5"/>
        <v>0.05</v>
      </c>
      <c r="BM13" s="4">
        <v>0.28</v>
      </c>
      <c r="BN13" s="4">
        <v>644.0</v>
      </c>
      <c r="BO13" s="4">
        <f t="shared" si="20"/>
        <v>5</v>
      </c>
      <c r="BP13" s="4">
        <v>0.59</v>
      </c>
      <c r="BQ13" s="4">
        <v>16.2</v>
      </c>
      <c r="BR13" s="4">
        <v>0.1</v>
      </c>
      <c r="BS13" s="4">
        <v>14.9</v>
      </c>
      <c r="BT13" s="4">
        <v>1.4</v>
      </c>
      <c r="BU13" s="4">
        <v>8.52</v>
      </c>
      <c r="BV13" s="4">
        <v>106.0</v>
      </c>
      <c r="BW13" s="4">
        <v>0.31</v>
      </c>
      <c r="BX13" s="4">
        <v>4.3</v>
      </c>
      <c r="BY13" s="4">
        <f t="shared" ref="BY13:BY18" si="22">0.5*0.001</f>
        <v>0.0005</v>
      </c>
      <c r="BZ13" s="4">
        <v>18.2</v>
      </c>
      <c r="CA13" s="4">
        <v>3.5</v>
      </c>
      <c r="CB13" s="4">
        <v>1.2</v>
      </c>
      <c r="CC13" s="4">
        <v>0.063</v>
      </c>
      <c r="CD13" s="4">
        <v>0.23</v>
      </c>
      <c r="CE13" s="4">
        <f t="shared" si="9"/>
        <v>0.025</v>
      </c>
      <c r="CF13" s="4">
        <v>0.16</v>
      </c>
      <c r="CG13" s="4">
        <v>0.4</v>
      </c>
      <c r="CH13" s="4">
        <v>0.006</v>
      </c>
      <c r="CI13" s="4">
        <v>4.4</v>
      </c>
      <c r="CJ13" s="4">
        <f t="shared" ref="CJ13:CJ23" si="23">0.5*0.1</f>
        <v>0.05</v>
      </c>
      <c r="CK13" s="4">
        <v>0.9</v>
      </c>
      <c r="CL13" s="4">
        <v>17.0</v>
      </c>
      <c r="CM13" s="4">
        <v>62.9</v>
      </c>
      <c r="CN13" s="4">
        <v>710.0</v>
      </c>
      <c r="CO13" s="4">
        <v>1.4</v>
      </c>
      <c r="CP13" s="4">
        <v>-19.132283</v>
      </c>
      <c r="CQ13" s="4">
        <v>-65.569933</v>
      </c>
    </row>
    <row r="14">
      <c r="A14" s="4" t="s">
        <v>132</v>
      </c>
      <c r="B14" s="5" t="s">
        <v>133</v>
      </c>
      <c r="C14" s="5" t="s">
        <v>134</v>
      </c>
      <c r="D14" s="5" t="s">
        <v>98</v>
      </c>
      <c r="E14" s="4" t="s">
        <v>99</v>
      </c>
      <c r="F14" s="4" t="s">
        <v>135</v>
      </c>
      <c r="G14" s="4" t="s">
        <v>136</v>
      </c>
      <c r="H14" s="4" t="s">
        <v>137</v>
      </c>
      <c r="I14" s="4">
        <v>0.863</v>
      </c>
      <c r="J14" s="4">
        <v>0.167</v>
      </c>
      <c r="K14" s="4">
        <v>0.0</v>
      </c>
      <c r="L14" s="4">
        <v>350.0</v>
      </c>
      <c r="M14" s="4">
        <v>1.66</v>
      </c>
      <c r="N14" s="4">
        <v>2.67</v>
      </c>
      <c r="O14" s="4">
        <v>27.7</v>
      </c>
      <c r="P14" s="4">
        <v>0.27</v>
      </c>
      <c r="Q14" s="4">
        <v>8.4</v>
      </c>
      <c r="R14" s="4">
        <v>73.66</v>
      </c>
      <c r="S14" s="4">
        <v>25.34</v>
      </c>
      <c r="T14" s="4">
        <v>1.0</v>
      </c>
      <c r="U14" s="4" t="s">
        <v>127</v>
      </c>
      <c r="V14" s="4">
        <v>16.59</v>
      </c>
      <c r="W14" s="4">
        <v>37.11</v>
      </c>
      <c r="X14" s="4">
        <v>18.35</v>
      </c>
      <c r="Y14" s="4">
        <v>6.57</v>
      </c>
      <c r="Z14" s="4">
        <v>3.11</v>
      </c>
      <c r="AA14" s="4">
        <v>0.81</v>
      </c>
      <c r="AB14" s="4">
        <v>0.08</v>
      </c>
      <c r="AC14" s="4">
        <v>17.38</v>
      </c>
      <c r="AD14" s="4" t="s">
        <v>119</v>
      </c>
      <c r="AE14" s="4">
        <v>1.11</v>
      </c>
      <c r="AF14" s="4">
        <v>3.15</v>
      </c>
      <c r="AG14" s="4">
        <v>21.1</v>
      </c>
      <c r="AH14" s="4">
        <f t="shared" si="2"/>
        <v>0.5</v>
      </c>
      <c r="AI14" s="4">
        <v>151.0</v>
      </c>
      <c r="AJ14" s="4">
        <v>0.9</v>
      </c>
      <c r="AK14" s="4">
        <v>4.53</v>
      </c>
      <c r="AL14" s="4">
        <v>16.0</v>
      </c>
      <c r="AM14" s="4">
        <v>0.18</v>
      </c>
      <c r="AN14" s="4">
        <v>0.66</v>
      </c>
      <c r="AO14" s="4">
        <v>17.4</v>
      </c>
      <c r="AP14" s="4">
        <v>4.61</v>
      </c>
      <c r="AQ14" s="4">
        <v>81.9</v>
      </c>
      <c r="AR14" s="4">
        <v>14.4</v>
      </c>
      <c r="AS14" s="4">
        <v>10.0</v>
      </c>
      <c r="AT14" s="4">
        <v>1.1</v>
      </c>
      <c r="AU14" s="4">
        <v>0.4</v>
      </c>
      <c r="AV14" s="4">
        <v>3.5</v>
      </c>
      <c r="AW14" s="4">
        <v>6.24</v>
      </c>
      <c r="AX14" s="4">
        <v>51.6</v>
      </c>
      <c r="AY14" s="4">
        <v>0.3</v>
      </c>
      <c r="AZ14" s="4">
        <v>0.034</v>
      </c>
      <c r="BA14" s="4">
        <v>1.8</v>
      </c>
      <c r="BB14" s="4">
        <v>3.02</v>
      </c>
      <c r="BC14" s="4">
        <f t="shared" si="12"/>
        <v>0.05</v>
      </c>
      <c r="BD14" s="4">
        <f t="shared" si="21"/>
        <v>0.05</v>
      </c>
      <c r="BE14" s="4">
        <v>1.93</v>
      </c>
      <c r="BF14" s="4">
        <v>0.2</v>
      </c>
      <c r="BG14" s="4">
        <v>0.09</v>
      </c>
      <c r="BH14" s="4">
        <v>0.3</v>
      </c>
      <c r="BI14" s="4">
        <v>4.45</v>
      </c>
      <c r="BJ14" s="4">
        <v>8.4</v>
      </c>
      <c r="BK14" s="4">
        <v>12.9</v>
      </c>
      <c r="BL14" s="4">
        <f t="shared" si="5"/>
        <v>0.05</v>
      </c>
      <c r="BM14" s="4">
        <v>0.35</v>
      </c>
      <c r="BN14" s="4">
        <v>378.0</v>
      </c>
      <c r="BO14" s="4">
        <f t="shared" si="20"/>
        <v>5</v>
      </c>
      <c r="BP14" s="4">
        <v>0.37</v>
      </c>
      <c r="BQ14" s="4">
        <v>8.5</v>
      </c>
      <c r="BR14" s="4">
        <v>0.7</v>
      </c>
      <c r="BS14" s="4">
        <v>9.4</v>
      </c>
      <c r="BT14" s="4">
        <f>0.5*0.5</f>
        <v>0.25</v>
      </c>
      <c r="BU14" s="4">
        <v>0.302</v>
      </c>
      <c r="BV14" s="4">
        <v>16.4</v>
      </c>
      <c r="BW14" s="4">
        <v>0.36</v>
      </c>
      <c r="BX14" s="4">
        <v>2.0</v>
      </c>
      <c r="BY14" s="4">
        <f t="shared" si="22"/>
        <v>0.0005</v>
      </c>
      <c r="BZ14" s="4">
        <v>21.4</v>
      </c>
      <c r="CA14" s="4">
        <v>1.9</v>
      </c>
      <c r="CB14" s="4">
        <v>0.8</v>
      </c>
      <c r="CC14" s="4">
        <v>0.08</v>
      </c>
      <c r="CD14" s="4">
        <v>0.2</v>
      </c>
      <c r="CE14" s="4">
        <f t="shared" si="9"/>
        <v>0.025</v>
      </c>
      <c r="CF14" s="4">
        <f t="shared" ref="CF14:CF15" si="24">0.5*0.02</f>
        <v>0.01</v>
      </c>
      <c r="CG14" s="4">
        <v>0.2</v>
      </c>
      <c r="CH14" s="4">
        <v>0.04</v>
      </c>
      <c r="CI14" s="4">
        <v>3.5</v>
      </c>
      <c r="CJ14" s="4">
        <f t="shared" si="23"/>
        <v>0.05</v>
      </c>
      <c r="CK14" s="4">
        <v>0.5</v>
      </c>
      <c r="CL14" s="4">
        <v>22.0</v>
      </c>
      <c r="CM14" s="4">
        <f>1.5*200</f>
        <v>300</v>
      </c>
      <c r="CN14" s="4">
        <v>98.3</v>
      </c>
      <c r="CO14" s="4">
        <v>2.3</v>
      </c>
      <c r="CP14" s="4">
        <v>-19.132283</v>
      </c>
      <c r="CQ14" s="4">
        <v>-65.569933</v>
      </c>
    </row>
    <row r="15">
      <c r="A15" s="4" t="s">
        <v>138</v>
      </c>
      <c r="B15" s="5" t="s">
        <v>133</v>
      </c>
      <c r="C15" s="5" t="s">
        <v>139</v>
      </c>
      <c r="D15" s="5" t="s">
        <v>98</v>
      </c>
      <c r="E15" s="4" t="s">
        <v>99</v>
      </c>
      <c r="F15" s="4" t="s">
        <v>100</v>
      </c>
      <c r="G15" s="4" t="s">
        <v>140</v>
      </c>
      <c r="H15" s="4" t="s">
        <v>141</v>
      </c>
      <c r="I15" s="4">
        <v>0.862</v>
      </c>
      <c r="J15" s="4">
        <v>3.697</v>
      </c>
      <c r="K15" s="4">
        <v>0.0</v>
      </c>
      <c r="L15" s="4">
        <v>404.0</v>
      </c>
      <c r="M15" s="4">
        <v>1.68</v>
      </c>
      <c r="N15" s="4">
        <v>2.67</v>
      </c>
      <c r="O15" s="4">
        <v>25.43</v>
      </c>
      <c r="P15" s="4">
        <v>0.3</v>
      </c>
      <c r="Q15" s="4">
        <v>8.2</v>
      </c>
      <c r="R15" s="4">
        <v>78.04</v>
      </c>
      <c r="S15" s="4">
        <v>19.96</v>
      </c>
      <c r="T15" s="4">
        <v>2.0</v>
      </c>
      <c r="U15" s="4" t="s">
        <v>127</v>
      </c>
      <c r="V15" s="4">
        <v>10.67</v>
      </c>
      <c r="W15" s="4">
        <v>23.94</v>
      </c>
      <c r="X15" s="4">
        <v>38.03</v>
      </c>
      <c r="Y15" s="4">
        <v>13.4</v>
      </c>
      <c r="Z15" s="4">
        <v>0.23</v>
      </c>
      <c r="AA15" s="4">
        <v>0.0</v>
      </c>
      <c r="AB15" s="4">
        <v>0.0</v>
      </c>
      <c r="AC15" s="4">
        <v>13.73</v>
      </c>
      <c r="AD15" s="4" t="s">
        <v>118</v>
      </c>
      <c r="AE15" s="4">
        <v>0.7</v>
      </c>
      <c r="AF15" s="4">
        <v>1.04</v>
      </c>
      <c r="AG15" s="4">
        <v>11.8</v>
      </c>
      <c r="AH15" s="4">
        <f t="shared" si="2"/>
        <v>0.5</v>
      </c>
      <c r="AI15" s="4">
        <v>222.0</v>
      </c>
      <c r="AJ15" s="4">
        <v>0.9</v>
      </c>
      <c r="AK15" s="4">
        <v>4.5</v>
      </c>
      <c r="AL15" s="4">
        <v>8.0</v>
      </c>
      <c r="AM15" s="4">
        <v>0.09</v>
      </c>
      <c r="AN15" s="4">
        <v>0.31</v>
      </c>
      <c r="AO15" s="4">
        <v>14.3</v>
      </c>
      <c r="AP15" s="4">
        <v>1.8</v>
      </c>
      <c r="AQ15" s="4">
        <v>47.4</v>
      </c>
      <c r="AR15" s="4">
        <v>19.7</v>
      </c>
      <c r="AS15" s="4">
        <v>11.0</v>
      </c>
      <c r="AT15" s="4">
        <v>1.3</v>
      </c>
      <c r="AU15" s="4">
        <v>0.5</v>
      </c>
      <c r="AV15" s="4">
        <v>3.0</v>
      </c>
      <c r="AW15" s="4">
        <v>3.86</v>
      </c>
      <c r="AX15" s="4">
        <v>31.3</v>
      </c>
      <c r="AY15" s="4">
        <v>0.4</v>
      </c>
      <c r="AZ15" s="4">
        <v>0.04</v>
      </c>
      <c r="BA15" s="4">
        <v>2.1</v>
      </c>
      <c r="BB15" s="4">
        <v>1.22</v>
      </c>
      <c r="BC15" s="4">
        <f t="shared" si="12"/>
        <v>0.05</v>
      </c>
      <c r="BD15" s="4">
        <f t="shared" si="21"/>
        <v>0.05</v>
      </c>
      <c r="BE15" s="4">
        <v>2.41</v>
      </c>
      <c r="BF15" s="4">
        <v>0.2</v>
      </c>
      <c r="BG15" s="4">
        <v>0.05</v>
      </c>
      <c r="BH15" s="4">
        <v>0.3</v>
      </c>
      <c r="BI15" s="4">
        <v>5.46</v>
      </c>
      <c r="BJ15" s="4">
        <v>6.5</v>
      </c>
      <c r="BK15" s="4">
        <v>7.8</v>
      </c>
      <c r="BL15" s="4">
        <f t="shared" si="5"/>
        <v>0.05</v>
      </c>
      <c r="BM15" s="4">
        <v>0.21</v>
      </c>
      <c r="BN15" s="4">
        <v>480.0</v>
      </c>
      <c r="BO15" s="4">
        <f t="shared" si="20"/>
        <v>5</v>
      </c>
      <c r="BP15" s="4">
        <v>0.55</v>
      </c>
      <c r="BQ15" s="4">
        <v>7.22</v>
      </c>
      <c r="BR15" s="4">
        <f>0.5*0.1</f>
        <v>0.05</v>
      </c>
      <c r="BS15" s="4">
        <v>13.8</v>
      </c>
      <c r="BT15" s="4">
        <v>0.6</v>
      </c>
      <c r="BU15" s="4">
        <v>0.171</v>
      </c>
      <c r="BV15" s="4">
        <v>15.8</v>
      </c>
      <c r="BW15" s="4">
        <v>0.25</v>
      </c>
      <c r="BX15" s="4">
        <v>1.7</v>
      </c>
      <c r="BY15" s="4">
        <f t="shared" si="22"/>
        <v>0.0005</v>
      </c>
      <c r="BZ15" s="4">
        <v>12.9</v>
      </c>
      <c r="CA15" s="4">
        <v>2.0</v>
      </c>
      <c r="CB15" s="4">
        <v>0.6</v>
      </c>
      <c r="CC15" s="4">
        <v>0.034</v>
      </c>
      <c r="CD15" s="4">
        <v>0.09</v>
      </c>
      <c r="CE15" s="4">
        <f t="shared" si="9"/>
        <v>0.025</v>
      </c>
      <c r="CF15" s="4">
        <f t="shared" si="24"/>
        <v>0.01</v>
      </c>
      <c r="CG15" s="4">
        <v>0.3</v>
      </c>
      <c r="CH15" s="4">
        <v>0.002</v>
      </c>
      <c r="CI15" s="4">
        <v>3.7</v>
      </c>
      <c r="CJ15" s="4">
        <f t="shared" si="23"/>
        <v>0.05</v>
      </c>
      <c r="CK15" s="4">
        <v>0.5</v>
      </c>
      <c r="CL15" s="4">
        <v>13.0</v>
      </c>
      <c r="CM15" s="4">
        <v>43.6</v>
      </c>
      <c r="CN15" s="4">
        <v>55.7</v>
      </c>
      <c r="CO15" s="4">
        <v>1.0</v>
      </c>
      <c r="CP15" s="4">
        <v>-19.132417</v>
      </c>
      <c r="CQ15" s="4">
        <v>-65.572633</v>
      </c>
    </row>
    <row r="16">
      <c r="A16" s="4" t="s">
        <v>138</v>
      </c>
      <c r="B16" s="5" t="s">
        <v>133</v>
      </c>
      <c r="C16" s="5" t="s">
        <v>139</v>
      </c>
      <c r="D16" s="5" t="s">
        <v>98</v>
      </c>
      <c r="E16" s="4" t="s">
        <v>99</v>
      </c>
      <c r="F16" s="4" t="s">
        <v>100</v>
      </c>
      <c r="G16" s="4" t="s">
        <v>140</v>
      </c>
      <c r="H16" s="4" t="s">
        <v>141</v>
      </c>
      <c r="I16" s="4">
        <v>0.862</v>
      </c>
      <c r="J16" s="4">
        <v>3.697</v>
      </c>
      <c r="K16" s="4">
        <v>0.0</v>
      </c>
      <c r="L16" s="4">
        <v>404.0</v>
      </c>
      <c r="M16" s="4">
        <v>1.68</v>
      </c>
      <c r="N16" s="4">
        <v>2.67</v>
      </c>
      <c r="O16" s="4">
        <v>25.43</v>
      </c>
      <c r="P16" s="4">
        <v>0.3</v>
      </c>
      <c r="Q16" s="4">
        <v>8.2</v>
      </c>
      <c r="R16" s="4">
        <v>78.04</v>
      </c>
      <c r="S16" s="4">
        <v>19.96</v>
      </c>
      <c r="T16" s="4">
        <v>2.0</v>
      </c>
      <c r="U16" s="4" t="s">
        <v>127</v>
      </c>
      <c r="V16" s="4">
        <v>10.67</v>
      </c>
      <c r="W16" s="4">
        <v>23.94</v>
      </c>
      <c r="X16" s="4">
        <v>38.03</v>
      </c>
      <c r="Y16" s="4">
        <v>13.4</v>
      </c>
      <c r="Z16" s="4">
        <v>0.23</v>
      </c>
      <c r="AA16" s="4">
        <v>0.0</v>
      </c>
      <c r="AB16" s="4">
        <v>0.0</v>
      </c>
      <c r="AC16" s="4">
        <v>13.73</v>
      </c>
      <c r="AD16" s="4" t="s">
        <v>119</v>
      </c>
      <c r="AE16" s="4">
        <v>1.27</v>
      </c>
      <c r="AF16" s="4">
        <v>5.3</v>
      </c>
      <c r="AG16" s="4">
        <v>193.0</v>
      </c>
      <c r="AH16" s="4">
        <f t="shared" si="2"/>
        <v>0.5</v>
      </c>
      <c r="AI16" s="4">
        <v>25.3</v>
      </c>
      <c r="AJ16" s="4">
        <v>0.8</v>
      </c>
      <c r="AK16" s="4">
        <v>80.8</v>
      </c>
      <c r="AL16" s="4">
        <v>21.0</v>
      </c>
      <c r="AM16" s="4">
        <v>2.6</v>
      </c>
      <c r="AN16" s="4">
        <v>0.63</v>
      </c>
      <c r="AO16" s="4">
        <v>23.2</v>
      </c>
      <c r="AP16" s="4">
        <v>4.74</v>
      </c>
      <c r="AQ16" s="4">
        <v>101.0</v>
      </c>
      <c r="AR16" s="4">
        <v>64.6</v>
      </c>
      <c r="AS16" s="4">
        <v>11.0</v>
      </c>
      <c r="AT16" s="4">
        <v>1.2</v>
      </c>
      <c r="AU16" s="4">
        <v>0.6</v>
      </c>
      <c r="AV16" s="4">
        <v>3.3</v>
      </c>
      <c r="AW16" s="4">
        <v>125.0</v>
      </c>
      <c r="AX16" s="4">
        <v>48.7</v>
      </c>
      <c r="AY16" s="4">
        <v>0.4</v>
      </c>
      <c r="AZ16" s="4">
        <v>0.033</v>
      </c>
      <c r="BA16" s="4">
        <v>2.0</v>
      </c>
      <c r="BB16" s="4">
        <v>4.42</v>
      </c>
      <c r="BC16" s="4">
        <f t="shared" si="12"/>
        <v>0.05</v>
      </c>
      <c r="BD16" s="4">
        <f t="shared" si="21"/>
        <v>0.05</v>
      </c>
      <c r="BE16" s="4">
        <v>2.1</v>
      </c>
      <c r="BF16" s="4">
        <v>0.2</v>
      </c>
      <c r="BG16" s="4">
        <v>0.77</v>
      </c>
      <c r="BH16" s="4">
        <v>0.4</v>
      </c>
      <c r="BI16" s="4">
        <v>5.14</v>
      </c>
      <c r="BJ16" s="4">
        <v>12.1</v>
      </c>
      <c r="BK16" s="4">
        <v>14.6</v>
      </c>
      <c r="BL16" s="4">
        <f t="shared" si="5"/>
        <v>0.05</v>
      </c>
      <c r="BM16" s="4">
        <v>0.31</v>
      </c>
      <c r="BN16" s="4">
        <v>660.0</v>
      </c>
      <c r="BO16" s="4">
        <f t="shared" si="20"/>
        <v>5</v>
      </c>
      <c r="BP16" s="4">
        <v>0.45</v>
      </c>
      <c r="BQ16" s="4">
        <v>10.3</v>
      </c>
      <c r="BR16" s="4">
        <v>0.2</v>
      </c>
      <c r="BS16" s="4">
        <v>10.1</v>
      </c>
      <c r="BT16" s="4">
        <v>2.0</v>
      </c>
      <c r="BU16" s="4">
        <v>2.74</v>
      </c>
      <c r="BV16" s="4">
        <v>102.0</v>
      </c>
      <c r="BW16" s="4">
        <v>0.42</v>
      </c>
      <c r="BX16" s="4">
        <v>2.6</v>
      </c>
      <c r="BY16" s="4">
        <f t="shared" si="22"/>
        <v>0.0005</v>
      </c>
      <c r="BZ16" s="4">
        <v>23.2</v>
      </c>
      <c r="CA16" s="4">
        <v>2.4</v>
      </c>
      <c r="CB16" s="4">
        <v>1.1</v>
      </c>
      <c r="CC16" s="4">
        <v>0.093</v>
      </c>
      <c r="CD16" s="4">
        <v>0.31</v>
      </c>
      <c r="CE16" s="4">
        <f t="shared" si="9"/>
        <v>0.025</v>
      </c>
      <c r="CF16" s="4">
        <v>0.04</v>
      </c>
      <c r="CG16" s="4">
        <v>0.3</v>
      </c>
      <c r="CH16" s="4">
        <v>0.031</v>
      </c>
      <c r="CI16" s="4">
        <v>2.9</v>
      </c>
      <c r="CJ16" s="4">
        <f t="shared" si="23"/>
        <v>0.05</v>
      </c>
      <c r="CK16" s="4">
        <v>0.7</v>
      </c>
      <c r="CL16" s="4">
        <v>21.0</v>
      </c>
      <c r="CM16" s="4">
        <v>115.0</v>
      </c>
      <c r="CN16" s="4">
        <v>676.0</v>
      </c>
      <c r="CO16" s="4">
        <v>2.2</v>
      </c>
      <c r="CP16" s="4">
        <v>-19.132417</v>
      </c>
      <c r="CQ16" s="4">
        <v>-65.572633</v>
      </c>
    </row>
    <row r="17">
      <c r="A17" s="4" t="s">
        <v>138</v>
      </c>
      <c r="B17" s="5" t="s">
        <v>133</v>
      </c>
      <c r="C17" s="5" t="s">
        <v>139</v>
      </c>
      <c r="D17" s="5" t="s">
        <v>98</v>
      </c>
      <c r="E17" s="4" t="s">
        <v>99</v>
      </c>
      <c r="F17" s="4" t="s">
        <v>100</v>
      </c>
      <c r="G17" s="4" t="s">
        <v>140</v>
      </c>
      <c r="H17" s="4" t="s">
        <v>141</v>
      </c>
      <c r="I17" s="4">
        <v>0.862</v>
      </c>
      <c r="J17" s="4">
        <v>3.697</v>
      </c>
      <c r="K17" s="4">
        <v>0.5</v>
      </c>
      <c r="L17" s="4">
        <v>535.0</v>
      </c>
      <c r="M17" s="4">
        <v>1.57</v>
      </c>
      <c r="N17" s="4">
        <v>2.64</v>
      </c>
      <c r="O17" s="4">
        <v>23.41</v>
      </c>
      <c r="P17" s="4">
        <v>0.35</v>
      </c>
      <c r="Q17" s="4">
        <v>8.5</v>
      </c>
      <c r="R17" s="4">
        <v>75.2</v>
      </c>
      <c r="S17" s="4">
        <v>22.8</v>
      </c>
      <c r="T17" s="4">
        <v>2.0</v>
      </c>
      <c r="U17" s="4" t="s">
        <v>127</v>
      </c>
      <c r="V17" s="4">
        <v>13.98</v>
      </c>
      <c r="W17" s="4">
        <v>41.95</v>
      </c>
      <c r="X17" s="4">
        <v>26.02</v>
      </c>
      <c r="Y17" s="4">
        <v>4.02</v>
      </c>
      <c r="Z17" s="4">
        <v>0.27</v>
      </c>
      <c r="AA17" s="4">
        <v>0.0</v>
      </c>
      <c r="AB17" s="4">
        <v>0.0</v>
      </c>
      <c r="AC17" s="4">
        <v>13.76</v>
      </c>
      <c r="AD17" s="4" t="s">
        <v>118</v>
      </c>
      <c r="AE17" s="4">
        <v>0.96</v>
      </c>
      <c r="AF17" s="4">
        <v>3.25</v>
      </c>
      <c r="AG17" s="4">
        <v>25.4</v>
      </c>
      <c r="AH17" s="4">
        <f t="shared" si="2"/>
        <v>0.5</v>
      </c>
      <c r="AI17" s="4">
        <v>249.0</v>
      </c>
      <c r="AJ17" s="4">
        <v>1.0</v>
      </c>
      <c r="AK17" s="4">
        <v>13.5</v>
      </c>
      <c r="AL17" s="4">
        <v>13.0</v>
      </c>
      <c r="AM17" s="4">
        <v>0.27</v>
      </c>
      <c r="AN17" s="4">
        <v>0.61</v>
      </c>
      <c r="AO17" s="4">
        <v>20.1</v>
      </c>
      <c r="AP17" s="4">
        <v>4.87</v>
      </c>
      <c r="AQ17" s="4">
        <v>36.5</v>
      </c>
      <c r="AR17" s="4">
        <v>20.4</v>
      </c>
      <c r="AS17" s="4">
        <v>11.0</v>
      </c>
      <c r="AT17" s="4">
        <v>1.4</v>
      </c>
      <c r="AU17" s="4">
        <v>0.5</v>
      </c>
      <c r="AV17" s="4">
        <v>3.8</v>
      </c>
      <c r="AW17" s="4">
        <v>7.3</v>
      </c>
      <c r="AX17" s="4">
        <v>37.7</v>
      </c>
      <c r="AY17" s="4">
        <v>0.4</v>
      </c>
      <c r="AZ17" s="4">
        <v>0.044</v>
      </c>
      <c r="BA17" s="4">
        <v>2.2</v>
      </c>
      <c r="BB17" s="4">
        <v>1.49</v>
      </c>
      <c r="BC17" s="4">
        <f t="shared" si="12"/>
        <v>0.05</v>
      </c>
      <c r="BD17" s="4">
        <f t="shared" si="21"/>
        <v>0.05</v>
      </c>
      <c r="BE17" s="4">
        <v>2.52</v>
      </c>
      <c r="BF17" s="4">
        <v>0.2</v>
      </c>
      <c r="BG17" s="4">
        <v>0.12</v>
      </c>
      <c r="BH17" s="4">
        <v>0.4</v>
      </c>
      <c r="BI17" s="4">
        <v>5.82</v>
      </c>
      <c r="BJ17" s="4">
        <v>9.5</v>
      </c>
      <c r="BK17" s="4">
        <v>12.6</v>
      </c>
      <c r="BL17" s="4">
        <f t="shared" si="5"/>
        <v>0.05</v>
      </c>
      <c r="BM17" s="4">
        <v>0.3</v>
      </c>
      <c r="BN17" s="4">
        <v>485.0</v>
      </c>
      <c r="BO17" s="4">
        <f t="shared" si="20"/>
        <v>5</v>
      </c>
      <c r="BP17" s="4">
        <v>0.47</v>
      </c>
      <c r="BQ17" s="4">
        <v>9.91</v>
      </c>
      <c r="BR17" s="4">
        <v>0.1</v>
      </c>
      <c r="BS17" s="4">
        <v>13.1</v>
      </c>
      <c r="BT17" s="4">
        <f t="shared" ref="BT17:BT22" si="25">0.5*0.5</f>
        <v>0.25</v>
      </c>
      <c r="BU17" s="4">
        <v>0.436</v>
      </c>
      <c r="BV17" s="4">
        <v>21.2</v>
      </c>
      <c r="BW17" s="4">
        <v>0.31</v>
      </c>
      <c r="BX17" s="4">
        <v>2.3</v>
      </c>
      <c r="BY17" s="4">
        <f t="shared" si="22"/>
        <v>0.0005</v>
      </c>
      <c r="BZ17" s="4">
        <v>16.9</v>
      </c>
      <c r="CA17" s="4">
        <v>2.2</v>
      </c>
      <c r="CB17" s="4">
        <v>0.8</v>
      </c>
      <c r="CC17" s="4">
        <v>0.061</v>
      </c>
      <c r="CD17" s="4">
        <v>0.17</v>
      </c>
      <c r="CE17" s="4">
        <f t="shared" si="9"/>
        <v>0.025</v>
      </c>
      <c r="CF17" s="4">
        <f t="shared" ref="CF17:CF23" si="26">0.5*0.02</f>
        <v>0.01</v>
      </c>
      <c r="CG17" s="4">
        <v>0.3</v>
      </c>
      <c r="CH17" s="4">
        <v>0.006</v>
      </c>
      <c r="CI17" s="4">
        <v>4.4</v>
      </c>
      <c r="CJ17" s="4">
        <f t="shared" si="23"/>
        <v>0.05</v>
      </c>
      <c r="CK17" s="4">
        <v>0.6</v>
      </c>
      <c r="CL17" s="4">
        <v>18.0</v>
      </c>
      <c r="CM17" s="4">
        <v>77.0</v>
      </c>
      <c r="CN17" s="4">
        <v>107.0</v>
      </c>
      <c r="CO17" s="4">
        <v>1.6</v>
      </c>
      <c r="CP17" s="4">
        <v>-19.132417</v>
      </c>
      <c r="CQ17" s="4">
        <v>-65.572633</v>
      </c>
    </row>
    <row r="18">
      <c r="A18" s="4" t="s">
        <v>138</v>
      </c>
      <c r="B18" s="5" t="s">
        <v>133</v>
      </c>
      <c r="C18" s="5" t="s">
        <v>139</v>
      </c>
      <c r="D18" s="5" t="s">
        <v>98</v>
      </c>
      <c r="E18" s="4" t="s">
        <v>99</v>
      </c>
      <c r="F18" s="4" t="s">
        <v>100</v>
      </c>
      <c r="G18" s="4" t="s">
        <v>140</v>
      </c>
      <c r="H18" s="4" t="s">
        <v>141</v>
      </c>
      <c r="I18" s="4">
        <v>0.862</v>
      </c>
      <c r="J18" s="4">
        <v>3.697</v>
      </c>
      <c r="K18" s="4">
        <v>0.5</v>
      </c>
      <c r="L18" s="4">
        <v>535.0</v>
      </c>
      <c r="M18" s="4">
        <v>1.57</v>
      </c>
      <c r="N18" s="4">
        <v>2.64</v>
      </c>
      <c r="O18" s="4">
        <v>23.41</v>
      </c>
      <c r="P18" s="4">
        <v>0.35</v>
      </c>
      <c r="Q18" s="4">
        <v>8.5</v>
      </c>
      <c r="R18" s="4">
        <v>75.2</v>
      </c>
      <c r="S18" s="4">
        <v>22.8</v>
      </c>
      <c r="T18" s="4">
        <v>2.0</v>
      </c>
      <c r="U18" s="4" t="s">
        <v>127</v>
      </c>
      <c r="V18" s="4">
        <v>13.98</v>
      </c>
      <c r="W18" s="4">
        <v>41.95</v>
      </c>
      <c r="X18" s="4">
        <v>26.02</v>
      </c>
      <c r="Y18" s="4">
        <v>4.02</v>
      </c>
      <c r="Z18" s="4">
        <v>0.27</v>
      </c>
      <c r="AA18" s="4">
        <v>0.0</v>
      </c>
      <c r="AB18" s="4">
        <v>0.0</v>
      </c>
      <c r="AC18" s="4">
        <v>13.76</v>
      </c>
      <c r="AD18" s="4" t="s">
        <v>119</v>
      </c>
      <c r="AE18" s="4">
        <v>1.23</v>
      </c>
      <c r="AF18" s="4">
        <v>2.99</v>
      </c>
      <c r="AG18" s="4">
        <v>32.5</v>
      </c>
      <c r="AH18" s="4">
        <f t="shared" si="2"/>
        <v>0.5</v>
      </c>
      <c r="AI18" s="4">
        <v>165.0</v>
      </c>
      <c r="AJ18" s="4">
        <v>0.9</v>
      </c>
      <c r="AK18" s="4">
        <v>7.17</v>
      </c>
      <c r="AL18" s="4">
        <v>16.0</v>
      </c>
      <c r="AM18" s="4">
        <v>0.25</v>
      </c>
      <c r="AN18" s="4">
        <v>0.65</v>
      </c>
      <c r="AO18" s="4">
        <v>18.0</v>
      </c>
      <c r="AP18" s="4">
        <v>4.59</v>
      </c>
      <c r="AQ18" s="4">
        <v>100.0</v>
      </c>
      <c r="AR18" s="4">
        <v>16.4</v>
      </c>
      <c r="AS18" s="4">
        <v>11.0</v>
      </c>
      <c r="AT18" s="4">
        <v>1.2</v>
      </c>
      <c r="AU18" s="4">
        <v>0.5</v>
      </c>
      <c r="AV18" s="4">
        <v>3.5</v>
      </c>
      <c r="AW18" s="4">
        <v>11.8</v>
      </c>
      <c r="AX18" s="4">
        <v>53.2</v>
      </c>
      <c r="AY18" s="4">
        <v>0.3</v>
      </c>
      <c r="AZ18" s="4">
        <v>0.034</v>
      </c>
      <c r="BA18" s="4">
        <v>1.8</v>
      </c>
      <c r="BB18" s="4">
        <v>3.61</v>
      </c>
      <c r="BC18" s="4">
        <f t="shared" si="12"/>
        <v>0.05</v>
      </c>
      <c r="BD18" s="4">
        <f t="shared" si="21"/>
        <v>0.05</v>
      </c>
      <c r="BE18" s="4">
        <v>2.05</v>
      </c>
      <c r="BF18" s="4">
        <v>0.2</v>
      </c>
      <c r="BG18" s="4">
        <v>0.13</v>
      </c>
      <c r="BH18" s="4">
        <v>0.3</v>
      </c>
      <c r="BI18" s="4">
        <v>4.65</v>
      </c>
      <c r="BJ18" s="4">
        <v>8.9</v>
      </c>
      <c r="BK18" s="4">
        <v>14.3</v>
      </c>
      <c r="BL18" s="4">
        <f t="shared" si="5"/>
        <v>0.05</v>
      </c>
      <c r="BM18" s="4">
        <v>0.34</v>
      </c>
      <c r="BN18" s="4">
        <v>407.0</v>
      </c>
      <c r="BO18" s="4">
        <f t="shared" si="20"/>
        <v>5</v>
      </c>
      <c r="BP18" s="4">
        <v>0.37</v>
      </c>
      <c r="BQ18" s="4">
        <v>8.7</v>
      </c>
      <c r="BR18" s="4">
        <v>0.4</v>
      </c>
      <c r="BS18" s="4">
        <v>10.9</v>
      </c>
      <c r="BT18" s="4">
        <f t="shared" si="25"/>
        <v>0.25</v>
      </c>
      <c r="BU18" s="4">
        <v>0.346</v>
      </c>
      <c r="BV18" s="4">
        <v>20.6</v>
      </c>
      <c r="BW18" s="4">
        <v>0.41</v>
      </c>
      <c r="BX18" s="4">
        <v>2.1</v>
      </c>
      <c r="BY18" s="4">
        <f t="shared" si="22"/>
        <v>0.0005</v>
      </c>
      <c r="BZ18" s="4">
        <v>23.4</v>
      </c>
      <c r="CA18" s="4">
        <v>1.8</v>
      </c>
      <c r="CB18" s="4">
        <v>0.9</v>
      </c>
      <c r="CC18" s="4">
        <v>0.095</v>
      </c>
      <c r="CD18" s="4">
        <v>0.23</v>
      </c>
      <c r="CE18" s="4">
        <f t="shared" si="9"/>
        <v>0.025</v>
      </c>
      <c r="CF18" s="4">
        <f t="shared" si="26"/>
        <v>0.01</v>
      </c>
      <c r="CG18" s="4">
        <v>0.2</v>
      </c>
      <c r="CH18" s="4">
        <v>0.041</v>
      </c>
      <c r="CI18" s="4">
        <v>3.5</v>
      </c>
      <c r="CJ18" s="4">
        <f t="shared" si="23"/>
        <v>0.05</v>
      </c>
      <c r="CK18" s="4">
        <v>0.5</v>
      </c>
      <c r="CL18" s="4">
        <v>22.0</v>
      </c>
      <c r="CM18" s="4">
        <f t="shared" ref="CM18:CM19" si="27">1.5*200</f>
        <v>300</v>
      </c>
      <c r="CN18" s="4">
        <v>125.0</v>
      </c>
      <c r="CO18" s="4">
        <v>2.2</v>
      </c>
      <c r="CP18" s="4">
        <v>-19.132417</v>
      </c>
      <c r="CQ18" s="4">
        <v>-65.572633</v>
      </c>
    </row>
    <row r="19">
      <c r="A19" s="4" t="s">
        <v>138</v>
      </c>
      <c r="B19" s="5" t="s">
        <v>133</v>
      </c>
      <c r="C19" s="5" t="s">
        <v>139</v>
      </c>
      <c r="D19" s="5" t="s">
        <v>98</v>
      </c>
      <c r="E19" s="4" t="s">
        <v>99</v>
      </c>
      <c r="F19" s="4" t="s">
        <v>100</v>
      </c>
      <c r="G19" s="4" t="s">
        <v>140</v>
      </c>
      <c r="H19" s="4" t="s">
        <v>141</v>
      </c>
      <c r="I19" s="4">
        <v>0.862</v>
      </c>
      <c r="J19" s="4">
        <v>3.697</v>
      </c>
      <c r="K19" s="4">
        <v>1.0</v>
      </c>
      <c r="L19" s="4">
        <v>606.0</v>
      </c>
      <c r="M19" s="4">
        <v>1.67</v>
      </c>
      <c r="N19" s="4">
        <v>2.65</v>
      </c>
      <c r="O19" s="4">
        <v>24.17</v>
      </c>
      <c r="P19" s="4">
        <v>0.35</v>
      </c>
      <c r="Q19" s="4">
        <v>8.3</v>
      </c>
      <c r="R19" s="4">
        <v>74.22</v>
      </c>
      <c r="S19" s="4">
        <v>23.78</v>
      </c>
      <c r="T19" s="4">
        <v>2.0</v>
      </c>
      <c r="U19" s="4" t="s">
        <v>127</v>
      </c>
      <c r="V19" s="4">
        <v>14.05</v>
      </c>
      <c r="W19" s="4">
        <v>37.89</v>
      </c>
      <c r="X19" s="4">
        <v>29.26</v>
      </c>
      <c r="Y19" s="4">
        <v>4.83</v>
      </c>
      <c r="Z19" s="4">
        <v>0.09</v>
      </c>
      <c r="AA19" s="4">
        <v>0.0</v>
      </c>
      <c r="AB19" s="4">
        <v>0.0</v>
      </c>
      <c r="AC19" s="4">
        <v>13.88</v>
      </c>
      <c r="AD19" s="4" t="s">
        <v>118</v>
      </c>
      <c r="AE19" s="4">
        <v>1.27</v>
      </c>
      <c r="AF19" s="4">
        <v>3.17</v>
      </c>
      <c r="AG19" s="4">
        <v>18.9</v>
      </c>
      <c r="AH19" s="4">
        <f t="shared" si="2"/>
        <v>0.5</v>
      </c>
      <c r="AI19" s="4">
        <v>241.0</v>
      </c>
      <c r="AJ19" s="4">
        <v>1.0</v>
      </c>
      <c r="AK19" s="4">
        <v>1.27</v>
      </c>
      <c r="AL19" s="4">
        <v>16.0</v>
      </c>
      <c r="AM19" s="4">
        <v>0.2</v>
      </c>
      <c r="AN19" s="4">
        <v>0.65</v>
      </c>
      <c r="AO19" s="4">
        <v>19.7</v>
      </c>
      <c r="AP19" s="4">
        <v>5.26</v>
      </c>
      <c r="AQ19" s="4">
        <v>60.7</v>
      </c>
      <c r="AR19" s="4">
        <v>16.2</v>
      </c>
      <c r="AS19" s="4">
        <v>12.0</v>
      </c>
      <c r="AT19" s="4">
        <v>1.4</v>
      </c>
      <c r="AU19" s="4">
        <v>0.6</v>
      </c>
      <c r="AV19" s="4">
        <v>3.7</v>
      </c>
      <c r="AW19" s="4">
        <v>2.2</v>
      </c>
      <c r="AX19" s="4">
        <v>41.6</v>
      </c>
      <c r="AY19" s="4">
        <v>0.4</v>
      </c>
      <c r="AZ19" s="4">
        <v>0.044</v>
      </c>
      <c r="BA19" s="4">
        <v>2.1</v>
      </c>
      <c r="BB19" s="4">
        <v>2.34</v>
      </c>
      <c r="BC19" s="4">
        <f t="shared" si="12"/>
        <v>0.05</v>
      </c>
      <c r="BD19" s="4">
        <f t="shared" si="21"/>
        <v>0.05</v>
      </c>
      <c r="BE19" s="4">
        <v>2.42</v>
      </c>
      <c r="BF19" s="4">
        <v>0.2</v>
      </c>
      <c r="BG19" s="4">
        <v>0.09</v>
      </c>
      <c r="BH19" s="4">
        <v>0.4</v>
      </c>
      <c r="BI19" s="4">
        <v>5.67</v>
      </c>
      <c r="BJ19" s="4">
        <v>9.2</v>
      </c>
      <c r="BK19" s="4">
        <v>15.1</v>
      </c>
      <c r="BL19" s="4">
        <f t="shared" si="5"/>
        <v>0.05</v>
      </c>
      <c r="BM19" s="4">
        <v>0.3</v>
      </c>
      <c r="BN19" s="4">
        <v>438.0</v>
      </c>
      <c r="BO19" s="4">
        <f t="shared" si="20"/>
        <v>5</v>
      </c>
      <c r="BP19" s="4">
        <v>0.44</v>
      </c>
      <c r="BQ19" s="4">
        <v>9.81</v>
      </c>
      <c r="BR19" s="4">
        <v>0.3</v>
      </c>
      <c r="BS19" s="4">
        <v>11.5</v>
      </c>
      <c r="BT19" s="4">
        <f t="shared" si="25"/>
        <v>0.25</v>
      </c>
      <c r="BU19" s="4">
        <v>0.154</v>
      </c>
      <c r="BV19" s="4">
        <v>17.2</v>
      </c>
      <c r="BW19" s="4">
        <v>0.39</v>
      </c>
      <c r="BX19" s="4">
        <v>2.3</v>
      </c>
      <c r="BY19" s="4">
        <v>0.001</v>
      </c>
      <c r="BZ19" s="4">
        <v>20.3</v>
      </c>
      <c r="CA19" s="4">
        <v>2.2</v>
      </c>
      <c r="CB19" s="4">
        <v>0.9</v>
      </c>
      <c r="CC19" s="4">
        <v>0.07</v>
      </c>
      <c r="CD19" s="4">
        <v>0.19</v>
      </c>
      <c r="CE19" s="4">
        <f t="shared" si="9"/>
        <v>0.025</v>
      </c>
      <c r="CF19" s="4">
        <f t="shared" si="26"/>
        <v>0.01</v>
      </c>
      <c r="CG19" s="4">
        <v>0.3</v>
      </c>
      <c r="CH19" s="4">
        <v>0.01</v>
      </c>
      <c r="CI19" s="4">
        <v>4.4</v>
      </c>
      <c r="CJ19" s="4">
        <f t="shared" si="23"/>
        <v>0.05</v>
      </c>
      <c r="CK19" s="4">
        <v>0.6</v>
      </c>
      <c r="CL19" s="4">
        <v>20.0</v>
      </c>
      <c r="CM19" s="4">
        <f t="shared" si="27"/>
        <v>300</v>
      </c>
      <c r="CN19" s="4">
        <v>91.4</v>
      </c>
      <c r="CO19" s="4">
        <v>1.9</v>
      </c>
      <c r="CP19" s="4">
        <v>-19.132417</v>
      </c>
      <c r="CQ19" s="4">
        <v>-65.572633</v>
      </c>
    </row>
    <row r="20">
      <c r="A20" s="4" t="s">
        <v>138</v>
      </c>
      <c r="B20" s="5" t="s">
        <v>133</v>
      </c>
      <c r="C20" s="5" t="s">
        <v>139</v>
      </c>
      <c r="D20" s="5" t="s">
        <v>98</v>
      </c>
      <c r="E20" s="4" t="s">
        <v>99</v>
      </c>
      <c r="F20" s="4" t="s">
        <v>100</v>
      </c>
      <c r="G20" s="4" t="s">
        <v>140</v>
      </c>
      <c r="H20" s="4" t="s">
        <v>141</v>
      </c>
      <c r="I20" s="4">
        <v>0.862</v>
      </c>
      <c r="J20" s="4">
        <v>3.697</v>
      </c>
      <c r="K20" s="4">
        <v>1.0</v>
      </c>
      <c r="L20" s="4">
        <v>606.0</v>
      </c>
      <c r="M20" s="4">
        <v>1.67</v>
      </c>
      <c r="N20" s="4">
        <v>2.65</v>
      </c>
      <c r="O20" s="4">
        <v>24.17</v>
      </c>
      <c r="P20" s="4">
        <v>0.35</v>
      </c>
      <c r="Q20" s="4">
        <v>8.3</v>
      </c>
      <c r="R20" s="4">
        <v>74.22</v>
      </c>
      <c r="S20" s="4">
        <v>23.78</v>
      </c>
      <c r="T20" s="4">
        <v>2.0</v>
      </c>
      <c r="U20" s="4" t="s">
        <v>127</v>
      </c>
      <c r="V20" s="4">
        <v>14.05</v>
      </c>
      <c r="W20" s="4">
        <v>37.89</v>
      </c>
      <c r="X20" s="4">
        <v>29.26</v>
      </c>
      <c r="Y20" s="4">
        <v>4.83</v>
      </c>
      <c r="Z20" s="4">
        <v>0.09</v>
      </c>
      <c r="AA20" s="4">
        <v>0.0</v>
      </c>
      <c r="AB20" s="4">
        <v>0.0</v>
      </c>
      <c r="AC20" s="4">
        <v>13.88</v>
      </c>
      <c r="AD20" s="4" t="s">
        <v>119</v>
      </c>
      <c r="AE20" s="4">
        <v>0.81</v>
      </c>
      <c r="AF20" s="4">
        <v>1.03</v>
      </c>
      <c r="AG20" s="4">
        <v>17.1</v>
      </c>
      <c r="AH20" s="4">
        <f t="shared" si="2"/>
        <v>0.5</v>
      </c>
      <c r="AI20" s="4">
        <v>146.0</v>
      </c>
      <c r="AJ20" s="4">
        <v>0.7</v>
      </c>
      <c r="AK20" s="4">
        <v>2.6</v>
      </c>
      <c r="AL20" s="4">
        <v>9.0</v>
      </c>
      <c r="AM20" s="4">
        <v>0.08</v>
      </c>
      <c r="AN20" s="4">
        <v>0.46</v>
      </c>
      <c r="AO20" s="4">
        <v>14.3</v>
      </c>
      <c r="AP20" s="4">
        <v>1.41</v>
      </c>
      <c r="AQ20" s="4">
        <v>122.0</v>
      </c>
      <c r="AR20" s="4">
        <v>21.2</v>
      </c>
      <c r="AS20" s="4">
        <v>12.0</v>
      </c>
      <c r="AT20" s="4">
        <v>1.5</v>
      </c>
      <c r="AU20" s="4">
        <v>0.7</v>
      </c>
      <c r="AV20" s="4">
        <v>3.2</v>
      </c>
      <c r="AW20" s="4">
        <v>5.12</v>
      </c>
      <c r="AX20" s="4">
        <v>38.2</v>
      </c>
      <c r="AY20" s="4">
        <v>0.4</v>
      </c>
      <c r="AZ20" s="4">
        <v>0.057</v>
      </c>
      <c r="BA20" s="4">
        <v>2.3</v>
      </c>
      <c r="BB20" s="4">
        <v>1.57</v>
      </c>
      <c r="BC20" s="4">
        <f t="shared" si="12"/>
        <v>0.05</v>
      </c>
      <c r="BD20" s="4">
        <f t="shared" si="21"/>
        <v>0.05</v>
      </c>
      <c r="BE20" s="4">
        <v>2.55</v>
      </c>
      <c r="BF20" s="4">
        <v>0.3</v>
      </c>
      <c r="BG20" s="4">
        <v>0.04</v>
      </c>
      <c r="BH20" s="4">
        <v>0.4</v>
      </c>
      <c r="BI20" s="4">
        <v>6.61</v>
      </c>
      <c r="BJ20" s="4">
        <v>6.4</v>
      </c>
      <c r="BK20" s="4">
        <v>9.0</v>
      </c>
      <c r="BL20" s="4">
        <f t="shared" si="5"/>
        <v>0.05</v>
      </c>
      <c r="BM20" s="4">
        <v>0.32</v>
      </c>
      <c r="BN20" s="4">
        <v>501.0</v>
      </c>
      <c r="BO20" s="4">
        <f t="shared" si="20"/>
        <v>5</v>
      </c>
      <c r="BP20" s="4">
        <v>0.59</v>
      </c>
      <c r="BQ20" s="4">
        <v>7.79</v>
      </c>
      <c r="BR20" s="4">
        <f>0.5*0.1</f>
        <v>0.05</v>
      </c>
      <c r="BS20" s="4">
        <v>14.6</v>
      </c>
      <c r="BT20" s="4">
        <f t="shared" si="25"/>
        <v>0.25</v>
      </c>
      <c r="BU20" s="4">
        <v>0.142</v>
      </c>
      <c r="BV20" s="4">
        <v>18.1</v>
      </c>
      <c r="BW20" s="4">
        <v>0.29</v>
      </c>
      <c r="BX20" s="4">
        <v>1.8</v>
      </c>
      <c r="BY20" s="4">
        <f t="shared" ref="BY20:BY23" si="28">0.5*0.001</f>
        <v>0.0005</v>
      </c>
      <c r="BZ20" s="4">
        <v>14.4</v>
      </c>
      <c r="CA20" s="4">
        <v>2.1</v>
      </c>
      <c r="CB20" s="4">
        <v>0.9</v>
      </c>
      <c r="CC20" s="4">
        <v>0.036</v>
      </c>
      <c r="CD20" s="4">
        <v>0.1</v>
      </c>
      <c r="CE20" s="4">
        <f t="shared" si="9"/>
        <v>0.025</v>
      </c>
      <c r="CF20" s="4">
        <f t="shared" si="26"/>
        <v>0.01</v>
      </c>
      <c r="CG20" s="4">
        <v>0.3</v>
      </c>
      <c r="CH20" s="4">
        <v>0.006</v>
      </c>
      <c r="CI20" s="4">
        <v>2.9</v>
      </c>
      <c r="CJ20" s="4">
        <f t="shared" si="23"/>
        <v>0.05</v>
      </c>
      <c r="CK20" s="4">
        <v>0.5</v>
      </c>
      <c r="CL20" s="4">
        <v>15.0</v>
      </c>
      <c r="CM20" s="4">
        <v>98.5</v>
      </c>
      <c r="CN20" s="4">
        <v>54.9</v>
      </c>
      <c r="CO20" s="4">
        <v>1.2</v>
      </c>
      <c r="CP20" s="4">
        <v>-19.132417</v>
      </c>
      <c r="CQ20" s="4">
        <v>-65.572633</v>
      </c>
    </row>
    <row r="21">
      <c r="A21" s="4" t="s">
        <v>142</v>
      </c>
      <c r="B21" s="5" t="s">
        <v>143</v>
      </c>
      <c r="C21" s="5" t="s">
        <v>144</v>
      </c>
      <c r="D21" s="5" t="s">
        <v>145</v>
      </c>
      <c r="E21" s="4" t="s">
        <v>99</v>
      </c>
      <c r="F21" s="4" t="s">
        <v>100</v>
      </c>
      <c r="G21" s="4" t="s">
        <v>146</v>
      </c>
      <c r="H21" s="4" t="s">
        <v>147</v>
      </c>
      <c r="I21" s="4"/>
      <c r="J21" s="4"/>
      <c r="K21" s="4">
        <v>2.0</v>
      </c>
      <c r="L21" s="4">
        <v>819.0</v>
      </c>
      <c r="M21" s="4">
        <v>1.77</v>
      </c>
      <c r="N21" s="4">
        <v>2.6</v>
      </c>
      <c r="O21" s="4">
        <v>27.77</v>
      </c>
      <c r="P21" s="4">
        <v>0.85</v>
      </c>
      <c r="Q21" s="4">
        <v>8.0</v>
      </c>
      <c r="R21" s="4">
        <v>3.2</v>
      </c>
      <c r="S21" s="4">
        <v>85.8</v>
      </c>
      <c r="T21" s="4">
        <v>11.0</v>
      </c>
      <c r="U21" s="4" t="s">
        <v>111</v>
      </c>
      <c r="V21" s="4">
        <v>22.54</v>
      </c>
      <c r="W21" s="4">
        <v>2.05</v>
      </c>
      <c r="X21" s="4">
        <v>0.04</v>
      </c>
      <c r="Y21" s="4">
        <v>0.01</v>
      </c>
      <c r="Z21" s="4">
        <v>0.0</v>
      </c>
      <c r="AA21" s="4">
        <v>0.0</v>
      </c>
      <c r="AB21" s="4">
        <v>0.0</v>
      </c>
      <c r="AC21" s="4">
        <v>75.36</v>
      </c>
      <c r="AD21" s="4" t="s">
        <v>104</v>
      </c>
      <c r="AE21" s="4">
        <v>2.07</v>
      </c>
      <c r="AF21" s="4">
        <v>1.68</v>
      </c>
      <c r="AG21" s="4">
        <v>14.4</v>
      </c>
      <c r="AH21" s="4">
        <f t="shared" si="2"/>
        <v>0.5</v>
      </c>
      <c r="AI21" s="4">
        <v>203.0</v>
      </c>
      <c r="AJ21" s="4">
        <v>1.0</v>
      </c>
      <c r="AK21" s="4">
        <v>1.1</v>
      </c>
      <c r="AL21" s="4">
        <v>12.0</v>
      </c>
      <c r="AM21" s="4">
        <v>0.2</v>
      </c>
      <c r="AN21" s="4">
        <v>0.5</v>
      </c>
      <c r="AO21" s="4">
        <v>21.1</v>
      </c>
      <c r="AP21" s="4">
        <v>5.17</v>
      </c>
      <c r="AQ21" s="4">
        <v>55.3</v>
      </c>
      <c r="AR21" s="4">
        <v>19.2</v>
      </c>
      <c r="AS21" s="4">
        <v>21.0</v>
      </c>
      <c r="AT21" s="4">
        <v>1.4</v>
      </c>
      <c r="AU21" s="4">
        <v>0.6</v>
      </c>
      <c r="AV21" s="4">
        <v>4.5</v>
      </c>
      <c r="AW21" s="4">
        <v>2.22</v>
      </c>
      <c r="AX21" s="4">
        <v>45.6</v>
      </c>
      <c r="AY21" s="4">
        <v>0.5</v>
      </c>
      <c r="AZ21" s="4">
        <v>0.04</v>
      </c>
      <c r="BA21" s="4">
        <v>2.4</v>
      </c>
      <c r="BB21" s="4">
        <v>4.9</v>
      </c>
      <c r="BC21" s="4">
        <f t="shared" si="12"/>
        <v>0.05</v>
      </c>
      <c r="BD21" s="4">
        <f t="shared" si="21"/>
        <v>0.05</v>
      </c>
      <c r="BE21" s="4">
        <v>2.77</v>
      </c>
      <c r="BF21" s="4">
        <v>0.3</v>
      </c>
      <c r="BG21" s="4">
        <v>0.05</v>
      </c>
      <c r="BH21" s="4">
        <v>0.4</v>
      </c>
      <c r="BI21" s="4">
        <v>5.99</v>
      </c>
      <c r="BJ21" s="4">
        <v>9.9</v>
      </c>
      <c r="BK21" s="4">
        <v>31.8</v>
      </c>
      <c r="BL21" s="4">
        <f t="shared" si="5"/>
        <v>0.05</v>
      </c>
      <c r="BM21" s="4">
        <v>0.51</v>
      </c>
      <c r="BN21" s="4">
        <v>404.0</v>
      </c>
      <c r="BO21" s="4">
        <f t="shared" si="20"/>
        <v>5</v>
      </c>
      <c r="BP21" s="4">
        <v>0.53</v>
      </c>
      <c r="BQ21" s="4">
        <v>10.9</v>
      </c>
      <c r="BR21" s="4">
        <v>0.3</v>
      </c>
      <c r="BS21" s="4">
        <v>22.8</v>
      </c>
      <c r="BT21" s="4">
        <f t="shared" si="25"/>
        <v>0.25</v>
      </c>
      <c r="BU21" s="4">
        <v>0.12</v>
      </c>
      <c r="BV21" s="4">
        <v>19.4</v>
      </c>
      <c r="BW21" s="4">
        <v>0.54</v>
      </c>
      <c r="BX21" s="4">
        <v>2.5</v>
      </c>
      <c r="BY21" s="4">
        <f t="shared" si="28"/>
        <v>0.0005</v>
      </c>
      <c r="BZ21" s="4">
        <v>30.5</v>
      </c>
      <c r="CA21" s="4">
        <v>2.1</v>
      </c>
      <c r="CB21" s="4">
        <v>0.9</v>
      </c>
      <c r="CC21" s="4">
        <v>0.098</v>
      </c>
      <c r="CD21" s="4">
        <v>0.21</v>
      </c>
      <c r="CE21" s="4">
        <f t="shared" si="9"/>
        <v>0.025</v>
      </c>
      <c r="CF21" s="4">
        <f t="shared" si="26"/>
        <v>0.01</v>
      </c>
      <c r="CG21" s="4">
        <v>0.3</v>
      </c>
      <c r="CH21" s="4">
        <v>0.017</v>
      </c>
      <c r="CI21" s="4">
        <v>4.5</v>
      </c>
      <c r="CJ21" s="4">
        <f t="shared" si="23"/>
        <v>0.05</v>
      </c>
      <c r="CK21" s="4">
        <v>0.6</v>
      </c>
      <c r="CL21" s="4">
        <v>30.0</v>
      </c>
      <c r="CM21" s="4">
        <v>150.0</v>
      </c>
      <c r="CN21" s="4">
        <v>91.6</v>
      </c>
      <c r="CO21" s="4">
        <v>2.7</v>
      </c>
      <c r="CP21" s="4">
        <v>-22.378117</v>
      </c>
      <c r="CQ21" s="4">
        <v>-62.518583</v>
      </c>
    </row>
    <row r="22">
      <c r="A22" s="4" t="s">
        <v>142</v>
      </c>
      <c r="B22" s="5" t="s">
        <v>143</v>
      </c>
      <c r="C22" s="5" t="s">
        <v>144</v>
      </c>
      <c r="D22" s="5" t="s">
        <v>145</v>
      </c>
      <c r="E22" s="4" t="s">
        <v>99</v>
      </c>
      <c r="F22" s="4" t="s">
        <v>100</v>
      </c>
      <c r="G22" s="4" t="s">
        <v>146</v>
      </c>
      <c r="H22" s="4" t="s">
        <v>147</v>
      </c>
      <c r="I22" s="4"/>
      <c r="J22" s="4"/>
      <c r="K22" s="4">
        <v>3.0</v>
      </c>
      <c r="L22" s="4">
        <v>628.0</v>
      </c>
      <c r="M22" s="4">
        <v>1.47</v>
      </c>
      <c r="N22" s="4">
        <v>2.6</v>
      </c>
      <c r="O22" s="4">
        <v>26.26</v>
      </c>
      <c r="P22" s="4">
        <v>0.75</v>
      </c>
      <c r="Q22" s="4">
        <v>8.0</v>
      </c>
      <c r="R22" s="4">
        <v>3.46</v>
      </c>
      <c r="S22" s="4">
        <v>87.54</v>
      </c>
      <c r="T22" s="4">
        <v>9.0</v>
      </c>
      <c r="U22" s="4" t="s">
        <v>111</v>
      </c>
      <c r="V22" s="4">
        <v>29.06</v>
      </c>
      <c r="W22" s="4">
        <v>2.69</v>
      </c>
      <c r="X22" s="4">
        <v>0.17</v>
      </c>
      <c r="Y22" s="4">
        <v>0.03</v>
      </c>
      <c r="Z22" s="4">
        <v>0.0</v>
      </c>
      <c r="AA22" s="4">
        <v>0.0</v>
      </c>
      <c r="AB22" s="4">
        <v>0.0</v>
      </c>
      <c r="AC22" s="4">
        <v>68.05</v>
      </c>
      <c r="AD22" s="4" t="s">
        <v>104</v>
      </c>
      <c r="AE22" s="4">
        <v>2.07</v>
      </c>
      <c r="AF22" s="4">
        <v>1.68</v>
      </c>
      <c r="AG22" s="4">
        <v>14.4</v>
      </c>
      <c r="AH22" s="4">
        <f t="shared" si="2"/>
        <v>0.5</v>
      </c>
      <c r="AI22" s="4">
        <v>203.0</v>
      </c>
      <c r="AJ22" s="4">
        <v>1.0</v>
      </c>
      <c r="AK22" s="4">
        <v>1.1</v>
      </c>
      <c r="AL22" s="4">
        <v>12.0</v>
      </c>
      <c r="AM22" s="4">
        <v>0.2</v>
      </c>
      <c r="AN22" s="4">
        <v>0.5</v>
      </c>
      <c r="AO22" s="4">
        <v>21.1</v>
      </c>
      <c r="AP22" s="4">
        <v>5.17</v>
      </c>
      <c r="AQ22" s="4">
        <v>55.3</v>
      </c>
      <c r="AR22" s="4">
        <v>19.2</v>
      </c>
      <c r="AS22" s="4">
        <v>21.0</v>
      </c>
      <c r="AT22" s="4">
        <v>1.4</v>
      </c>
      <c r="AU22" s="4">
        <v>0.6</v>
      </c>
      <c r="AV22" s="4">
        <v>4.5</v>
      </c>
      <c r="AW22" s="4">
        <v>2.22</v>
      </c>
      <c r="AX22" s="4">
        <v>45.6</v>
      </c>
      <c r="AY22" s="4">
        <v>0.5</v>
      </c>
      <c r="AZ22" s="4">
        <v>0.04</v>
      </c>
      <c r="BA22" s="4">
        <v>2.4</v>
      </c>
      <c r="BB22" s="4">
        <v>4.9</v>
      </c>
      <c r="BC22" s="4">
        <f t="shared" si="12"/>
        <v>0.05</v>
      </c>
      <c r="BD22" s="4">
        <f t="shared" si="21"/>
        <v>0.05</v>
      </c>
      <c r="BE22" s="4">
        <v>2.77</v>
      </c>
      <c r="BF22" s="4">
        <v>0.3</v>
      </c>
      <c r="BG22" s="4">
        <v>0.05</v>
      </c>
      <c r="BH22" s="4">
        <v>0.4</v>
      </c>
      <c r="BI22" s="4">
        <v>5.99</v>
      </c>
      <c r="BJ22" s="4">
        <v>9.9</v>
      </c>
      <c r="BK22" s="4">
        <v>31.8</v>
      </c>
      <c r="BL22" s="4">
        <f t="shared" si="5"/>
        <v>0.05</v>
      </c>
      <c r="BM22" s="4">
        <v>0.51</v>
      </c>
      <c r="BN22" s="4">
        <v>404.0</v>
      </c>
      <c r="BO22" s="4">
        <f t="shared" si="20"/>
        <v>5</v>
      </c>
      <c r="BP22" s="4">
        <v>0.53</v>
      </c>
      <c r="BQ22" s="4">
        <v>10.9</v>
      </c>
      <c r="BR22" s="4">
        <v>0.3</v>
      </c>
      <c r="BS22" s="4">
        <v>22.8</v>
      </c>
      <c r="BT22" s="4">
        <f t="shared" si="25"/>
        <v>0.25</v>
      </c>
      <c r="BU22" s="4">
        <v>0.12</v>
      </c>
      <c r="BV22" s="4">
        <v>19.4</v>
      </c>
      <c r="BW22" s="4">
        <v>0.54</v>
      </c>
      <c r="BX22" s="4">
        <v>2.5</v>
      </c>
      <c r="BY22" s="4">
        <f t="shared" si="28"/>
        <v>0.0005</v>
      </c>
      <c r="BZ22" s="4">
        <v>30.5</v>
      </c>
      <c r="CA22" s="4">
        <v>2.1</v>
      </c>
      <c r="CB22" s="4">
        <v>0.9</v>
      </c>
      <c r="CC22" s="4">
        <v>0.098</v>
      </c>
      <c r="CD22" s="4">
        <v>0.21</v>
      </c>
      <c r="CE22" s="4">
        <f t="shared" si="9"/>
        <v>0.025</v>
      </c>
      <c r="CF22" s="4">
        <f t="shared" si="26"/>
        <v>0.01</v>
      </c>
      <c r="CG22" s="4">
        <v>0.3</v>
      </c>
      <c r="CH22" s="4">
        <v>0.017</v>
      </c>
      <c r="CI22" s="4">
        <v>4.5</v>
      </c>
      <c r="CJ22" s="4">
        <f t="shared" si="23"/>
        <v>0.05</v>
      </c>
      <c r="CK22" s="4">
        <v>0.6</v>
      </c>
      <c r="CL22" s="4">
        <v>30.0</v>
      </c>
      <c r="CM22" s="4">
        <v>150.0</v>
      </c>
      <c r="CN22" s="4">
        <v>91.6</v>
      </c>
      <c r="CO22" s="4">
        <v>2.7</v>
      </c>
      <c r="CP22" s="4">
        <v>-22.378117</v>
      </c>
      <c r="CQ22" s="4">
        <v>-62.518583</v>
      </c>
    </row>
    <row r="23">
      <c r="A23" s="4" t="s">
        <v>142</v>
      </c>
      <c r="B23" s="5" t="s">
        <v>143</v>
      </c>
      <c r="C23" s="5" t="s">
        <v>144</v>
      </c>
      <c r="D23" s="5" t="s">
        <v>145</v>
      </c>
      <c r="E23" s="4" t="s">
        <v>99</v>
      </c>
      <c r="F23" s="4" t="s">
        <v>100</v>
      </c>
      <c r="G23" s="4" t="s">
        <v>146</v>
      </c>
      <c r="H23" s="4" t="s">
        <v>147</v>
      </c>
      <c r="I23" s="4"/>
      <c r="J23" s="4"/>
      <c r="K23" s="4">
        <v>3.5</v>
      </c>
      <c r="L23" s="4">
        <v>721.0</v>
      </c>
      <c r="M23" s="4">
        <v>1.45</v>
      </c>
      <c r="N23" s="4">
        <v>2.66</v>
      </c>
      <c r="O23" s="4">
        <v>26.67</v>
      </c>
      <c r="P23" s="4">
        <v>0.75</v>
      </c>
      <c r="Q23" s="4">
        <v>8.0</v>
      </c>
      <c r="R23" s="4">
        <v>2.41</v>
      </c>
      <c r="S23" s="4">
        <v>94.09</v>
      </c>
      <c r="T23" s="4">
        <v>3.5</v>
      </c>
      <c r="U23" s="4" t="s">
        <v>111</v>
      </c>
      <c r="V23" s="4">
        <v>22.68</v>
      </c>
      <c r="W23" s="4">
        <v>1.61</v>
      </c>
      <c r="X23" s="4">
        <v>0.08</v>
      </c>
      <c r="Y23" s="4">
        <v>0.04</v>
      </c>
      <c r="Z23" s="4">
        <v>0.0</v>
      </c>
      <c r="AA23" s="4">
        <v>0.0</v>
      </c>
      <c r="AB23" s="4">
        <v>0.0</v>
      </c>
      <c r="AC23" s="4">
        <v>75.59</v>
      </c>
      <c r="AD23" s="4" t="s">
        <v>118</v>
      </c>
      <c r="AE23" s="4">
        <v>1.85</v>
      </c>
      <c r="AF23" s="4">
        <v>1.7</v>
      </c>
      <c r="AG23" s="4">
        <v>15.3</v>
      </c>
      <c r="AH23" s="4">
        <f t="shared" si="2"/>
        <v>0.5</v>
      </c>
      <c r="AI23" s="4">
        <v>189.0</v>
      </c>
      <c r="AJ23" s="4">
        <v>1.1</v>
      </c>
      <c r="AK23" s="4">
        <v>1.6</v>
      </c>
      <c r="AL23" s="4">
        <v>12.0</v>
      </c>
      <c r="AM23" s="4">
        <v>0.17</v>
      </c>
      <c r="AN23" s="4">
        <v>0.49</v>
      </c>
      <c r="AO23" s="4">
        <v>19.8</v>
      </c>
      <c r="AP23" s="4">
        <v>5.22</v>
      </c>
      <c r="AQ23" s="4">
        <v>51.6</v>
      </c>
      <c r="AR23" s="4">
        <v>22.3</v>
      </c>
      <c r="AS23" s="4">
        <v>21.0</v>
      </c>
      <c r="AT23" s="4">
        <v>1.4</v>
      </c>
      <c r="AU23" s="4">
        <v>0.6</v>
      </c>
      <c r="AV23" s="4">
        <v>4.1</v>
      </c>
      <c r="AW23" s="4">
        <v>2.7</v>
      </c>
      <c r="AX23" s="4">
        <v>46.2</v>
      </c>
      <c r="AY23" s="4">
        <v>0.5</v>
      </c>
      <c r="AZ23" s="4">
        <v>0.039</v>
      </c>
      <c r="BA23" s="4">
        <v>2.4</v>
      </c>
      <c r="BB23" s="4">
        <v>4.72</v>
      </c>
      <c r="BC23" s="4">
        <f t="shared" si="12"/>
        <v>0.05</v>
      </c>
      <c r="BD23" s="4">
        <f t="shared" si="21"/>
        <v>0.05</v>
      </c>
      <c r="BE23" s="4">
        <v>2.92</v>
      </c>
      <c r="BF23" s="4">
        <v>0.2</v>
      </c>
      <c r="BG23" s="4">
        <v>0.07</v>
      </c>
      <c r="BH23" s="4">
        <v>0.4</v>
      </c>
      <c r="BI23" s="4">
        <v>5.88</v>
      </c>
      <c r="BJ23" s="4">
        <v>9.1</v>
      </c>
      <c r="BK23" s="4">
        <v>31.5</v>
      </c>
      <c r="BL23" s="4">
        <f t="shared" si="5"/>
        <v>0.05</v>
      </c>
      <c r="BM23" s="4">
        <v>0.52</v>
      </c>
      <c r="BN23" s="4">
        <v>423.0</v>
      </c>
      <c r="BO23" s="4">
        <f t="shared" si="20"/>
        <v>5</v>
      </c>
      <c r="BP23" s="4">
        <v>0.54</v>
      </c>
      <c r="BQ23" s="4">
        <v>10.2</v>
      </c>
      <c r="BR23" s="4">
        <v>0.3</v>
      </c>
      <c r="BS23" s="4">
        <v>23.1</v>
      </c>
      <c r="BT23" s="4">
        <v>1.0</v>
      </c>
      <c r="BU23" s="4">
        <v>0.143</v>
      </c>
      <c r="BV23" s="4">
        <v>19.7</v>
      </c>
      <c r="BW23" s="4">
        <v>0.49</v>
      </c>
      <c r="BX23" s="4">
        <v>2.4</v>
      </c>
      <c r="BY23" s="4">
        <f t="shared" si="28"/>
        <v>0.0005</v>
      </c>
      <c r="BZ23" s="4">
        <v>28.6</v>
      </c>
      <c r="CA23" s="4">
        <v>2.4</v>
      </c>
      <c r="CB23" s="4">
        <v>0.8</v>
      </c>
      <c r="CC23" s="4">
        <v>0.083</v>
      </c>
      <c r="CD23" s="4">
        <v>0.21</v>
      </c>
      <c r="CE23" s="4">
        <f t="shared" si="9"/>
        <v>0.025</v>
      </c>
      <c r="CF23" s="4">
        <f t="shared" si="26"/>
        <v>0.01</v>
      </c>
      <c r="CG23" s="4">
        <v>0.3</v>
      </c>
      <c r="CH23" s="4">
        <v>0.016</v>
      </c>
      <c r="CI23" s="4">
        <v>4.4</v>
      </c>
      <c r="CJ23" s="4">
        <f t="shared" si="23"/>
        <v>0.05</v>
      </c>
      <c r="CK23" s="4">
        <v>0.6</v>
      </c>
      <c r="CL23" s="4">
        <v>27.0</v>
      </c>
      <c r="CM23" s="4">
        <v>200.0</v>
      </c>
      <c r="CN23" s="4">
        <v>91.1</v>
      </c>
      <c r="CO23" s="4">
        <v>2.2</v>
      </c>
      <c r="CP23" s="4">
        <v>-22.378117</v>
      </c>
      <c r="CQ23" s="4">
        <v>-62.518583</v>
      </c>
    </row>
    <row r="24">
      <c r="B24" s="6"/>
      <c r="C24" s="6"/>
      <c r="D24" s="6"/>
    </row>
    <row r="25">
      <c r="B25" s="6"/>
      <c r="C25" s="6"/>
      <c r="D25" s="6"/>
    </row>
  </sheetData>
  <drawing r:id="rId1"/>
</worksheet>
</file>