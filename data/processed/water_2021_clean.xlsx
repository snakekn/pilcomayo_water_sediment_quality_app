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21_clean" sheetId="1" r:id="rId4"/>
  </sheets>
  <definedNames/>
  <calcPr/>
</workbook>
</file>

<file path=xl/sharedStrings.xml><?xml version="1.0" encoding="utf-8"?>
<sst xmlns="http://schemas.openxmlformats.org/spreadsheetml/2006/main" count="520" uniqueCount="321">
  <si>
    <t>Estación</t>
  </si>
  <si>
    <t>Código</t>
  </si>
  <si>
    <t>Fecha</t>
  </si>
  <si>
    <t>Hora</t>
  </si>
  <si>
    <t>Campaña</t>
  </si>
  <si>
    <t>Responsable</t>
  </si>
  <si>
    <t>Institución</t>
  </si>
  <si>
    <t>Río</t>
  </si>
  <si>
    <t>Cuenca</t>
  </si>
  <si>
    <t>Latitud</t>
  </si>
  <si>
    <t>Longitud</t>
  </si>
  <si>
    <t>Latitud Decimal</t>
  </si>
  <si>
    <t>Longitud Decimal</t>
  </si>
  <si>
    <t>Velocidad Media (m/s)</t>
  </si>
  <si>
    <t>Caudal (m3/s)</t>
  </si>
  <si>
    <t>Resistividad (Ohm.cm)</t>
  </si>
  <si>
    <t>Presión Parcial (mm Hg)</t>
  </si>
  <si>
    <t>pH (u pH)</t>
  </si>
  <si>
    <t>pH (mV) (mV)</t>
  </si>
  <si>
    <t>Conductividad específica (T ref. 25°C) (uS/cm)</t>
  </si>
  <si>
    <t>Salinidad (Sal)</t>
  </si>
  <si>
    <t>Temperatura (C)</t>
  </si>
  <si>
    <t>Oxígeno disuelto (mg/l O2)</t>
  </si>
  <si>
    <t>Saturación de oxígeno (%)</t>
  </si>
  <si>
    <t>Turbiedad (UNT)</t>
  </si>
  <si>
    <t>Sólidos totales (mg/l)</t>
  </si>
  <si>
    <t>Sólidos disueltos totales (mg/l)</t>
  </si>
  <si>
    <t>Sólidos suspendidos totales (mg/l)</t>
  </si>
  <si>
    <t>Color (u PtCo)</t>
  </si>
  <si>
    <t>Dureza total (mg/l CaCO3)</t>
  </si>
  <si>
    <t>Alcalinidad Fenolftaleina (mg/l CaCO3)</t>
  </si>
  <si>
    <t>Alcalinidad total (mg/l CaCO3)</t>
  </si>
  <si>
    <t>Cloruros (mg/l Cl -)</t>
  </si>
  <si>
    <t>Sulfatos (mg/l SO4=)</t>
  </si>
  <si>
    <t>Calcio disuelto (mg/l Ca)</t>
  </si>
  <si>
    <t>Magnesio disuelto (mg/l Mg)</t>
  </si>
  <si>
    <t>Sodio disuelto (mg/l Na)</t>
  </si>
  <si>
    <t>Potasio disuelto (mg/l K)</t>
  </si>
  <si>
    <t>Calcio total (mg/l Ca)</t>
  </si>
  <si>
    <t>Magnesio total (mg/l Mg)</t>
  </si>
  <si>
    <t>Sodio total (mg/l Na)</t>
  </si>
  <si>
    <t>Potasio total (mg/l K)</t>
  </si>
  <si>
    <t>Fósforo total (mg/l PO4)</t>
  </si>
  <si>
    <t>Fósforo disuelto (mg/l PO4)</t>
  </si>
  <si>
    <t>Nitrógeno amoniacal (mg/l NH4)</t>
  </si>
  <si>
    <t>Nitrito (mg/l NO2)</t>
  </si>
  <si>
    <t>Nitrato (mg/l NO3)</t>
  </si>
  <si>
    <t>Nitrógeno total Kjeldahl (mg/l N)</t>
  </si>
  <si>
    <t>Demanda bioquímica de oxígeno (mg/l O2)</t>
  </si>
  <si>
    <t>Demanda química de oxígeno (mg/l O2)</t>
  </si>
  <si>
    <t>Carbono organico disuelto (mg/l)</t>
  </si>
  <si>
    <t>Coliformes totales (en UFC) (UFC/100 ml)</t>
  </si>
  <si>
    <t>Coliformes fecales (en UFC) (UFC/100 ml)</t>
  </si>
  <si>
    <t>Aerobios mesófilos totales (en UFC) (UFC/100 ml)</t>
  </si>
  <si>
    <t>Bismuto disuelto (ug/l Bi)</t>
  </si>
  <si>
    <t>Bismuto total (ug/l Bi)</t>
  </si>
  <si>
    <t>Talio disuelto (ug/l Tl)</t>
  </si>
  <si>
    <t>Talio total (ug/l Tl)</t>
  </si>
  <si>
    <t>Cromo disuelto (ug/l Cr)</t>
  </si>
  <si>
    <t>Manganeso disuelto (ug/l Mn)</t>
  </si>
  <si>
    <t>Niquel disuelto (ug/l Ni)</t>
  </si>
  <si>
    <t>Cobre disuelto (ug/l Cu)</t>
  </si>
  <si>
    <t>Zinc disuelto (ug/l Zn)</t>
  </si>
  <si>
    <t>Arsenico disuelto (ug/l As)</t>
  </si>
  <si>
    <t>Cadmio disuelto (ug/l Cd)</t>
  </si>
  <si>
    <t>Plomo disuelto (ug/l Pb)</t>
  </si>
  <si>
    <t>Plata disuelto (ug/l Ag)</t>
  </si>
  <si>
    <t>Mercurio disuelto (ug/l Hg)</t>
  </si>
  <si>
    <t>Hierro disuelto (ug/l Fe)</t>
  </si>
  <si>
    <t>Boro disuelto (ug/l B)</t>
  </si>
  <si>
    <t>Selenio disuelto (ug/l Se)</t>
  </si>
  <si>
    <t>Cromo total (ug/l Cr)</t>
  </si>
  <si>
    <t>Manganeso total (ug/l Mn)</t>
  </si>
  <si>
    <t>Niquel total (ug/l Ni)</t>
  </si>
  <si>
    <t>Cobre total (ug/l Cu)</t>
  </si>
  <si>
    <t>Zinc total (ug/l Zn)</t>
  </si>
  <si>
    <t>Arsenico total (ug/l As)</t>
  </si>
  <si>
    <t>Cadmio total (ug/l Cd)</t>
  </si>
  <si>
    <t>Plomo total (ug/l Pb)</t>
  </si>
  <si>
    <t>Plata total (ug/l Ag)</t>
  </si>
  <si>
    <t>Mercurio total (ug/l Hg)</t>
  </si>
  <si>
    <t>Hierro total (ug/l Fe)</t>
  </si>
  <si>
    <t>Boro total (ug/l B)</t>
  </si>
  <si>
    <t>Selenio total (ug/l Se)</t>
  </si>
  <si>
    <t>Cianuros libre (mg/l CN-)</t>
  </si>
  <si>
    <t>Sulfuros (mg/l S=)</t>
  </si>
  <si>
    <t>Fenoles (mg/l C6H6O)</t>
  </si>
  <si>
    <t>Hidrocarburos totales (mg/l)</t>
  </si>
  <si>
    <t>Selenio suspensión (mg/kg Se)</t>
  </si>
  <si>
    <t>Zinc en suspensión (mg/kg Zn)</t>
  </si>
  <si>
    <t>Plomo suspensión (mg/kg Pb)</t>
  </si>
  <si>
    <t>Arsenico suspensión (mg/kg As)</t>
  </si>
  <si>
    <t>Boro suspensión (mg/kg B)</t>
  </si>
  <si>
    <t>Cadmio suspensión (mg/kg Cd)</t>
  </si>
  <si>
    <t>Cobre suspensión (mg/kg Cu)</t>
  </si>
  <si>
    <t>Cromo suspensión (mg/kg Cr)</t>
  </si>
  <si>
    <t>Hierro suspensión (mg/kg Fe)</t>
  </si>
  <si>
    <t>Manganeso suspensión (mg/kg Mn)</t>
  </si>
  <si>
    <t>Mercurio suspensión (mg/kg Hg)</t>
  </si>
  <si>
    <t>Niquel suspensión (mg/kg Ni)</t>
  </si>
  <si>
    <t>Chuquiago</t>
  </si>
  <si>
    <t>BCH-060</t>
  </si>
  <si>
    <t>02/12/2021</t>
  </si>
  <si>
    <t>15:20</t>
  </si>
  <si>
    <t>Diciembre 2021</t>
  </si>
  <si>
    <t>Unidad de Monitoreo y Centro de Datos</t>
  </si>
  <si>
    <t>Dirección Ejecutiva - Comisión Trinacional para el Desarrollo de la Cuenca del río Pilcomayo</t>
  </si>
  <si>
    <t>San Juan del Oro</t>
  </si>
  <si>
    <t>Unidad 5</t>
  </si>
  <si>
    <t>21° 33' 41.172"</t>
  </si>
  <si>
    <t>65° 38' 51.504"</t>
  </si>
  <si>
    <t>La Angostura</t>
  </si>
  <si>
    <t>BTP-090</t>
  </si>
  <si>
    <t>13:45</t>
  </si>
  <si>
    <t>Tupiza</t>
  </si>
  <si>
    <t>21° 30' 17.01"</t>
  </si>
  <si>
    <t>65° 42' 18.84"</t>
  </si>
  <si>
    <t>Cotagaita</t>
  </si>
  <si>
    <t>BCO-070</t>
  </si>
  <si>
    <t>9:35</t>
  </si>
  <si>
    <t>Unidad 4</t>
  </si>
  <si>
    <t>20° 49' 14.874"</t>
  </si>
  <si>
    <t>65° 40' 3.54"</t>
  </si>
  <si>
    <t>Misión La Paz - SNIH</t>
  </si>
  <si>
    <t>AML-170</t>
  </si>
  <si>
    <t>9:20</t>
  </si>
  <si>
    <t>SIPH</t>
  </si>
  <si>
    <t>Subsecretaría de Recursos Hídricos de la Nación  Argentina</t>
  </si>
  <si>
    <t>Pilcomayo</t>
  </si>
  <si>
    <t>Cuenca Baja</t>
  </si>
  <si>
    <t>NA</t>
  </si>
  <si>
    <t>Tumusla</t>
  </si>
  <si>
    <t>BTU-080</t>
  </si>
  <si>
    <t>7:40</t>
  </si>
  <si>
    <t>20° 29' 12.834"</t>
  </si>
  <si>
    <t>65° 37' 8.154"</t>
  </si>
  <si>
    <t>Yocalla</t>
  </si>
  <si>
    <t>BYO-025</t>
  </si>
  <si>
    <t>01/12/2021</t>
  </si>
  <si>
    <t>14:20</t>
  </si>
  <si>
    <t>Unidad 1</t>
  </si>
  <si>
    <t>19° 23' 50.19"</t>
  </si>
  <si>
    <t>65° 54' 27.48"</t>
  </si>
  <si>
    <t>Tarapaya</t>
  </si>
  <si>
    <t>BTA-050</t>
  </si>
  <si>
    <t>11:50</t>
  </si>
  <si>
    <t>19° 28' 18.492"</t>
  </si>
  <si>
    <t>65° 47' 39.696"</t>
  </si>
  <si>
    <t>San Antonio - Potosí</t>
  </si>
  <si>
    <t>BSA-030</t>
  </si>
  <si>
    <t>8:40</t>
  </si>
  <si>
    <t>Aljamayu</t>
  </si>
  <si>
    <t>19° 34' 41.562"</t>
  </si>
  <si>
    <t>65° 48' 11.73"</t>
  </si>
  <si>
    <t>Potosí - Naciente río La Ribera</t>
  </si>
  <si>
    <t>BNR-010</t>
  </si>
  <si>
    <t>30/11/2021</t>
  </si>
  <si>
    <t>17:50</t>
  </si>
  <si>
    <t>Noviembre 2021</t>
  </si>
  <si>
    <t>De la Ribera</t>
  </si>
  <si>
    <t>19° 35' 51.54"</t>
  </si>
  <si>
    <t>65° 43' 52.74"</t>
  </si>
  <si>
    <t>Colavi - Canutillos</t>
  </si>
  <si>
    <t>BC7-113</t>
  </si>
  <si>
    <t>14:35</t>
  </si>
  <si>
    <t>Colavi</t>
  </si>
  <si>
    <t>19° 19' 16.86"</t>
  </si>
  <si>
    <t>65° 33' 6.774"</t>
  </si>
  <si>
    <t>Puente Mendez</t>
  </si>
  <si>
    <t>BPM-120</t>
  </si>
  <si>
    <t>10:30</t>
  </si>
  <si>
    <t>Unidad 2</t>
  </si>
  <si>
    <t>19° 21' 26.622"</t>
  </si>
  <si>
    <t>65° 10' 23.376"</t>
  </si>
  <si>
    <t>Viña Quemada</t>
  </si>
  <si>
    <t>BVQ-122</t>
  </si>
  <si>
    <t>14/11/2021</t>
  </si>
  <si>
    <t>19° 24' 30.432"</t>
  </si>
  <si>
    <t>64° 51' 37.206"</t>
  </si>
  <si>
    <t>Tacobamba - Agua arriba confluencia Pilcomayo - Tacobamba</t>
  </si>
  <si>
    <t>BTC-116</t>
  </si>
  <si>
    <t>11/11/2021</t>
  </si>
  <si>
    <t>11:00</t>
  </si>
  <si>
    <t>Tacobamba</t>
  </si>
  <si>
    <t>19° 8' 6.4"</t>
  </si>
  <si>
    <t>65° 34' 4.99"</t>
  </si>
  <si>
    <t>Pilcomayo - Agua arriba confluencia Pilcomayo - Tacobamba</t>
  </si>
  <si>
    <t>BPT-118</t>
  </si>
  <si>
    <t>9:30</t>
  </si>
  <si>
    <t>19° 7' 56.34"</t>
  </si>
  <si>
    <t>65° 34' 20.706"</t>
  </si>
  <si>
    <t>Palca Grande</t>
  </si>
  <si>
    <t>BPG-110</t>
  </si>
  <si>
    <t>10/11/2021</t>
  </si>
  <si>
    <t>13:40</t>
  </si>
  <si>
    <t>20° 44' 31.974"</t>
  </si>
  <si>
    <t>65° 14' 25.638"</t>
  </si>
  <si>
    <t>El Puente</t>
  </si>
  <si>
    <t>BEP-100</t>
  </si>
  <si>
    <t>10:40</t>
  </si>
  <si>
    <t>21° 14' 21.336"</t>
  </si>
  <si>
    <t>65° 12' 33.738"</t>
  </si>
  <si>
    <t>San Josecito</t>
  </si>
  <si>
    <t>BSJ-130</t>
  </si>
  <si>
    <t>09/11/2021</t>
  </si>
  <si>
    <t>8:50</t>
  </si>
  <si>
    <t>Pilaya</t>
  </si>
  <si>
    <t>Unidad 6</t>
  </si>
  <si>
    <t>21° 9' 6.714"</t>
  </si>
  <si>
    <t>64° 14' 4.086"</t>
  </si>
  <si>
    <t>Puente Aruma - Automática</t>
  </si>
  <si>
    <t>BPA-140</t>
  </si>
  <si>
    <t>08/11/2021</t>
  </si>
  <si>
    <t>17:40</t>
  </si>
  <si>
    <t>Unidad 7</t>
  </si>
  <si>
    <t>20° 54' 49.92"</t>
  </si>
  <si>
    <t>64° 6' 37.644"</t>
  </si>
  <si>
    <t>Villamontes</t>
  </si>
  <si>
    <t>BVI-150</t>
  </si>
  <si>
    <t>7:10</t>
  </si>
  <si>
    <t>21° 15' 31.086"</t>
  </si>
  <si>
    <t>63° 30' 40.722"</t>
  </si>
  <si>
    <t>07/11/2021</t>
  </si>
  <si>
    <t>22° 22' 41.124"</t>
  </si>
  <si>
    <t>62° 31' 6.99"</t>
  </si>
  <si>
    <t>María Cristina</t>
  </si>
  <si>
    <t>AMC-190</t>
  </si>
  <si>
    <t>10:15</t>
  </si>
  <si>
    <t>La Estrella</t>
  </si>
  <si>
    <t>Bañado La Estrella</t>
  </si>
  <si>
    <t>22° 41' 29.784"</t>
  </si>
  <si>
    <t>62° 12' 7.014"</t>
  </si>
  <si>
    <t>Meyer Sitio 01</t>
  </si>
  <si>
    <t>PCM-191</t>
  </si>
  <si>
    <t>7:15</t>
  </si>
  <si>
    <t>Pilcomayo Medio Embocadura - Canal Paraguayo</t>
  </si>
  <si>
    <t>22° 42' 44.28"</t>
  </si>
  <si>
    <t>62° 9' 19.62"</t>
  </si>
  <si>
    <t>Negro Ruta PY09</t>
  </si>
  <si>
    <t>PR9N-230</t>
  </si>
  <si>
    <t>26/10/2021</t>
  </si>
  <si>
    <t>11:40</t>
  </si>
  <si>
    <t>Octubre 2021</t>
  </si>
  <si>
    <t>Negro</t>
  </si>
  <si>
    <t>24° 11' 22.8"</t>
  </si>
  <si>
    <t>58° 18' 0.9"</t>
  </si>
  <si>
    <t>Montelindo en ruta PY09</t>
  </si>
  <si>
    <t>PR9M-260</t>
  </si>
  <si>
    <t>10:05</t>
  </si>
  <si>
    <t>Montelindo</t>
  </si>
  <si>
    <t>23° 53' 35.58"</t>
  </si>
  <si>
    <t>58° 26' 45.12"</t>
  </si>
  <si>
    <t>El Solitario</t>
  </si>
  <si>
    <t>PES-194</t>
  </si>
  <si>
    <t>21/10/2021</t>
  </si>
  <si>
    <t>8:30</t>
  </si>
  <si>
    <t>22 51 36.24</t>
  </si>
  <si>
    <t>62 1 9.24</t>
  </si>
  <si>
    <t>Puente Loyola</t>
  </si>
  <si>
    <t>APL-320</t>
  </si>
  <si>
    <t>19/10/2021</t>
  </si>
  <si>
    <t>13:10</t>
  </si>
  <si>
    <t>Cuenca Paraguay</t>
  </si>
  <si>
    <t>25° 15' 51.06"</t>
  </si>
  <si>
    <t>57° 43' 27.42"</t>
  </si>
  <si>
    <t>Villa Hayes</t>
  </si>
  <si>
    <t>PVH-280</t>
  </si>
  <si>
    <t>11:30</t>
  </si>
  <si>
    <t>Confuso</t>
  </si>
  <si>
    <t>25° 6' 26,16"</t>
  </si>
  <si>
    <t>57° 32' 48.9"</t>
  </si>
  <si>
    <t>General Bruguez</t>
  </si>
  <si>
    <t>PGB-250</t>
  </si>
  <si>
    <t>06/10/2021</t>
  </si>
  <si>
    <t>13:35</t>
  </si>
  <si>
    <t>Chaco Paraguayo</t>
  </si>
  <si>
    <t>24° 44' 53.94"</t>
  </si>
  <si>
    <t>58° 49' 59.04"</t>
  </si>
  <si>
    <t>Hacienda 9 de junio</t>
  </si>
  <si>
    <t>P9J-198</t>
  </si>
  <si>
    <t>05/10/2021</t>
  </si>
  <si>
    <t>10:45</t>
  </si>
  <si>
    <t>23° 27' 15.36"</t>
  </si>
  <si>
    <t>60° 52' 47.16"</t>
  </si>
  <si>
    <t>General Díaz</t>
  </si>
  <si>
    <t>PGD-200</t>
  </si>
  <si>
    <t>7:30</t>
  </si>
  <si>
    <t>23° 34' 37.26"</t>
  </si>
  <si>
    <t>60° 34' 48.00"</t>
  </si>
  <si>
    <t>Agropil</t>
  </si>
  <si>
    <t>PAG-196</t>
  </si>
  <si>
    <t>03/10/2021</t>
  </si>
  <si>
    <t>23° 10' 19.62"</t>
  </si>
  <si>
    <t>61° 37' 28.32"</t>
  </si>
  <si>
    <t>12/08/2021</t>
  </si>
  <si>
    <t>15:30</t>
  </si>
  <si>
    <t>Agosto 2021</t>
  </si>
  <si>
    <t>19° 28' 18.78"</t>
  </si>
  <si>
    <t>65° 47' 39.48"</t>
  </si>
  <si>
    <t>10:50</t>
  </si>
  <si>
    <t>65° 33' 6.72"</t>
  </si>
  <si>
    <t>11/08/2021</t>
  </si>
  <si>
    <t>13:20</t>
  </si>
  <si>
    <t>19° 9' 34.62"</t>
  </si>
  <si>
    <t>65° 33' 24.18"</t>
  </si>
  <si>
    <t>19° 7' 55.98"</t>
  </si>
  <si>
    <t>65° 34' 21.12"</t>
  </si>
  <si>
    <t>10/08/2021</t>
  </si>
  <si>
    <t>15:45</t>
  </si>
  <si>
    <t>20° 44' 32.16"</t>
  </si>
  <si>
    <t>65° 14' 25.86"</t>
  </si>
  <si>
    <t>11:05</t>
  </si>
  <si>
    <t>21° 14' 21.06"</t>
  </si>
  <si>
    <t>65° 12' 34.26"</t>
  </si>
  <si>
    <t>09/08/2021</t>
  </si>
  <si>
    <t>7:45</t>
  </si>
  <si>
    <t>21° 15' 28.38"</t>
  </si>
  <si>
    <t>63° 30' 45.06"</t>
  </si>
  <si>
    <t>08/08/2021</t>
  </si>
  <si>
    <t>22° 22' 42.66"</t>
  </si>
  <si>
    <t>62° 31' 7.68"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</si>
</sst>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3"/>
      <c r="CX1" s="3"/>
    </row>
    <row r="2">
      <c r="A2" s="4" t="s">
        <v>100</v>
      </c>
      <c r="B2" s="4" t="s">
        <v>101</v>
      </c>
      <c r="C2" s="5" t="s">
        <v>102</v>
      </c>
      <c r="D2" s="5" t="s">
        <v>103</v>
      </c>
      <c r="E2" s="4" t="s">
        <v>104</v>
      </c>
      <c r="F2" s="4" t="s">
        <v>105</v>
      </c>
      <c r="G2" s="4" t="s">
        <v>106</v>
      </c>
      <c r="H2" s="4" t="s">
        <v>107</v>
      </c>
      <c r="I2" s="4" t="s">
        <v>108</v>
      </c>
      <c r="J2" s="4" t="s">
        <v>109</v>
      </c>
      <c r="K2" s="4" t="s">
        <v>110</v>
      </c>
      <c r="L2" s="4">
        <v>-21.5614</v>
      </c>
      <c r="M2" s="4">
        <v>-65.6476</v>
      </c>
      <c r="N2" s="4"/>
      <c r="O2" s="4"/>
      <c r="P2" s="4">
        <v>806.0</v>
      </c>
      <c r="Q2" s="4">
        <v>189.7</v>
      </c>
      <c r="R2" s="4">
        <v>8.55</v>
      </c>
      <c r="S2" s="4">
        <v>-105.5</v>
      </c>
      <c r="T2" s="4">
        <v>1242.0</v>
      </c>
      <c r="U2" s="4">
        <v>0.6</v>
      </c>
      <c r="V2" s="4">
        <v>25.5</v>
      </c>
      <c r="W2" s="4">
        <v>7.58</v>
      </c>
      <c r="X2" s="4">
        <v>131.6</v>
      </c>
      <c r="Y2" s="4">
        <v>21.1</v>
      </c>
      <c r="Z2" s="4">
        <v>1075.0</v>
      </c>
      <c r="AA2" s="4">
        <v>1018.0</v>
      </c>
      <c r="AB2" s="4">
        <v>55.0</v>
      </c>
      <c r="AC2" s="4">
        <v>5.0</v>
      </c>
      <c r="AD2" s="4">
        <v>480.0</v>
      </c>
      <c r="AE2" s="4">
        <v>6.0</v>
      </c>
      <c r="AF2" s="4">
        <v>138.5</v>
      </c>
      <c r="AG2" s="4">
        <v>60.66</v>
      </c>
      <c r="AH2" s="4">
        <v>494.3</v>
      </c>
      <c r="AI2" s="4">
        <v>96.86</v>
      </c>
      <c r="AJ2" s="4">
        <v>56.18</v>
      </c>
      <c r="AK2" s="4">
        <v>72.92</v>
      </c>
      <c r="AL2" s="4">
        <v>7.56</v>
      </c>
      <c r="AM2" s="4">
        <v>95.19</v>
      </c>
      <c r="AN2" s="4">
        <v>59.32</v>
      </c>
      <c r="AO2" s="4">
        <v>75.89</v>
      </c>
      <c r="AP2" s="4">
        <v>7.71</v>
      </c>
      <c r="AQ2" s="4">
        <v>0.2</v>
      </c>
      <c r="AR2" s="4">
        <v>0.1</v>
      </c>
      <c r="AS2" s="4">
        <v>0.48</v>
      </c>
      <c r="AT2" s="4">
        <f>0.5*0.02</f>
        <v>0.01</v>
      </c>
      <c r="AU2" s="4">
        <v>1.52</v>
      </c>
      <c r="AV2" s="4">
        <v>4.34</v>
      </c>
      <c r="AW2" s="4">
        <v>13.0</v>
      </c>
      <c r="AX2" s="4">
        <v>17.0</v>
      </c>
      <c r="AY2" s="4"/>
      <c r="AZ2" s="4">
        <v>42.0</v>
      </c>
      <c r="BA2" s="4">
        <v>20.0</v>
      </c>
      <c r="BB2" s="4">
        <v>320.0</v>
      </c>
      <c r="BC2" s="4">
        <f t="shared" ref="BC2:BD2" si="1">0.5*10</f>
        <v>5</v>
      </c>
      <c r="BD2" s="4">
        <f t="shared" si="1"/>
        <v>5</v>
      </c>
      <c r="BE2" s="4">
        <f t="shared" ref="BE2:BF2" si="2">0.5*50</f>
        <v>25</v>
      </c>
      <c r="BF2" s="4">
        <f t="shared" si="2"/>
        <v>25</v>
      </c>
      <c r="BG2" s="4">
        <f t="shared" ref="BG2:BG4" si="5">0.5*10</f>
        <v>5</v>
      </c>
      <c r="BH2" s="4">
        <f>0.5*50</f>
        <v>25</v>
      </c>
      <c r="BI2" s="4">
        <f t="shared" ref="BI2:BI3" si="6">0.5*1</f>
        <v>0.5</v>
      </c>
      <c r="BJ2" s="4">
        <f t="shared" ref="BJ2:BJ4" si="7">0.5*10</f>
        <v>5</v>
      </c>
      <c r="BK2" s="4">
        <f t="shared" ref="BK2:BK4" si="8">0.5*50</f>
        <v>25</v>
      </c>
      <c r="BL2" s="4">
        <v>2.0</v>
      </c>
      <c r="BM2" s="4">
        <f t="shared" ref="BM2:BM4" si="9">0.5*0.5</f>
        <v>0.25</v>
      </c>
      <c r="BN2" s="4">
        <f t="shared" ref="BN2:BN4" si="10">0.5*1</f>
        <v>0.5</v>
      </c>
      <c r="BO2" s="4">
        <f t="shared" ref="BO2:BO4" si="11">0.5*5</f>
        <v>2.5</v>
      </c>
      <c r="BP2" s="4">
        <f t="shared" ref="BP2:BP4" si="12">0.5*0.5</f>
        <v>0.25</v>
      </c>
      <c r="BQ2" s="4">
        <f t="shared" ref="BQ2:BQ4" si="13">0.5*100</f>
        <v>50</v>
      </c>
      <c r="BR2" s="4">
        <v>2000.0</v>
      </c>
      <c r="BS2" s="4">
        <f t="shared" ref="BS2:BS4" si="14">0.5*1</f>
        <v>0.5</v>
      </c>
      <c r="BT2" s="4">
        <f t="shared" ref="BT2:BT4" si="15">0.5*10</f>
        <v>5</v>
      </c>
      <c r="BU2" s="4">
        <f>0.5*50</f>
        <v>25</v>
      </c>
      <c r="BV2" s="4">
        <f t="shared" ref="BV2:BV3" si="16">0.5*1</f>
        <v>0.5</v>
      </c>
      <c r="BW2" s="4">
        <f t="shared" ref="BW2:BW4" si="17">0.5*10</f>
        <v>5</v>
      </c>
      <c r="BX2" s="4">
        <f t="shared" ref="BX2:BX4" si="18">0.5*50</f>
        <v>25</v>
      </c>
      <c r="BY2" s="4">
        <v>3.0</v>
      </c>
      <c r="BZ2" s="4">
        <f t="shared" ref="BZ2:BZ4" si="19">0.5*0.5</f>
        <v>0.25</v>
      </c>
      <c r="CA2" s="4">
        <v>1.0</v>
      </c>
      <c r="CB2" s="4">
        <f t="shared" ref="CB2:CB4" si="20">0.5*5</f>
        <v>2.5</v>
      </c>
      <c r="CC2" s="4">
        <f t="shared" ref="CC2:CC4" si="21">0.5*0.5</f>
        <v>0.25</v>
      </c>
      <c r="CD2" s="4">
        <v>900.0</v>
      </c>
      <c r="CE2" s="4">
        <v>3000.0</v>
      </c>
      <c r="CF2" s="4">
        <f t="shared" ref="CF2:CF4" si="22">0.5*1</f>
        <v>0.5</v>
      </c>
      <c r="CG2" s="4">
        <f t="shared" ref="CG2:CG4" si="23">0.5*0.002</f>
        <v>0.001</v>
      </c>
      <c r="CH2" s="4">
        <f t="shared" ref="CH2:CH4" si="24">0.5*0.001</f>
        <v>0.0005</v>
      </c>
      <c r="CI2" s="4">
        <v>0.048</v>
      </c>
      <c r="CJ2" s="4"/>
      <c r="CK2" s="4"/>
      <c r="CL2" s="4"/>
      <c r="CM2" s="4"/>
      <c r="CN2" s="4">
        <v>18.18</v>
      </c>
      <c r="CO2" s="4">
        <v>18181.82</v>
      </c>
      <c r="CP2" s="4"/>
      <c r="CQ2" s="4"/>
      <c r="CR2" s="4"/>
      <c r="CS2" s="4">
        <v>16363.64</v>
      </c>
      <c r="CT2" s="4"/>
      <c r="CU2" s="4"/>
      <c r="CV2" s="4"/>
    </row>
    <row r="3">
      <c r="A3" s="4" t="s">
        <v>111</v>
      </c>
      <c r="B3" s="4" t="s">
        <v>112</v>
      </c>
      <c r="C3" s="5" t="s">
        <v>102</v>
      </c>
      <c r="D3" s="5" t="s">
        <v>113</v>
      </c>
      <c r="E3" s="4" t="s">
        <v>104</v>
      </c>
      <c r="F3" s="4" t="s">
        <v>105</v>
      </c>
      <c r="G3" s="4" t="s">
        <v>106</v>
      </c>
      <c r="H3" s="4" t="s">
        <v>114</v>
      </c>
      <c r="I3" s="4" t="s">
        <v>108</v>
      </c>
      <c r="J3" s="4" t="s">
        <v>115</v>
      </c>
      <c r="K3" s="4" t="s">
        <v>116</v>
      </c>
      <c r="L3" s="4">
        <v>-21.5047</v>
      </c>
      <c r="M3" s="4">
        <v>-65.7052</v>
      </c>
      <c r="N3" s="4"/>
      <c r="O3" s="4"/>
      <c r="P3" s="4">
        <v>644.0</v>
      </c>
      <c r="Q3" s="4"/>
      <c r="R3" s="4">
        <v>8.71</v>
      </c>
      <c r="S3" s="4">
        <v>-115.5</v>
      </c>
      <c r="T3" s="4">
        <v>1553.0</v>
      </c>
      <c r="U3" s="4">
        <v>0.7</v>
      </c>
      <c r="V3" s="4">
        <v>27.5</v>
      </c>
      <c r="W3" s="4"/>
      <c r="X3" s="4"/>
      <c r="Y3" s="4">
        <v>7.57</v>
      </c>
      <c r="Z3" s="4">
        <v>1365.0</v>
      </c>
      <c r="AA3" s="4">
        <v>1348.0</v>
      </c>
      <c r="AB3" s="4">
        <v>18.0</v>
      </c>
      <c r="AC3" s="4">
        <v>12.0</v>
      </c>
      <c r="AD3" s="4">
        <v>726.0</v>
      </c>
      <c r="AE3" s="4">
        <v>3.0</v>
      </c>
      <c r="AF3" s="4">
        <v>157.5</v>
      </c>
      <c r="AG3" s="4">
        <v>64.93</v>
      </c>
      <c r="AH3" s="4">
        <v>639.1</v>
      </c>
      <c r="AI3" s="4">
        <v>127.76</v>
      </c>
      <c r="AJ3" s="4">
        <v>98.43</v>
      </c>
      <c r="AK3" s="4">
        <v>77.38</v>
      </c>
      <c r="AL3" s="4">
        <v>9.48</v>
      </c>
      <c r="AM3" s="4">
        <v>128.89</v>
      </c>
      <c r="AN3" s="4">
        <v>102.05</v>
      </c>
      <c r="AO3" s="4">
        <v>78.12</v>
      </c>
      <c r="AP3" s="4">
        <v>9.63</v>
      </c>
      <c r="AQ3" s="4">
        <v>1.3</v>
      </c>
      <c r="AR3" s="4">
        <v>1.1</v>
      </c>
      <c r="AS3" s="4">
        <v>0.84</v>
      </c>
      <c r="AT3" s="4">
        <v>12.19</v>
      </c>
      <c r="AU3" s="4">
        <v>22.68</v>
      </c>
      <c r="AV3" s="4">
        <v>9.94</v>
      </c>
      <c r="AW3" s="4">
        <v>21.0</v>
      </c>
      <c r="AX3" s="4">
        <v>27.0</v>
      </c>
      <c r="AY3" s="4"/>
      <c r="AZ3" s="4">
        <v>420.0</v>
      </c>
      <c r="BA3" s="4">
        <v>360.0</v>
      </c>
      <c r="BB3" s="4">
        <v>4.0</v>
      </c>
      <c r="BC3" s="4">
        <f t="shared" ref="BC3:BD3" si="3">0.5*10</f>
        <v>5</v>
      </c>
      <c r="BD3" s="4">
        <f t="shared" si="3"/>
        <v>5</v>
      </c>
      <c r="BE3" s="4">
        <f t="shared" ref="BE3:BF3" si="4">0.5*50</f>
        <v>25</v>
      </c>
      <c r="BF3" s="4">
        <f t="shared" si="4"/>
        <v>25</v>
      </c>
      <c r="BG3" s="4">
        <f t="shared" si="5"/>
        <v>5</v>
      </c>
      <c r="BH3" s="4">
        <v>100.0</v>
      </c>
      <c r="BI3" s="4">
        <f t="shared" si="6"/>
        <v>0.5</v>
      </c>
      <c r="BJ3" s="4">
        <f t="shared" si="7"/>
        <v>5</v>
      </c>
      <c r="BK3" s="4">
        <f t="shared" si="8"/>
        <v>25</v>
      </c>
      <c r="BL3" s="4">
        <v>1.0</v>
      </c>
      <c r="BM3" s="4">
        <f t="shared" si="9"/>
        <v>0.25</v>
      </c>
      <c r="BN3" s="4">
        <f t="shared" si="10"/>
        <v>0.5</v>
      </c>
      <c r="BO3" s="4">
        <f t="shared" si="11"/>
        <v>2.5</v>
      </c>
      <c r="BP3" s="4">
        <f t="shared" si="12"/>
        <v>0.25</v>
      </c>
      <c r="BQ3" s="4">
        <f t="shared" si="13"/>
        <v>50</v>
      </c>
      <c r="BR3" s="4">
        <v>1800.0</v>
      </c>
      <c r="BS3" s="4">
        <f t="shared" si="14"/>
        <v>0.5</v>
      </c>
      <c r="BT3" s="4">
        <f t="shared" si="15"/>
        <v>5</v>
      </c>
      <c r="BU3" s="4">
        <v>100.0</v>
      </c>
      <c r="BV3" s="4">
        <f t="shared" si="16"/>
        <v>0.5</v>
      </c>
      <c r="BW3" s="4">
        <f t="shared" si="17"/>
        <v>5</v>
      </c>
      <c r="BX3" s="4">
        <f t="shared" si="18"/>
        <v>25</v>
      </c>
      <c r="BY3" s="4">
        <v>1.0</v>
      </c>
      <c r="BZ3" s="4">
        <f t="shared" si="19"/>
        <v>0.25</v>
      </c>
      <c r="CA3" s="4">
        <f t="shared" ref="CA3:CA4" si="27">0.5*1</f>
        <v>0.5</v>
      </c>
      <c r="CB3" s="4">
        <f t="shared" si="20"/>
        <v>2.5</v>
      </c>
      <c r="CC3" s="4">
        <f t="shared" si="21"/>
        <v>0.25</v>
      </c>
      <c r="CD3" s="4">
        <f>0.5*100</f>
        <v>50</v>
      </c>
      <c r="CE3" s="4">
        <v>2000.0</v>
      </c>
      <c r="CF3" s="4">
        <f t="shared" si="22"/>
        <v>0.5</v>
      </c>
      <c r="CG3" s="4">
        <f t="shared" si="23"/>
        <v>0.001</v>
      </c>
      <c r="CH3" s="4">
        <f t="shared" si="24"/>
        <v>0.0005</v>
      </c>
      <c r="CI3" s="4">
        <v>0.034</v>
      </c>
      <c r="CJ3" s="4"/>
      <c r="CK3" s="4"/>
      <c r="CL3" s="4"/>
      <c r="CM3" s="4"/>
      <c r="CN3" s="4">
        <v>0.0</v>
      </c>
      <c r="CO3" s="4">
        <v>11111.11</v>
      </c>
      <c r="CP3" s="4"/>
      <c r="CQ3" s="4"/>
      <c r="CR3" s="4"/>
      <c r="CS3" s="4"/>
      <c r="CT3" s="4">
        <v>0.0</v>
      </c>
      <c r="CU3" s="4"/>
      <c r="CV3" s="4"/>
    </row>
    <row r="4">
      <c r="A4" s="4" t="s">
        <v>117</v>
      </c>
      <c r="B4" s="4" t="s">
        <v>118</v>
      </c>
      <c r="C4" s="5" t="s">
        <v>102</v>
      </c>
      <c r="D4" s="5" t="s">
        <v>119</v>
      </c>
      <c r="E4" s="4" t="s">
        <v>104</v>
      </c>
      <c r="F4" s="4" t="s">
        <v>105</v>
      </c>
      <c r="G4" s="4" t="s">
        <v>106</v>
      </c>
      <c r="H4" s="4" t="s">
        <v>117</v>
      </c>
      <c r="I4" s="4" t="s">
        <v>120</v>
      </c>
      <c r="J4" s="4" t="s">
        <v>121</v>
      </c>
      <c r="K4" s="4" t="s">
        <v>122</v>
      </c>
      <c r="L4" s="4">
        <v>-20.8208</v>
      </c>
      <c r="M4" s="4">
        <v>-65.6676</v>
      </c>
      <c r="N4" s="4">
        <v>0.378</v>
      </c>
      <c r="O4" s="4">
        <v>1.0</v>
      </c>
      <c r="P4" s="4">
        <v>555.0</v>
      </c>
      <c r="Q4" s="4">
        <v>152.4</v>
      </c>
      <c r="R4" s="4">
        <v>8.08</v>
      </c>
      <c r="S4" s="4">
        <v>-77.45</v>
      </c>
      <c r="T4" s="4">
        <v>1803.0</v>
      </c>
      <c r="U4" s="4">
        <v>0.9</v>
      </c>
      <c r="V4" s="4">
        <v>20.9</v>
      </c>
      <c r="W4" s="4">
        <v>6.58</v>
      </c>
      <c r="X4" s="4">
        <v>101.3</v>
      </c>
      <c r="Y4" s="4">
        <v>33.6</v>
      </c>
      <c r="Z4" s="4">
        <v>1809.0</v>
      </c>
      <c r="AA4" s="4">
        <v>1776.0</v>
      </c>
      <c r="AB4" s="4">
        <v>24.0</v>
      </c>
      <c r="AC4" s="4">
        <f>0.5*0.05</f>
        <v>0.025</v>
      </c>
      <c r="AD4" s="4">
        <v>932.0</v>
      </c>
      <c r="AE4" s="4">
        <v>8.5</v>
      </c>
      <c r="AF4" s="4">
        <v>81.0</v>
      </c>
      <c r="AG4" s="4">
        <v>42.72</v>
      </c>
      <c r="AH4" s="4">
        <v>994.3</v>
      </c>
      <c r="AI4" s="4">
        <v>167.77</v>
      </c>
      <c r="AJ4" s="4">
        <v>133.47</v>
      </c>
      <c r="AK4" s="4">
        <v>61.87</v>
      </c>
      <c r="AL4" s="4">
        <v>8.4</v>
      </c>
      <c r="AM4" s="4">
        <v>169.32</v>
      </c>
      <c r="AN4" s="4">
        <v>137.84</v>
      </c>
      <c r="AO4" s="4">
        <v>64.81</v>
      </c>
      <c r="AP4" s="4">
        <v>8.5</v>
      </c>
      <c r="AQ4" s="4">
        <v>0.2</v>
      </c>
      <c r="AR4" s="4">
        <v>0.2</v>
      </c>
      <c r="AS4" s="4">
        <v>0.68</v>
      </c>
      <c r="AT4" s="4">
        <f>0.5*0.02</f>
        <v>0.01</v>
      </c>
      <c r="AU4" s="4">
        <v>1.28</v>
      </c>
      <c r="AV4" s="4">
        <v>7.14</v>
      </c>
      <c r="AW4" s="4">
        <v>12.0</v>
      </c>
      <c r="AX4" s="4">
        <v>15.0</v>
      </c>
      <c r="AY4" s="4"/>
      <c r="AZ4" s="4">
        <v>600.0</v>
      </c>
      <c r="BA4" s="4">
        <v>540.0</v>
      </c>
      <c r="BB4" s="4">
        <v>1.0</v>
      </c>
      <c r="BC4" s="4">
        <f t="shared" ref="BC4:BD4" si="25">0.5*10</f>
        <v>5</v>
      </c>
      <c r="BD4" s="4">
        <f t="shared" si="25"/>
        <v>5</v>
      </c>
      <c r="BE4" s="4">
        <f t="shared" ref="BE4:BF4" si="26">0.5*50</f>
        <v>25</v>
      </c>
      <c r="BF4" s="4">
        <f t="shared" si="26"/>
        <v>25</v>
      </c>
      <c r="BG4" s="4">
        <f t="shared" si="5"/>
        <v>5</v>
      </c>
      <c r="BH4" s="4">
        <v>400.0</v>
      </c>
      <c r="BI4" s="4">
        <v>14.0</v>
      </c>
      <c r="BJ4" s="4">
        <f t="shared" si="7"/>
        <v>5</v>
      </c>
      <c r="BK4" s="4">
        <f t="shared" si="8"/>
        <v>25</v>
      </c>
      <c r="BL4" s="4">
        <v>2.0</v>
      </c>
      <c r="BM4" s="4">
        <f t="shared" si="9"/>
        <v>0.25</v>
      </c>
      <c r="BN4" s="4">
        <f t="shared" si="10"/>
        <v>0.5</v>
      </c>
      <c r="BO4" s="4">
        <f t="shared" si="11"/>
        <v>2.5</v>
      </c>
      <c r="BP4" s="4">
        <f t="shared" si="12"/>
        <v>0.25</v>
      </c>
      <c r="BQ4" s="4">
        <f t="shared" si="13"/>
        <v>50</v>
      </c>
      <c r="BR4" s="4">
        <v>2000.0</v>
      </c>
      <c r="BS4" s="4">
        <f t="shared" si="14"/>
        <v>0.5</v>
      </c>
      <c r="BT4" s="4">
        <f t="shared" si="15"/>
        <v>5</v>
      </c>
      <c r="BU4" s="4">
        <v>400.0</v>
      </c>
      <c r="BV4" s="4">
        <v>17.0</v>
      </c>
      <c r="BW4" s="4">
        <f t="shared" si="17"/>
        <v>5</v>
      </c>
      <c r="BX4" s="4">
        <f t="shared" si="18"/>
        <v>25</v>
      </c>
      <c r="BY4" s="4">
        <v>3.0</v>
      </c>
      <c r="BZ4" s="4">
        <f t="shared" si="19"/>
        <v>0.25</v>
      </c>
      <c r="CA4" s="4">
        <f t="shared" si="27"/>
        <v>0.5</v>
      </c>
      <c r="CB4" s="4">
        <f t="shared" si="20"/>
        <v>2.5</v>
      </c>
      <c r="CC4" s="4">
        <f t="shared" si="21"/>
        <v>0.25</v>
      </c>
      <c r="CD4" s="4">
        <v>800.0</v>
      </c>
      <c r="CE4" s="4">
        <v>2200.0</v>
      </c>
      <c r="CF4" s="4">
        <f t="shared" si="22"/>
        <v>0.5</v>
      </c>
      <c r="CG4" s="4">
        <f t="shared" si="23"/>
        <v>0.001</v>
      </c>
      <c r="CH4" s="4">
        <f t="shared" si="24"/>
        <v>0.0005</v>
      </c>
      <c r="CI4" s="4">
        <v>0.048</v>
      </c>
      <c r="CJ4" s="4"/>
      <c r="CK4" s="4"/>
      <c r="CL4" s="4"/>
      <c r="CM4" s="4"/>
      <c r="CN4" s="4">
        <v>41.67</v>
      </c>
      <c r="CO4" s="4">
        <v>8333.33</v>
      </c>
      <c r="CP4" s="4"/>
      <c r="CQ4" s="4"/>
      <c r="CR4" s="4"/>
      <c r="CS4" s="4">
        <v>33333.33</v>
      </c>
      <c r="CT4" s="4">
        <v>0.0</v>
      </c>
      <c r="CU4" s="4"/>
      <c r="CV4" s="4">
        <v>125.0</v>
      </c>
    </row>
    <row r="5">
      <c r="A5" s="4" t="s">
        <v>123</v>
      </c>
      <c r="B5" s="4" t="s">
        <v>124</v>
      </c>
      <c r="C5" s="5" t="s">
        <v>102</v>
      </c>
      <c r="D5" s="5" t="s">
        <v>125</v>
      </c>
      <c r="E5" s="4" t="s">
        <v>104</v>
      </c>
      <c r="F5" s="4" t="s">
        <v>126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130</v>
      </c>
      <c r="L5" s="4" t="s">
        <v>130</v>
      </c>
      <c r="M5" s="4" t="s">
        <v>130</v>
      </c>
      <c r="N5" s="4"/>
      <c r="O5" s="4"/>
      <c r="P5" s="4"/>
      <c r="Q5" s="4"/>
      <c r="R5" s="4">
        <v>7.0</v>
      </c>
      <c r="S5" s="4"/>
      <c r="T5" s="4">
        <v>840.0</v>
      </c>
      <c r="U5" s="4"/>
      <c r="V5" s="4"/>
      <c r="W5" s="4">
        <v>6.12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>
        <v>272.0</v>
      </c>
      <c r="AI5" s="4">
        <v>48.9</v>
      </c>
      <c r="AJ5" s="4">
        <v>20.0</v>
      </c>
      <c r="AK5" s="4">
        <v>46.5</v>
      </c>
      <c r="AL5" s="4">
        <v>4.0</v>
      </c>
      <c r="AM5" s="4"/>
      <c r="AN5" s="4"/>
      <c r="AO5" s="4"/>
      <c r="AP5" s="4"/>
      <c r="AQ5" s="4">
        <v>3603.0</v>
      </c>
      <c r="AR5" s="4">
        <v>36.3</v>
      </c>
      <c r="AS5" s="4">
        <v>0.04</v>
      </c>
      <c r="AT5" s="4">
        <v>0.07</v>
      </c>
      <c r="AU5" s="4">
        <v>5.0</v>
      </c>
      <c r="AV5" s="4"/>
      <c r="AW5" s="4">
        <v>9.0</v>
      </c>
      <c r="AX5" s="4"/>
      <c r="AY5" s="4">
        <v>5.28</v>
      </c>
      <c r="AZ5" s="4"/>
      <c r="BA5" s="4"/>
      <c r="BB5" s="4"/>
      <c r="BC5" s="4"/>
      <c r="BD5" s="4"/>
      <c r="BE5" s="4"/>
      <c r="BF5" s="4"/>
      <c r="BG5" s="4">
        <f>0.5*8.7</f>
        <v>4.35</v>
      </c>
      <c r="BH5" s="4">
        <v>6.1</v>
      </c>
      <c r="BI5" s="4">
        <f>0.5*1.7</f>
        <v>0.85</v>
      </c>
      <c r="BJ5" s="4">
        <f>0.5*3.7</f>
        <v>1.85</v>
      </c>
      <c r="BK5" s="4">
        <v>23.3</v>
      </c>
      <c r="BL5" s="4">
        <f>0.5*11</f>
        <v>5.5</v>
      </c>
      <c r="BM5" s="4">
        <f>0.5*1.2</f>
        <v>0.6</v>
      </c>
      <c r="BN5" s="4">
        <f>0.5*5</f>
        <v>2.5</v>
      </c>
      <c r="BO5" s="4">
        <f>0.5*6.2</f>
        <v>3.1</v>
      </c>
      <c r="BP5" s="4"/>
      <c r="BQ5" s="4">
        <v>204.6</v>
      </c>
      <c r="BR5" s="4">
        <v>327.0</v>
      </c>
      <c r="BS5" s="4">
        <f>0.5*12.1</f>
        <v>6.05</v>
      </c>
      <c r="BT5" s="4">
        <v>283.2</v>
      </c>
      <c r="BU5" s="4">
        <v>4549.8</v>
      </c>
      <c r="BV5" s="4">
        <v>218.0</v>
      </c>
      <c r="BW5" s="4">
        <v>199.6</v>
      </c>
      <c r="BX5" s="4">
        <v>1008.7</v>
      </c>
      <c r="BY5" s="4">
        <f>0.5*11</f>
        <v>5.5</v>
      </c>
      <c r="BZ5" s="4">
        <v>23.1</v>
      </c>
      <c r="CA5" s="4">
        <v>367.0</v>
      </c>
      <c r="CB5" s="4">
        <f>0.5*6.2</f>
        <v>3.1</v>
      </c>
      <c r="CC5" s="4"/>
      <c r="CD5" s="4">
        <v>270578.0</v>
      </c>
      <c r="CE5" s="4">
        <v>460.0</v>
      </c>
      <c r="CF5" s="4">
        <f>0.5*12.1</f>
        <v>6.05</v>
      </c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</row>
    <row r="6">
      <c r="A6" s="4" t="s">
        <v>131</v>
      </c>
      <c r="B6" s="4" t="s">
        <v>132</v>
      </c>
      <c r="C6" s="5" t="s">
        <v>102</v>
      </c>
      <c r="D6" s="5" t="s">
        <v>133</v>
      </c>
      <c r="E6" s="4" t="s">
        <v>104</v>
      </c>
      <c r="F6" s="4" t="s">
        <v>105</v>
      </c>
      <c r="G6" s="4" t="s">
        <v>106</v>
      </c>
      <c r="H6" s="4" t="s">
        <v>131</v>
      </c>
      <c r="I6" s="4" t="s">
        <v>120</v>
      </c>
      <c r="J6" s="4" t="s">
        <v>134</v>
      </c>
      <c r="K6" s="4" t="s">
        <v>135</v>
      </c>
      <c r="L6" s="4">
        <v>-20.4869</v>
      </c>
      <c r="M6" s="4">
        <v>-65.6189</v>
      </c>
      <c r="N6" s="4">
        <v>0.554</v>
      </c>
      <c r="O6" s="4">
        <v>2.0</v>
      </c>
      <c r="P6" s="4">
        <v>1358.0</v>
      </c>
      <c r="Q6" s="4">
        <v>147.9</v>
      </c>
      <c r="R6" s="4">
        <v>8.38</v>
      </c>
      <c r="S6" s="4">
        <v>-93.8</v>
      </c>
      <c r="T6" s="4">
        <v>736.0</v>
      </c>
      <c r="U6" s="4">
        <v>0.3</v>
      </c>
      <c r="V6" s="4">
        <v>17.5</v>
      </c>
      <c r="W6" s="4">
        <v>6.79</v>
      </c>
      <c r="X6" s="4">
        <v>97.1</v>
      </c>
      <c r="Y6" s="4">
        <v>235.0</v>
      </c>
      <c r="Z6" s="4">
        <v>800.0</v>
      </c>
      <c r="AA6" s="4">
        <v>558.0</v>
      </c>
      <c r="AB6" s="4">
        <v>240.0</v>
      </c>
      <c r="AC6" s="4">
        <v>6.0</v>
      </c>
      <c r="AD6" s="4">
        <v>268.0</v>
      </c>
      <c r="AE6" s="4">
        <v>4.0</v>
      </c>
      <c r="AF6" s="4">
        <v>118.0</v>
      </c>
      <c r="AG6" s="4">
        <v>34.17</v>
      </c>
      <c r="AH6" s="4">
        <v>236.1</v>
      </c>
      <c r="AI6" s="4">
        <v>52.41</v>
      </c>
      <c r="AJ6" s="4">
        <v>33.49</v>
      </c>
      <c r="AK6" s="4">
        <v>48.78</v>
      </c>
      <c r="AL6" s="4">
        <v>6.52</v>
      </c>
      <c r="AM6" s="4">
        <v>52.36</v>
      </c>
      <c r="AN6" s="4">
        <v>38.38</v>
      </c>
      <c r="AO6" s="4">
        <v>49.16</v>
      </c>
      <c r="AP6" s="4">
        <v>6.97</v>
      </c>
      <c r="AQ6" s="4">
        <v>0.34</v>
      </c>
      <c r="AR6" s="4">
        <v>0.3</v>
      </c>
      <c r="AS6" s="4">
        <v>0.24</v>
      </c>
      <c r="AT6" s="4">
        <f t="shared" ref="AT6:AT7" si="30">0.5*0.02</f>
        <v>0.01</v>
      </c>
      <c r="AU6" s="4">
        <v>1.28</v>
      </c>
      <c r="AV6" s="4">
        <v>5.04</v>
      </c>
      <c r="AW6" s="4">
        <v>10.0</v>
      </c>
      <c r="AX6" s="4">
        <v>13.0</v>
      </c>
      <c r="AY6" s="4"/>
      <c r="AZ6" s="4">
        <v>100.0</v>
      </c>
      <c r="BA6" s="4">
        <v>40.0</v>
      </c>
      <c r="BB6" s="4">
        <v>0.0</v>
      </c>
      <c r="BC6" s="4">
        <f t="shared" ref="BC6:BD6" si="28">0.5*10</f>
        <v>5</v>
      </c>
      <c r="BD6" s="4">
        <f t="shared" si="28"/>
        <v>5</v>
      </c>
      <c r="BE6" s="4">
        <f t="shared" ref="BE6:BF6" si="29">0.5*50</f>
        <v>25</v>
      </c>
      <c r="BF6" s="4">
        <f t="shared" si="29"/>
        <v>25</v>
      </c>
      <c r="BG6" s="4">
        <f t="shared" ref="BG6:BG12" si="33">0.5*10</f>
        <v>5</v>
      </c>
      <c r="BH6" s="4">
        <f t="shared" ref="BH6:BH7" si="34">0.5*50</f>
        <v>25</v>
      </c>
      <c r="BI6" s="4">
        <f t="shared" ref="BI6:BI7" si="35">0.5*1</f>
        <v>0.5</v>
      </c>
      <c r="BJ6" s="4">
        <f t="shared" ref="BJ6:BJ8" si="36">0.5*10</f>
        <v>5</v>
      </c>
      <c r="BK6" s="4">
        <f t="shared" ref="BK6:BK7" si="37">0.5*50</f>
        <v>25</v>
      </c>
      <c r="BL6" s="4">
        <v>3.0</v>
      </c>
      <c r="BM6" s="4">
        <f t="shared" ref="BM6:BM8" si="38">0.5*0.5</f>
        <v>0.25</v>
      </c>
      <c r="BN6" s="4">
        <f t="shared" ref="BN6:BN10" si="39">0.5*1</f>
        <v>0.5</v>
      </c>
      <c r="BO6" s="4">
        <f t="shared" ref="BO6:BO12" si="40">0.5*5</f>
        <v>2.5</v>
      </c>
      <c r="BP6" s="4">
        <f t="shared" ref="BP6:BP12" si="41">0.5*0.5</f>
        <v>0.25</v>
      </c>
      <c r="BQ6" s="4">
        <f t="shared" ref="BQ6:BQ8" si="42">0.5*100</f>
        <v>50</v>
      </c>
      <c r="BR6" s="4">
        <v>900.0</v>
      </c>
      <c r="BS6" s="4">
        <f t="shared" ref="BS6:BS12" si="43">0.5*1</f>
        <v>0.5</v>
      </c>
      <c r="BT6" s="4">
        <f>0.5*10</f>
        <v>5</v>
      </c>
      <c r="BU6" s="4">
        <v>93000.0</v>
      </c>
      <c r="BV6" s="4">
        <v>5.0</v>
      </c>
      <c r="BW6" s="4">
        <f>0.5*10</f>
        <v>5</v>
      </c>
      <c r="BX6" s="4">
        <f>0.5*50</f>
        <v>25</v>
      </c>
      <c r="BY6" s="4">
        <v>5.0</v>
      </c>
      <c r="BZ6" s="4">
        <f t="shared" ref="BZ6:BZ7" si="44">0.5*0.5</f>
        <v>0.25</v>
      </c>
      <c r="CA6" s="4">
        <v>8.0</v>
      </c>
      <c r="CB6" s="4">
        <f t="shared" ref="CB6:CB12" si="45">0.5*5</f>
        <v>2.5</v>
      </c>
      <c r="CC6" s="4">
        <f t="shared" ref="CC6:CC11" si="46">0.5*0.5</f>
        <v>0.25</v>
      </c>
      <c r="CD6" s="4">
        <v>9000.0</v>
      </c>
      <c r="CE6" s="4">
        <v>1000.0</v>
      </c>
      <c r="CF6" s="4">
        <f t="shared" ref="CF6:CF7" si="47">0.5*1</f>
        <v>0.5</v>
      </c>
      <c r="CG6" s="4">
        <f t="shared" ref="CG6:CG12" si="48">0.5*0.002</f>
        <v>0.001</v>
      </c>
      <c r="CH6" s="4">
        <f>0.5*0.001</f>
        <v>0.0005</v>
      </c>
      <c r="CI6" s="4">
        <v>0.04</v>
      </c>
      <c r="CJ6" s="4"/>
      <c r="CK6" s="4"/>
      <c r="CL6" s="4"/>
      <c r="CM6" s="4">
        <v>6.17</v>
      </c>
      <c r="CN6" s="4">
        <v>8.33</v>
      </c>
      <c r="CO6" s="4">
        <v>416.67</v>
      </c>
      <c r="CP6" s="4"/>
      <c r="CQ6" s="4"/>
      <c r="CR6" s="4"/>
      <c r="CS6" s="4">
        <v>37500.0</v>
      </c>
      <c r="CT6" s="4">
        <v>387500.0</v>
      </c>
      <c r="CU6" s="4"/>
      <c r="CV6" s="4">
        <v>20.83</v>
      </c>
    </row>
    <row r="7">
      <c r="A7" s="4" t="s">
        <v>136</v>
      </c>
      <c r="B7" s="4" t="s">
        <v>137</v>
      </c>
      <c r="C7" s="5" t="s">
        <v>138</v>
      </c>
      <c r="D7" s="5" t="s">
        <v>139</v>
      </c>
      <c r="E7" s="4" t="s">
        <v>104</v>
      </c>
      <c r="F7" s="4" t="s">
        <v>105</v>
      </c>
      <c r="G7" s="4" t="s">
        <v>106</v>
      </c>
      <c r="H7" s="4" t="s">
        <v>128</v>
      </c>
      <c r="I7" s="4" t="s">
        <v>140</v>
      </c>
      <c r="J7" s="4" t="s">
        <v>141</v>
      </c>
      <c r="K7" s="4" t="s">
        <v>142</v>
      </c>
      <c r="L7" s="4">
        <v>-19.3973</v>
      </c>
      <c r="M7" s="4">
        <v>-65.9076</v>
      </c>
      <c r="N7" s="4">
        <v>0.364</v>
      </c>
      <c r="O7" s="4">
        <v>2.0</v>
      </c>
      <c r="P7" s="4">
        <v>1274.0</v>
      </c>
      <c r="Q7" s="4"/>
      <c r="R7" s="4">
        <v>7.67</v>
      </c>
      <c r="S7" s="4">
        <v>-62.9</v>
      </c>
      <c r="T7" s="4">
        <v>785.0</v>
      </c>
      <c r="U7" s="4">
        <v>0.3</v>
      </c>
      <c r="V7" s="4">
        <v>24.4</v>
      </c>
      <c r="W7" s="4">
        <v>5.39</v>
      </c>
      <c r="X7" s="4">
        <v>98.2</v>
      </c>
      <c r="Y7" s="4">
        <v>796.0</v>
      </c>
      <c r="Z7" s="4">
        <v>1295.0</v>
      </c>
      <c r="AA7" s="4">
        <v>490.0</v>
      </c>
      <c r="AB7" s="4">
        <v>801.0</v>
      </c>
      <c r="AC7" s="4">
        <v>45.0</v>
      </c>
      <c r="AD7" s="4">
        <v>106.0</v>
      </c>
      <c r="AE7" s="4">
        <f t="shared" ref="AE7:AE9" si="49">0.5*0.1</f>
        <v>0.05</v>
      </c>
      <c r="AF7" s="4">
        <v>67.5</v>
      </c>
      <c r="AG7" s="4">
        <v>159.24</v>
      </c>
      <c r="AH7" s="4">
        <v>48.9</v>
      </c>
      <c r="AI7" s="4">
        <v>17.07</v>
      </c>
      <c r="AJ7" s="4">
        <v>4.01</v>
      </c>
      <c r="AK7" s="4">
        <v>99.95</v>
      </c>
      <c r="AL7" s="4">
        <v>7.36</v>
      </c>
      <c r="AM7" s="4">
        <v>20.22</v>
      </c>
      <c r="AN7" s="4">
        <v>4.05</v>
      </c>
      <c r="AO7" s="4">
        <v>106.82</v>
      </c>
      <c r="AP7" s="4">
        <v>7.95</v>
      </c>
      <c r="AQ7" s="4">
        <v>0.58</v>
      </c>
      <c r="AR7" s="4">
        <v>0.52</v>
      </c>
      <c r="AS7" s="4">
        <v>0.26</v>
      </c>
      <c r="AT7" s="4">
        <f t="shared" si="30"/>
        <v>0.01</v>
      </c>
      <c r="AU7" s="4">
        <v>4.34</v>
      </c>
      <c r="AV7" s="4">
        <v>6.44</v>
      </c>
      <c r="AW7" s="4">
        <v>12.0</v>
      </c>
      <c r="AX7" s="4">
        <v>16.0</v>
      </c>
      <c r="AY7" s="4"/>
      <c r="AZ7" s="4">
        <v>200.0</v>
      </c>
      <c r="BA7" s="4">
        <v>90.0</v>
      </c>
      <c r="BB7" s="4">
        <v>0.0</v>
      </c>
      <c r="BC7" s="4">
        <f t="shared" ref="BC7:BD7" si="31">0.5*10</f>
        <v>5</v>
      </c>
      <c r="BD7" s="4">
        <f t="shared" si="31"/>
        <v>5</v>
      </c>
      <c r="BE7" s="4">
        <f t="shared" ref="BE7:BF7" si="32">0.5*50</f>
        <v>25</v>
      </c>
      <c r="BF7" s="4">
        <f t="shared" si="32"/>
        <v>25</v>
      </c>
      <c r="BG7" s="4">
        <f t="shared" si="33"/>
        <v>5</v>
      </c>
      <c r="BH7" s="4">
        <f t="shared" si="34"/>
        <v>25</v>
      </c>
      <c r="BI7" s="4">
        <f t="shared" si="35"/>
        <v>0.5</v>
      </c>
      <c r="BJ7" s="4">
        <f t="shared" si="36"/>
        <v>5</v>
      </c>
      <c r="BK7" s="4">
        <f t="shared" si="37"/>
        <v>25</v>
      </c>
      <c r="BL7" s="4">
        <v>9.0</v>
      </c>
      <c r="BM7" s="4">
        <f t="shared" si="38"/>
        <v>0.25</v>
      </c>
      <c r="BN7" s="4">
        <f t="shared" si="39"/>
        <v>0.5</v>
      </c>
      <c r="BO7" s="4">
        <f t="shared" si="40"/>
        <v>2.5</v>
      </c>
      <c r="BP7" s="4">
        <f t="shared" si="41"/>
        <v>0.25</v>
      </c>
      <c r="BQ7" s="4">
        <f t="shared" si="42"/>
        <v>50</v>
      </c>
      <c r="BR7" s="4">
        <v>900.0</v>
      </c>
      <c r="BS7" s="4">
        <f t="shared" si="43"/>
        <v>0.5</v>
      </c>
      <c r="BT7" s="4">
        <v>13.0</v>
      </c>
      <c r="BU7" s="4">
        <v>400.0</v>
      </c>
      <c r="BV7" s="4">
        <v>10.0</v>
      </c>
      <c r="BW7" s="4">
        <v>15.0</v>
      </c>
      <c r="BX7" s="4">
        <v>50.0</v>
      </c>
      <c r="BY7" s="4">
        <v>14.0</v>
      </c>
      <c r="BZ7" s="4">
        <f t="shared" si="44"/>
        <v>0.25</v>
      </c>
      <c r="CA7" s="4">
        <v>18.0</v>
      </c>
      <c r="CB7" s="4">
        <f t="shared" si="45"/>
        <v>2.5</v>
      </c>
      <c r="CC7" s="4">
        <f t="shared" si="46"/>
        <v>0.25</v>
      </c>
      <c r="CD7" s="4">
        <v>22000.0</v>
      </c>
      <c r="CE7" s="4">
        <v>1100.0</v>
      </c>
      <c r="CF7" s="4">
        <f t="shared" si="47"/>
        <v>0.5</v>
      </c>
      <c r="CG7" s="4">
        <f t="shared" si="48"/>
        <v>0.001</v>
      </c>
      <c r="CH7" s="4">
        <v>0.004</v>
      </c>
      <c r="CI7" s="4">
        <v>0.027</v>
      </c>
      <c r="CJ7" s="4"/>
      <c r="CK7" s="4"/>
      <c r="CL7" s="4">
        <v>62.42</v>
      </c>
      <c r="CM7" s="4">
        <v>13.28</v>
      </c>
      <c r="CN7" s="4">
        <v>6.24</v>
      </c>
      <c r="CO7" s="4">
        <v>249.69</v>
      </c>
      <c r="CP7" s="4"/>
      <c r="CQ7" s="4">
        <v>18.73</v>
      </c>
      <c r="CR7" s="4">
        <v>16.23</v>
      </c>
      <c r="CS7" s="4">
        <v>27465.67</v>
      </c>
      <c r="CT7" s="4">
        <v>499.38</v>
      </c>
      <c r="CU7" s="4"/>
      <c r="CV7" s="4">
        <v>12.48</v>
      </c>
    </row>
    <row r="8">
      <c r="A8" s="4" t="s">
        <v>143</v>
      </c>
      <c r="B8" s="4" t="s">
        <v>144</v>
      </c>
      <c r="C8" s="5" t="s">
        <v>138</v>
      </c>
      <c r="D8" s="5" t="s">
        <v>145</v>
      </c>
      <c r="E8" s="4" t="s">
        <v>104</v>
      </c>
      <c r="F8" s="4" t="s">
        <v>105</v>
      </c>
      <c r="G8" s="4" t="s">
        <v>106</v>
      </c>
      <c r="H8" s="4" t="s">
        <v>143</v>
      </c>
      <c r="I8" s="4" t="s">
        <v>140</v>
      </c>
      <c r="J8" s="4" t="s">
        <v>146</v>
      </c>
      <c r="K8" s="4" t="s">
        <v>147</v>
      </c>
      <c r="L8" s="4">
        <v>-19.4718</v>
      </c>
      <c r="M8" s="4">
        <v>-65.7944</v>
      </c>
      <c r="N8" s="4">
        <v>0.625</v>
      </c>
      <c r="O8" s="4">
        <v>1.0</v>
      </c>
      <c r="P8" s="4">
        <v>819.0</v>
      </c>
      <c r="Q8" s="4">
        <v>129.9</v>
      </c>
      <c r="R8" s="4">
        <v>7.22</v>
      </c>
      <c r="S8" s="4">
        <v>-29.6</v>
      </c>
      <c r="T8" s="4">
        <v>1220.0</v>
      </c>
      <c r="U8" s="4">
        <v>0.6</v>
      </c>
      <c r="V8" s="4">
        <v>21.7</v>
      </c>
      <c r="W8" s="4">
        <v>5.53</v>
      </c>
      <c r="X8" s="4">
        <v>94.7</v>
      </c>
      <c r="Y8" s="4">
        <v>209.0</v>
      </c>
      <c r="Z8" s="4">
        <v>1109.0</v>
      </c>
      <c r="AA8" s="4">
        <v>936.0</v>
      </c>
      <c r="AB8" s="4">
        <v>171.0</v>
      </c>
      <c r="AC8" s="4">
        <v>18.0</v>
      </c>
      <c r="AD8" s="4">
        <v>428.0</v>
      </c>
      <c r="AE8" s="4">
        <f t="shared" si="49"/>
        <v>0.05</v>
      </c>
      <c r="AF8" s="4">
        <v>93.0</v>
      </c>
      <c r="AG8" s="4">
        <v>72.79</v>
      </c>
      <c r="AH8" s="4">
        <v>455.2</v>
      </c>
      <c r="AI8" s="4">
        <v>99.73</v>
      </c>
      <c r="AJ8" s="4">
        <v>24.64</v>
      </c>
      <c r="AK8" s="4">
        <v>95.54</v>
      </c>
      <c r="AL8" s="4">
        <v>14.82</v>
      </c>
      <c r="AM8" s="4">
        <v>103.6</v>
      </c>
      <c r="AN8" s="4">
        <v>25.68</v>
      </c>
      <c r="AO8" s="4">
        <v>97.01</v>
      </c>
      <c r="AP8" s="4">
        <v>14.87</v>
      </c>
      <c r="AQ8" s="4">
        <v>0.2</v>
      </c>
      <c r="AR8" s="4">
        <v>0.1</v>
      </c>
      <c r="AS8" s="4">
        <v>36.12</v>
      </c>
      <c r="AT8" s="4">
        <v>0.22</v>
      </c>
      <c r="AU8" s="4">
        <v>2.26</v>
      </c>
      <c r="AV8" s="4">
        <v>7.14</v>
      </c>
      <c r="AW8" s="4">
        <v>39.0</v>
      </c>
      <c r="AX8" s="4">
        <v>52.0</v>
      </c>
      <c r="AY8" s="4"/>
      <c r="AZ8" s="4">
        <v>20.0</v>
      </c>
      <c r="BA8" s="4">
        <v>8.0</v>
      </c>
      <c r="BB8" s="4">
        <v>16.0</v>
      </c>
      <c r="BC8" s="4">
        <f t="shared" ref="BC8:BD8" si="50">0.5*10</f>
        <v>5</v>
      </c>
      <c r="BD8" s="4">
        <f t="shared" si="50"/>
        <v>5</v>
      </c>
      <c r="BE8" s="4">
        <f t="shared" ref="BE8:BF8" si="51">0.5*50</f>
        <v>25</v>
      </c>
      <c r="BF8" s="4">
        <f t="shared" si="51"/>
        <v>25</v>
      </c>
      <c r="BG8" s="4">
        <f t="shared" si="33"/>
        <v>5</v>
      </c>
      <c r="BH8" s="4">
        <v>2000.0</v>
      </c>
      <c r="BI8" s="4">
        <v>11.0</v>
      </c>
      <c r="BJ8" s="4">
        <f t="shared" si="36"/>
        <v>5</v>
      </c>
      <c r="BK8" s="4">
        <v>1000.0</v>
      </c>
      <c r="BL8" s="4">
        <v>40.0</v>
      </c>
      <c r="BM8" s="4">
        <f t="shared" si="38"/>
        <v>0.25</v>
      </c>
      <c r="BN8" s="4">
        <f t="shared" si="39"/>
        <v>0.5</v>
      </c>
      <c r="BO8" s="4">
        <f t="shared" si="40"/>
        <v>2.5</v>
      </c>
      <c r="BP8" s="4">
        <f t="shared" si="41"/>
        <v>0.25</v>
      </c>
      <c r="BQ8" s="4">
        <f t="shared" si="42"/>
        <v>50</v>
      </c>
      <c r="BR8" s="4">
        <v>300.0</v>
      </c>
      <c r="BS8" s="4">
        <f t="shared" si="43"/>
        <v>0.5</v>
      </c>
      <c r="BT8" s="4">
        <f t="shared" ref="BT8:BT11" si="54">0.5*10</f>
        <v>5</v>
      </c>
      <c r="BU8" s="4">
        <v>2000.0</v>
      </c>
      <c r="BV8" s="4">
        <v>14.0</v>
      </c>
      <c r="BW8" s="4">
        <v>67.0</v>
      </c>
      <c r="BX8" s="4">
        <v>2000.0</v>
      </c>
      <c r="BY8" s="4">
        <v>164.0</v>
      </c>
      <c r="BZ8" s="4">
        <v>5.0</v>
      </c>
      <c r="CA8" s="4">
        <v>46.0</v>
      </c>
      <c r="CB8" s="4">
        <f t="shared" si="45"/>
        <v>2.5</v>
      </c>
      <c r="CC8" s="4">
        <f t="shared" si="46"/>
        <v>0.25</v>
      </c>
      <c r="CD8" s="4">
        <v>14000.0</v>
      </c>
      <c r="CE8" s="4">
        <v>400.0</v>
      </c>
      <c r="CF8" s="4">
        <v>3.0</v>
      </c>
      <c r="CG8" s="4">
        <f t="shared" si="48"/>
        <v>0.001</v>
      </c>
      <c r="CH8" s="4">
        <v>0.002</v>
      </c>
      <c r="CI8" s="4">
        <v>0.036</v>
      </c>
      <c r="CJ8" s="4"/>
      <c r="CK8" s="4">
        <v>17.54</v>
      </c>
      <c r="CL8" s="4">
        <v>5847.95</v>
      </c>
      <c r="CM8" s="4">
        <v>182.34</v>
      </c>
      <c r="CN8" s="4">
        <v>725.15</v>
      </c>
      <c r="CO8" s="4">
        <v>584.8</v>
      </c>
      <c r="CP8" s="4">
        <v>29.24</v>
      </c>
      <c r="CQ8" s="4">
        <v>391.81</v>
      </c>
      <c r="CR8" s="4"/>
      <c r="CS8" s="4">
        <v>81871.35</v>
      </c>
      <c r="CT8" s="4">
        <v>0.0</v>
      </c>
      <c r="CU8" s="4"/>
      <c r="CV8" s="4">
        <v>17.54</v>
      </c>
    </row>
    <row r="9">
      <c r="A9" s="4" t="s">
        <v>148</v>
      </c>
      <c r="B9" s="4" t="s">
        <v>149</v>
      </c>
      <c r="C9" s="5" t="s">
        <v>138</v>
      </c>
      <c r="D9" s="5" t="s">
        <v>150</v>
      </c>
      <c r="E9" s="4" t="s">
        <v>104</v>
      </c>
      <c r="F9" s="4" t="s">
        <v>105</v>
      </c>
      <c r="G9" s="4" t="s">
        <v>106</v>
      </c>
      <c r="H9" s="4" t="s">
        <v>151</v>
      </c>
      <c r="I9" s="4" t="s">
        <v>140</v>
      </c>
      <c r="J9" s="4" t="s">
        <v>152</v>
      </c>
      <c r="K9" s="4" t="s">
        <v>153</v>
      </c>
      <c r="L9" s="4">
        <v>-19.5782</v>
      </c>
      <c r="M9" s="4">
        <v>-65.8033</v>
      </c>
      <c r="N9" s="4">
        <v>0.383</v>
      </c>
      <c r="O9" s="4">
        <v>0.0</v>
      </c>
      <c r="P9" s="4">
        <v>744.0</v>
      </c>
      <c r="Q9" s="4">
        <v>134.9</v>
      </c>
      <c r="R9" s="4">
        <v>7.59</v>
      </c>
      <c r="S9" s="4">
        <v>-48.6</v>
      </c>
      <c r="T9" s="4">
        <v>1344.0</v>
      </c>
      <c r="U9" s="4">
        <v>0.6</v>
      </c>
      <c r="V9" s="4">
        <v>13.1</v>
      </c>
      <c r="W9" s="4">
        <v>6.77</v>
      </c>
      <c r="X9" s="4">
        <v>99.2</v>
      </c>
      <c r="Y9" s="4">
        <v>179.0</v>
      </c>
      <c r="Z9" s="4">
        <v>1072.0</v>
      </c>
      <c r="AA9" s="4">
        <v>860.0</v>
      </c>
      <c r="AB9" s="4">
        <v>212.0</v>
      </c>
      <c r="AC9" s="4">
        <v>33.0</v>
      </c>
      <c r="AD9" s="4">
        <v>328.0</v>
      </c>
      <c r="AE9" s="4">
        <f t="shared" si="49"/>
        <v>0.05</v>
      </c>
      <c r="AF9" s="4">
        <v>188.5</v>
      </c>
      <c r="AG9" s="4">
        <v>89.19</v>
      </c>
      <c r="AH9" s="4">
        <v>349.0</v>
      </c>
      <c r="AI9" s="4">
        <v>87.02</v>
      </c>
      <c r="AJ9" s="4">
        <v>24.64</v>
      </c>
      <c r="AK9" s="4">
        <v>75.15</v>
      </c>
      <c r="AL9" s="4">
        <v>27.66</v>
      </c>
      <c r="AM9" s="4">
        <v>87.08</v>
      </c>
      <c r="AN9" s="4">
        <v>26.38</v>
      </c>
      <c r="AO9" s="4">
        <v>75.89</v>
      </c>
      <c r="AP9" s="4">
        <v>27.78</v>
      </c>
      <c r="AQ9" s="4">
        <v>0.34</v>
      </c>
      <c r="AR9" s="4">
        <v>0.3</v>
      </c>
      <c r="AS9" s="4">
        <v>58.02</v>
      </c>
      <c r="AT9" s="4">
        <f t="shared" ref="AT9:AT12" si="55">0.5*0.02</f>
        <v>0.01</v>
      </c>
      <c r="AU9" s="4">
        <v>2.87</v>
      </c>
      <c r="AV9" s="4">
        <v>8.54</v>
      </c>
      <c r="AW9" s="4">
        <v>79.0</v>
      </c>
      <c r="AX9" s="4">
        <v>102.0</v>
      </c>
      <c r="AY9" s="4"/>
      <c r="AZ9" s="4">
        <v>100.0</v>
      </c>
      <c r="BA9" s="4">
        <v>60.0</v>
      </c>
      <c r="BB9" s="4">
        <v>0.0</v>
      </c>
      <c r="BC9" s="4">
        <f t="shared" ref="BC9:BD9" si="52">0.5*10</f>
        <v>5</v>
      </c>
      <c r="BD9" s="4">
        <f t="shared" si="52"/>
        <v>5</v>
      </c>
      <c r="BE9" s="4">
        <f t="shared" ref="BE9:BF9" si="53">0.5*50</f>
        <v>25</v>
      </c>
      <c r="BF9" s="4">
        <f t="shared" si="53"/>
        <v>25</v>
      </c>
      <c r="BG9" s="4">
        <f t="shared" si="33"/>
        <v>5</v>
      </c>
      <c r="BH9" s="4">
        <v>3000.0</v>
      </c>
      <c r="BI9" s="4">
        <v>20.0</v>
      </c>
      <c r="BJ9" s="4">
        <v>40.0</v>
      </c>
      <c r="BK9" s="4">
        <v>3000.0</v>
      </c>
      <c r="BL9" s="4">
        <v>19.0</v>
      </c>
      <c r="BM9" s="4">
        <v>8.0</v>
      </c>
      <c r="BN9" s="4">
        <f t="shared" si="39"/>
        <v>0.5</v>
      </c>
      <c r="BO9" s="4">
        <f t="shared" si="40"/>
        <v>2.5</v>
      </c>
      <c r="BP9" s="4">
        <f t="shared" si="41"/>
        <v>0.25</v>
      </c>
      <c r="BQ9" s="4">
        <v>200.0</v>
      </c>
      <c r="BR9" s="4">
        <v>400.0</v>
      </c>
      <c r="BS9" s="4">
        <f t="shared" si="43"/>
        <v>0.5</v>
      </c>
      <c r="BT9" s="4">
        <f t="shared" si="54"/>
        <v>5</v>
      </c>
      <c r="BU9" s="4">
        <v>3000.0</v>
      </c>
      <c r="BV9" s="4">
        <v>24.0</v>
      </c>
      <c r="BW9" s="4">
        <v>186.0</v>
      </c>
      <c r="BX9" s="4">
        <v>13000.0</v>
      </c>
      <c r="BY9" s="4">
        <v>214.0</v>
      </c>
      <c r="BZ9" s="4">
        <v>29.0</v>
      </c>
      <c r="CA9" s="4">
        <v>28.0</v>
      </c>
      <c r="CB9" s="4">
        <f t="shared" si="45"/>
        <v>2.5</v>
      </c>
      <c r="CC9" s="4">
        <f t="shared" si="46"/>
        <v>0.25</v>
      </c>
      <c r="CD9" s="4">
        <v>23000.0</v>
      </c>
      <c r="CE9" s="4">
        <v>400.0</v>
      </c>
      <c r="CF9" s="4">
        <v>4.0</v>
      </c>
      <c r="CG9" s="4">
        <f t="shared" si="48"/>
        <v>0.001</v>
      </c>
      <c r="CH9" s="4">
        <f t="shared" ref="CH9:CH11" si="58">0.5*0.001</f>
        <v>0.0005</v>
      </c>
      <c r="CI9" s="4">
        <v>0.025</v>
      </c>
      <c r="CJ9" s="4"/>
      <c r="CK9" s="4">
        <v>18.87</v>
      </c>
      <c r="CL9" s="4">
        <v>47169.81</v>
      </c>
      <c r="CM9" s="4">
        <v>1.6</v>
      </c>
      <c r="CN9" s="4">
        <v>919.81</v>
      </c>
      <c r="CO9" s="4">
        <v>0.0</v>
      </c>
      <c r="CP9" s="4">
        <v>99.06</v>
      </c>
      <c r="CQ9" s="4">
        <v>688.68</v>
      </c>
      <c r="CR9" s="4"/>
      <c r="CS9" s="4">
        <v>107547.17</v>
      </c>
      <c r="CT9" s="4">
        <v>0.0</v>
      </c>
      <c r="CU9" s="4"/>
      <c r="CV9" s="4">
        <v>18.87</v>
      </c>
    </row>
    <row r="10">
      <c r="A10" s="4" t="s">
        <v>154</v>
      </c>
      <c r="B10" s="4" t="s">
        <v>155</v>
      </c>
      <c r="C10" s="5" t="s">
        <v>156</v>
      </c>
      <c r="D10" s="5" t="s">
        <v>157</v>
      </c>
      <c r="E10" s="4" t="s">
        <v>158</v>
      </c>
      <c r="F10" s="4" t="s">
        <v>105</v>
      </c>
      <c r="G10" s="4" t="s">
        <v>106</v>
      </c>
      <c r="H10" s="4" t="s">
        <v>159</v>
      </c>
      <c r="I10" s="4" t="s">
        <v>140</v>
      </c>
      <c r="J10" s="4" t="s">
        <v>160</v>
      </c>
      <c r="K10" s="4" t="s">
        <v>161</v>
      </c>
      <c r="L10" s="4">
        <v>-19.5977</v>
      </c>
      <c r="M10" s="4">
        <v>-65.7313</v>
      </c>
      <c r="N10" s="4"/>
      <c r="O10" s="4"/>
      <c r="P10" s="4">
        <v>3395.0</v>
      </c>
      <c r="Q10" s="4">
        <v>97.0</v>
      </c>
      <c r="R10" s="4">
        <v>7.11</v>
      </c>
      <c r="S10" s="4">
        <v>-21.2</v>
      </c>
      <c r="T10" s="4">
        <v>294.0</v>
      </c>
      <c r="U10" s="4">
        <v>0.1</v>
      </c>
      <c r="V10" s="4">
        <v>13.9</v>
      </c>
      <c r="W10" s="4">
        <v>4.63</v>
      </c>
      <c r="X10" s="4">
        <v>75.4</v>
      </c>
      <c r="Y10" s="4">
        <v>2.94</v>
      </c>
      <c r="Z10" s="4">
        <v>197.0</v>
      </c>
      <c r="AA10" s="4">
        <v>190.0</v>
      </c>
      <c r="AB10" s="4">
        <v>5.0</v>
      </c>
      <c r="AC10" s="4">
        <v>13.0</v>
      </c>
      <c r="AD10" s="4">
        <v>146.0</v>
      </c>
      <c r="AE10" s="4">
        <v>2.5</v>
      </c>
      <c r="AF10" s="4">
        <v>144.0</v>
      </c>
      <c r="AG10" s="4">
        <v>2.9</v>
      </c>
      <c r="AH10" s="4">
        <v>4.3</v>
      </c>
      <c r="AI10" s="4">
        <v>26.04</v>
      </c>
      <c r="AJ10" s="4">
        <v>3.49</v>
      </c>
      <c r="AK10" s="4">
        <v>8.41</v>
      </c>
      <c r="AL10" s="4">
        <v>3.46</v>
      </c>
      <c r="AM10" s="4">
        <v>33.54</v>
      </c>
      <c r="AN10" s="4">
        <v>3.77</v>
      </c>
      <c r="AO10" s="4">
        <v>8.86</v>
      </c>
      <c r="AP10" s="4">
        <v>4.2</v>
      </c>
      <c r="AQ10" s="4">
        <v>0.2</v>
      </c>
      <c r="AR10" s="4">
        <v>0.1</v>
      </c>
      <c r="AS10" s="4">
        <v>0.33</v>
      </c>
      <c r="AT10" s="4">
        <f t="shared" si="55"/>
        <v>0.01</v>
      </c>
      <c r="AU10" s="4">
        <v>1.15</v>
      </c>
      <c r="AV10" s="4">
        <v>0.14</v>
      </c>
      <c r="AW10" s="4">
        <v>24.0</v>
      </c>
      <c r="AX10" s="4">
        <v>32.0</v>
      </c>
      <c r="AY10" s="4"/>
      <c r="AZ10" s="4">
        <v>200.0</v>
      </c>
      <c r="BA10" s="4">
        <v>80.0</v>
      </c>
      <c r="BB10" s="4"/>
      <c r="BC10" s="4">
        <f t="shared" ref="BC10:BD10" si="56">0.5*10</f>
        <v>5</v>
      </c>
      <c r="BD10" s="4">
        <f t="shared" si="56"/>
        <v>5</v>
      </c>
      <c r="BE10" s="4">
        <f t="shared" ref="BE10:BF10" si="57">0.5*50</f>
        <v>25</v>
      </c>
      <c r="BF10" s="4">
        <f t="shared" si="57"/>
        <v>25</v>
      </c>
      <c r="BG10" s="4">
        <f t="shared" si="33"/>
        <v>5</v>
      </c>
      <c r="BH10" s="4">
        <v>320.0</v>
      </c>
      <c r="BI10" s="4">
        <f>0.5*1</f>
        <v>0.5</v>
      </c>
      <c r="BJ10" s="4">
        <f>0.5*10</f>
        <v>5</v>
      </c>
      <c r="BK10" s="4">
        <f>0.5*50</f>
        <v>25</v>
      </c>
      <c r="BL10" s="4">
        <v>6.0</v>
      </c>
      <c r="BM10" s="4">
        <f>0.5*0.5</f>
        <v>0.25</v>
      </c>
      <c r="BN10" s="4">
        <f t="shared" si="39"/>
        <v>0.5</v>
      </c>
      <c r="BO10" s="4">
        <f t="shared" si="40"/>
        <v>2.5</v>
      </c>
      <c r="BP10" s="4">
        <f t="shared" si="41"/>
        <v>0.25</v>
      </c>
      <c r="BQ10" s="4">
        <v>2000.0</v>
      </c>
      <c r="BR10" s="4">
        <v>200.0</v>
      </c>
      <c r="BS10" s="4">
        <f t="shared" si="43"/>
        <v>0.5</v>
      </c>
      <c r="BT10" s="4">
        <f t="shared" si="54"/>
        <v>5</v>
      </c>
      <c r="BU10" s="4">
        <v>330.0</v>
      </c>
      <c r="BV10" s="4">
        <f>0.5*1</f>
        <v>0.5</v>
      </c>
      <c r="BW10" s="4">
        <f>0.5*10</f>
        <v>5</v>
      </c>
      <c r="BX10" s="4">
        <f>0.5*50</f>
        <v>25</v>
      </c>
      <c r="BY10" s="4">
        <v>8.0</v>
      </c>
      <c r="BZ10" s="4">
        <f>0.5*0.5</f>
        <v>0.25</v>
      </c>
      <c r="CA10" s="4">
        <f>0.5*1</f>
        <v>0.5</v>
      </c>
      <c r="CB10" s="4">
        <f t="shared" si="45"/>
        <v>2.5</v>
      </c>
      <c r="CC10" s="4">
        <f t="shared" si="46"/>
        <v>0.25</v>
      </c>
      <c r="CD10" s="4">
        <v>2000.0</v>
      </c>
      <c r="CE10" s="4">
        <v>200.0</v>
      </c>
      <c r="CF10" s="4">
        <f t="shared" ref="CF10:CF11" si="61">0.5*1</f>
        <v>0.5</v>
      </c>
      <c r="CG10" s="4">
        <f t="shared" si="48"/>
        <v>0.001</v>
      </c>
      <c r="CH10" s="4">
        <f t="shared" si="58"/>
        <v>0.0005</v>
      </c>
      <c r="CI10" s="4"/>
      <c r="CJ10" s="4"/>
      <c r="CK10" s="4"/>
      <c r="CL10" s="4"/>
      <c r="CM10" s="4"/>
      <c r="CN10" s="4">
        <v>400.0</v>
      </c>
      <c r="CO10" s="4">
        <v>0.0</v>
      </c>
      <c r="CP10" s="4"/>
      <c r="CQ10" s="4"/>
      <c r="CR10" s="4"/>
      <c r="CS10" s="4">
        <v>0.0</v>
      </c>
      <c r="CT10" s="4">
        <v>2000.0</v>
      </c>
      <c r="CU10" s="4"/>
      <c r="CV10" s="4"/>
    </row>
    <row r="11">
      <c r="A11" s="4" t="s">
        <v>162</v>
      </c>
      <c r="B11" s="4" t="s">
        <v>163</v>
      </c>
      <c r="C11" s="5" t="s">
        <v>156</v>
      </c>
      <c r="D11" s="5" t="s">
        <v>164</v>
      </c>
      <c r="E11" s="4" t="s">
        <v>158</v>
      </c>
      <c r="F11" s="4" t="s">
        <v>105</v>
      </c>
      <c r="G11" s="4" t="s">
        <v>106</v>
      </c>
      <c r="H11" s="4" t="s">
        <v>165</v>
      </c>
      <c r="I11" s="4" t="s">
        <v>140</v>
      </c>
      <c r="J11" s="4" t="s">
        <v>166</v>
      </c>
      <c r="K11" s="4" t="s">
        <v>167</v>
      </c>
      <c r="L11" s="4">
        <v>-19.3214</v>
      </c>
      <c r="M11" s="4">
        <v>-65.5519</v>
      </c>
      <c r="N11" s="4">
        <v>0.527</v>
      </c>
      <c r="O11" s="4">
        <v>0.0</v>
      </c>
      <c r="P11" s="4">
        <v>2170.0</v>
      </c>
      <c r="Q11" s="4">
        <v>131.9</v>
      </c>
      <c r="R11" s="4">
        <v>3.87</v>
      </c>
      <c r="S11" s="4">
        <v>158.1</v>
      </c>
      <c r="T11" s="4">
        <v>462.0</v>
      </c>
      <c r="U11" s="4">
        <v>0.1</v>
      </c>
      <c r="V11" s="4">
        <v>19.1</v>
      </c>
      <c r="W11" s="4">
        <v>5.88</v>
      </c>
      <c r="X11" s="4">
        <v>99.2</v>
      </c>
      <c r="Y11" s="4">
        <v>29.0</v>
      </c>
      <c r="Z11" s="4">
        <v>471.0</v>
      </c>
      <c r="AA11" s="4">
        <v>454.0</v>
      </c>
      <c r="AB11" s="4">
        <v>16.0</v>
      </c>
      <c r="AC11" s="4">
        <f>0.5*0.05</f>
        <v>0.025</v>
      </c>
      <c r="AD11" s="4"/>
      <c r="AE11" s="4">
        <f t="shared" ref="AE11:AE12" si="62">0.5*0.1</f>
        <v>0.05</v>
      </c>
      <c r="AF11" s="4">
        <f>0.5*0.05</f>
        <v>0.025</v>
      </c>
      <c r="AG11" s="4">
        <v>2.05</v>
      </c>
      <c r="AH11" s="4">
        <v>230.9</v>
      </c>
      <c r="AI11" s="4">
        <v>51.6</v>
      </c>
      <c r="AJ11" s="4">
        <v>21.62</v>
      </c>
      <c r="AK11" s="4">
        <v>1.11</v>
      </c>
      <c r="AL11" s="4">
        <v>2.99</v>
      </c>
      <c r="AM11" s="4">
        <v>59.57</v>
      </c>
      <c r="AN11" s="4">
        <v>22.32</v>
      </c>
      <c r="AO11" s="4">
        <v>1.39</v>
      </c>
      <c r="AP11" s="4">
        <v>3.04</v>
      </c>
      <c r="AQ11" s="4">
        <v>0.2</v>
      </c>
      <c r="AR11" s="4">
        <v>0.09</v>
      </c>
      <c r="AS11" s="4">
        <v>0.77</v>
      </c>
      <c r="AT11" s="4">
        <f t="shared" si="55"/>
        <v>0.01</v>
      </c>
      <c r="AU11" s="4">
        <v>1.28</v>
      </c>
      <c r="AV11" s="4">
        <v>5.74</v>
      </c>
      <c r="AW11" s="4">
        <v>7.0</v>
      </c>
      <c r="AX11" s="4">
        <v>9.0</v>
      </c>
      <c r="AY11" s="4"/>
      <c r="AZ11" s="4">
        <v>0.0</v>
      </c>
      <c r="BA11" s="4">
        <v>0.0</v>
      </c>
      <c r="BB11" s="4">
        <v>2.0</v>
      </c>
      <c r="BC11" s="4">
        <f t="shared" ref="BC11:BD11" si="59">0.5*10</f>
        <v>5</v>
      </c>
      <c r="BD11" s="4">
        <f t="shared" si="59"/>
        <v>5</v>
      </c>
      <c r="BE11" s="4">
        <f t="shared" ref="BE11:BF11" si="60">0.5*50</f>
        <v>25</v>
      </c>
      <c r="BF11" s="4">
        <f t="shared" si="60"/>
        <v>25</v>
      </c>
      <c r="BG11" s="4">
        <f t="shared" si="33"/>
        <v>5</v>
      </c>
      <c r="BH11" s="4">
        <v>7000.0</v>
      </c>
      <c r="BI11" s="4">
        <v>34.0</v>
      </c>
      <c r="BJ11" s="4">
        <v>502.0</v>
      </c>
      <c r="BK11" s="4">
        <v>1390.0</v>
      </c>
      <c r="BL11" s="4">
        <f>0.5*1</f>
        <v>0.5</v>
      </c>
      <c r="BM11" s="4">
        <v>4.6</v>
      </c>
      <c r="BN11" s="4">
        <v>4.0</v>
      </c>
      <c r="BO11" s="4">
        <f t="shared" si="40"/>
        <v>2.5</v>
      </c>
      <c r="BP11" s="4">
        <f t="shared" si="41"/>
        <v>0.25</v>
      </c>
      <c r="BQ11" s="4">
        <v>5000.0</v>
      </c>
      <c r="BR11" s="4">
        <v>60.0</v>
      </c>
      <c r="BS11" s="4">
        <f t="shared" si="43"/>
        <v>0.5</v>
      </c>
      <c r="BT11" s="4">
        <f t="shared" si="54"/>
        <v>5</v>
      </c>
      <c r="BU11" s="4">
        <v>7000.0</v>
      </c>
      <c r="BV11" s="4">
        <v>35.0</v>
      </c>
      <c r="BW11" s="4">
        <v>516.0</v>
      </c>
      <c r="BX11" s="4">
        <v>1400.0</v>
      </c>
      <c r="BY11" s="4">
        <v>4.0</v>
      </c>
      <c r="BZ11" s="4">
        <v>4.7</v>
      </c>
      <c r="CA11" s="4">
        <v>5.0</v>
      </c>
      <c r="CB11" s="4">
        <f t="shared" si="45"/>
        <v>2.5</v>
      </c>
      <c r="CC11" s="4">
        <f t="shared" si="46"/>
        <v>0.25</v>
      </c>
      <c r="CD11" s="4">
        <v>8000.0</v>
      </c>
      <c r="CE11" s="4">
        <v>80.0</v>
      </c>
      <c r="CF11" s="4">
        <f t="shared" si="61"/>
        <v>0.5</v>
      </c>
      <c r="CG11" s="4">
        <f t="shared" si="48"/>
        <v>0.001</v>
      </c>
      <c r="CH11" s="4">
        <f t="shared" si="58"/>
        <v>0.0005</v>
      </c>
      <c r="CI11" s="4">
        <v>0.023</v>
      </c>
      <c r="CJ11" s="4"/>
      <c r="CK11" s="4"/>
      <c r="CL11" s="4">
        <v>625.0</v>
      </c>
      <c r="CM11" s="4">
        <v>125.63</v>
      </c>
      <c r="CN11" s="4">
        <v>250.0</v>
      </c>
      <c r="CO11" s="4">
        <v>1250.0</v>
      </c>
      <c r="CP11" s="4">
        <v>6.25</v>
      </c>
      <c r="CQ11" s="4">
        <v>875.0</v>
      </c>
      <c r="CR11" s="4"/>
      <c r="CS11" s="4">
        <v>187500.0</v>
      </c>
      <c r="CT11" s="4">
        <v>0.0</v>
      </c>
      <c r="CU11" s="4"/>
      <c r="CV11" s="4">
        <v>62.5</v>
      </c>
    </row>
    <row r="12">
      <c r="A12" s="4" t="s">
        <v>168</v>
      </c>
      <c r="B12" s="4" t="s">
        <v>169</v>
      </c>
      <c r="C12" s="5" t="s">
        <v>156</v>
      </c>
      <c r="D12" s="5" t="s">
        <v>170</v>
      </c>
      <c r="E12" s="4" t="s">
        <v>158</v>
      </c>
      <c r="F12" s="4" t="s">
        <v>105</v>
      </c>
      <c r="G12" s="4" t="s">
        <v>106</v>
      </c>
      <c r="H12" s="4" t="s">
        <v>128</v>
      </c>
      <c r="I12" s="4" t="s">
        <v>171</v>
      </c>
      <c r="J12" s="4" t="s">
        <v>172</v>
      </c>
      <c r="K12" s="4" t="s">
        <v>173</v>
      </c>
      <c r="L12" s="4">
        <v>-19.3574</v>
      </c>
      <c r="M12" s="4">
        <v>-65.1732</v>
      </c>
      <c r="N12" s="4"/>
      <c r="O12" s="4"/>
      <c r="P12" s="4">
        <v>1578.0</v>
      </c>
      <c r="Q12" s="4">
        <v>150.0</v>
      </c>
      <c r="R12" s="4">
        <v>7.9</v>
      </c>
      <c r="S12" s="4">
        <v>-67.6</v>
      </c>
      <c r="T12" s="4">
        <v>633.5</v>
      </c>
      <c r="U12" s="4">
        <v>0.2</v>
      </c>
      <c r="V12" s="4">
        <v>19.6</v>
      </c>
      <c r="W12" s="4">
        <v>6.62</v>
      </c>
      <c r="X12" s="4">
        <v>94.8</v>
      </c>
      <c r="Y12" s="4">
        <f t="shared" ref="Y12:Y13" si="65">1.5*1100</f>
        <v>1650</v>
      </c>
      <c r="Z12" s="4">
        <v>29271.0</v>
      </c>
      <c r="AA12" s="4">
        <v>474.0</v>
      </c>
      <c r="AB12" s="4">
        <v>28786.0</v>
      </c>
      <c r="AC12" s="4">
        <v>28.0</v>
      </c>
      <c r="AD12" s="4">
        <v>226.0</v>
      </c>
      <c r="AE12" s="4">
        <f t="shared" si="62"/>
        <v>0.05</v>
      </c>
      <c r="AF12" s="4">
        <v>110.5</v>
      </c>
      <c r="AG12" s="4">
        <v>80.3</v>
      </c>
      <c r="AH12" s="4">
        <v>85.4</v>
      </c>
      <c r="AI12" s="4">
        <v>30.86</v>
      </c>
      <c r="AJ12" s="4">
        <v>14.99</v>
      </c>
      <c r="AK12" s="4">
        <v>53.11</v>
      </c>
      <c r="AL12" s="4">
        <v>6.82</v>
      </c>
      <c r="AM12" s="4">
        <v>33.81</v>
      </c>
      <c r="AN12" s="4">
        <v>17.08</v>
      </c>
      <c r="AO12" s="4">
        <v>55.29</v>
      </c>
      <c r="AP12" s="4">
        <v>7.81</v>
      </c>
      <c r="AQ12" s="4">
        <v>0.2</v>
      </c>
      <c r="AR12" s="4">
        <v>0.2</v>
      </c>
      <c r="AS12" s="4">
        <v>0.57</v>
      </c>
      <c r="AT12" s="4">
        <f t="shared" si="55"/>
        <v>0.01</v>
      </c>
      <c r="AU12" s="4">
        <v>3.36</v>
      </c>
      <c r="AV12" s="4">
        <v>5.74</v>
      </c>
      <c r="AW12" s="4">
        <v>24.0</v>
      </c>
      <c r="AX12" s="4">
        <v>31.0</v>
      </c>
      <c r="AY12" s="4"/>
      <c r="AZ12" s="4">
        <v>200.0</v>
      </c>
      <c r="BA12" s="4">
        <v>99.0</v>
      </c>
      <c r="BB12" s="4">
        <v>0.0</v>
      </c>
      <c r="BC12" s="4">
        <f t="shared" ref="BC12:BD12" si="63">0.5*10</f>
        <v>5</v>
      </c>
      <c r="BD12" s="4">
        <f t="shared" si="63"/>
        <v>5</v>
      </c>
      <c r="BE12" s="4">
        <f t="shared" ref="BE12:BF12" si="64">0.5*50</f>
        <v>25</v>
      </c>
      <c r="BF12" s="4">
        <f t="shared" si="64"/>
        <v>25</v>
      </c>
      <c r="BG12" s="4">
        <f t="shared" si="33"/>
        <v>5</v>
      </c>
      <c r="BH12" s="4">
        <f>0.5*50</f>
        <v>25</v>
      </c>
      <c r="BI12" s="4">
        <f>0.5*1</f>
        <v>0.5</v>
      </c>
      <c r="BJ12" s="4">
        <f>0.5*10</f>
        <v>5</v>
      </c>
      <c r="BK12" s="4">
        <f>0.5*50</f>
        <v>25</v>
      </c>
      <c r="BL12" s="4">
        <v>2.0</v>
      </c>
      <c r="BM12" s="4">
        <f>0.5*0.5</f>
        <v>0.25</v>
      </c>
      <c r="BN12" s="4">
        <f>0.5*1</f>
        <v>0.5</v>
      </c>
      <c r="BO12" s="4">
        <f t="shared" si="40"/>
        <v>2.5</v>
      </c>
      <c r="BP12" s="4">
        <f t="shared" si="41"/>
        <v>0.25</v>
      </c>
      <c r="BQ12" s="4">
        <f>0.5*100</f>
        <v>50</v>
      </c>
      <c r="BR12" s="4">
        <v>500.0</v>
      </c>
      <c r="BS12" s="4">
        <f t="shared" si="43"/>
        <v>0.5</v>
      </c>
      <c r="BT12" s="4">
        <v>195.0</v>
      </c>
      <c r="BU12" s="4">
        <v>18000.0</v>
      </c>
      <c r="BV12" s="4">
        <v>232.0</v>
      </c>
      <c r="BW12" s="4">
        <v>199.0</v>
      </c>
      <c r="BX12" s="4">
        <v>2000.0</v>
      </c>
      <c r="BY12" s="4">
        <v>89.0</v>
      </c>
      <c r="BZ12" s="4">
        <v>6.0</v>
      </c>
      <c r="CA12" s="4">
        <v>203.0</v>
      </c>
      <c r="CB12" s="4">
        <f t="shared" si="45"/>
        <v>2.5</v>
      </c>
      <c r="CC12" s="4">
        <v>1.2</v>
      </c>
      <c r="CD12" s="4">
        <v>340000.0</v>
      </c>
      <c r="CE12" s="4">
        <v>600.0</v>
      </c>
      <c r="CF12" s="4">
        <v>7.0</v>
      </c>
      <c r="CG12" s="4">
        <f t="shared" si="48"/>
        <v>0.001</v>
      </c>
      <c r="CH12" s="4">
        <v>0.004</v>
      </c>
      <c r="CI12" s="4">
        <v>0.033</v>
      </c>
      <c r="CJ12" s="4"/>
      <c r="CK12" s="4">
        <v>0.24</v>
      </c>
      <c r="CL12" s="4">
        <v>69.48</v>
      </c>
      <c r="CM12" s="4">
        <v>6.82</v>
      </c>
      <c r="CN12" s="4">
        <v>3.02</v>
      </c>
      <c r="CO12" s="4">
        <v>3.47</v>
      </c>
      <c r="CP12" s="4">
        <v>0.21</v>
      </c>
      <c r="CQ12" s="4">
        <v>6.91</v>
      </c>
      <c r="CR12" s="4">
        <v>6.77</v>
      </c>
      <c r="CS12" s="4">
        <v>11811.3</v>
      </c>
      <c r="CT12" s="4">
        <v>625.3</v>
      </c>
      <c r="CU12" s="4">
        <v>0.04</v>
      </c>
      <c r="CV12" s="4">
        <v>8.06</v>
      </c>
    </row>
    <row r="13">
      <c r="A13" s="4" t="s">
        <v>174</v>
      </c>
      <c r="B13" s="4" t="s">
        <v>175</v>
      </c>
      <c r="C13" s="5" t="s">
        <v>176</v>
      </c>
      <c r="D13" s="5" t="s">
        <v>139</v>
      </c>
      <c r="E13" s="4" t="s">
        <v>158</v>
      </c>
      <c r="F13" s="4" t="s">
        <v>105</v>
      </c>
      <c r="G13" s="4" t="s">
        <v>106</v>
      </c>
      <c r="H13" s="4" t="s">
        <v>128</v>
      </c>
      <c r="I13" s="4" t="s">
        <v>171</v>
      </c>
      <c r="J13" s="4" t="s">
        <v>177</v>
      </c>
      <c r="K13" s="4" t="s">
        <v>178</v>
      </c>
      <c r="L13" s="4">
        <v>-19.4085</v>
      </c>
      <c r="M13" s="4">
        <v>-64.8603</v>
      </c>
      <c r="N13" s="4">
        <v>0.741</v>
      </c>
      <c r="O13" s="4">
        <v>18.0</v>
      </c>
      <c r="P13" s="4">
        <v>1778.0</v>
      </c>
      <c r="Q13" s="4">
        <v>141.4</v>
      </c>
      <c r="R13" s="4">
        <v>7.82</v>
      </c>
      <c r="S13" s="4">
        <v>-58.1</v>
      </c>
      <c r="T13" s="4">
        <v>566.0</v>
      </c>
      <c r="U13" s="4">
        <v>0.2</v>
      </c>
      <c r="V13" s="4">
        <v>23.1</v>
      </c>
      <c r="W13" s="4">
        <v>5.88</v>
      </c>
      <c r="X13" s="4">
        <v>88.3</v>
      </c>
      <c r="Y13" s="4">
        <f t="shared" si="65"/>
        <v>1650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</row>
    <row r="14">
      <c r="A14" s="4" t="s">
        <v>179</v>
      </c>
      <c r="B14" s="4" t="s">
        <v>180</v>
      </c>
      <c r="C14" s="5" t="s">
        <v>181</v>
      </c>
      <c r="D14" s="5" t="s">
        <v>182</v>
      </c>
      <c r="E14" s="4" t="s">
        <v>158</v>
      </c>
      <c r="F14" s="4" t="s">
        <v>105</v>
      </c>
      <c r="G14" s="4" t="s">
        <v>106</v>
      </c>
      <c r="H14" s="4" t="s">
        <v>183</v>
      </c>
      <c r="J14" s="4" t="s">
        <v>184</v>
      </c>
      <c r="K14" s="4" t="s">
        <v>185</v>
      </c>
      <c r="L14" s="4">
        <v>-19.1351</v>
      </c>
      <c r="M14" s="4">
        <v>-65.5681</v>
      </c>
      <c r="N14" s="4"/>
      <c r="O14" s="4"/>
      <c r="P14" s="4">
        <v>1282.0</v>
      </c>
      <c r="Q14" s="4">
        <v>138.8</v>
      </c>
      <c r="R14" s="4">
        <v>8.33</v>
      </c>
      <c r="S14" s="4">
        <v>-87.0</v>
      </c>
      <c r="T14" s="4">
        <v>779.0</v>
      </c>
      <c r="U14" s="4">
        <v>0.3</v>
      </c>
      <c r="V14" s="4">
        <v>20.9</v>
      </c>
      <c r="W14" s="4">
        <v>5.96</v>
      </c>
      <c r="X14" s="4">
        <v>103.3</v>
      </c>
      <c r="Y14" s="4">
        <v>38.5</v>
      </c>
      <c r="Z14" s="4">
        <v>591.0</v>
      </c>
      <c r="AA14" s="4">
        <v>550.0</v>
      </c>
      <c r="AB14" s="4">
        <v>41.0</v>
      </c>
      <c r="AC14" s="4">
        <v>5.0</v>
      </c>
      <c r="AD14" s="4">
        <v>376.0</v>
      </c>
      <c r="AE14" s="4">
        <v>17.5</v>
      </c>
      <c r="AF14" s="4">
        <v>217.5</v>
      </c>
      <c r="AG14" s="4">
        <v>5.47</v>
      </c>
      <c r="AH14" s="4">
        <v>218.4</v>
      </c>
      <c r="AI14" s="4">
        <v>79.1</v>
      </c>
      <c r="AJ14" s="4">
        <v>59.04</v>
      </c>
      <c r="AK14" s="4">
        <v>22.4</v>
      </c>
      <c r="AL14" s="4">
        <v>8.09</v>
      </c>
      <c r="AM14" s="4">
        <v>80.25</v>
      </c>
      <c r="AN14" s="4">
        <v>59.04</v>
      </c>
      <c r="AO14" s="4">
        <v>33.95</v>
      </c>
      <c r="AP14" s="4">
        <v>8.53</v>
      </c>
      <c r="AQ14" s="4">
        <v>0.1</v>
      </c>
      <c r="AR14" s="4">
        <v>0.03</v>
      </c>
      <c r="AS14" s="4">
        <v>0.75</v>
      </c>
      <c r="AT14" s="4">
        <f t="shared" ref="AT14:AT23" si="68">0.5*0.02</f>
        <v>0.01</v>
      </c>
      <c r="AU14" s="4">
        <v>1.03</v>
      </c>
      <c r="AV14" s="4">
        <v>2.94</v>
      </c>
      <c r="AW14" s="4">
        <f t="shared" ref="AW14:AW15" si="69">0.5*5</f>
        <v>2.5</v>
      </c>
      <c r="AX14" s="4">
        <v>4.738</v>
      </c>
      <c r="AY14" s="4"/>
      <c r="AZ14" s="4">
        <v>50.0</v>
      </c>
      <c r="BA14" s="4">
        <v>20.0</v>
      </c>
      <c r="BB14" s="4">
        <v>2.0</v>
      </c>
      <c r="BC14" s="4">
        <f t="shared" ref="BC14:BD14" si="66">0.5*10</f>
        <v>5</v>
      </c>
      <c r="BD14" s="4">
        <f t="shared" si="66"/>
        <v>5</v>
      </c>
      <c r="BE14" s="4">
        <f t="shared" ref="BE14:BF14" si="67">0.5*50</f>
        <v>25</v>
      </c>
      <c r="BF14" s="4">
        <f t="shared" si="67"/>
        <v>25</v>
      </c>
      <c r="BG14" s="4">
        <f t="shared" ref="BG14:BG40" si="72">0.5*10</f>
        <v>5</v>
      </c>
      <c r="BH14" s="4">
        <f>0.5*50</f>
        <v>25</v>
      </c>
      <c r="BI14" s="4">
        <f t="shared" ref="BI14:BI15" si="73">0.5*1</f>
        <v>0.5</v>
      </c>
      <c r="BJ14" s="4">
        <f t="shared" ref="BJ14:BJ32" si="74">0.5*10</f>
        <v>5</v>
      </c>
      <c r="BK14" s="4">
        <f t="shared" ref="BK14:BK32" si="75">0.5*50</f>
        <v>25</v>
      </c>
      <c r="BL14" s="4">
        <f>0.5*1</f>
        <v>0.5</v>
      </c>
      <c r="BM14" s="4">
        <f t="shared" ref="BM14:BM32" si="76">0.5*0.5</f>
        <v>0.25</v>
      </c>
      <c r="BN14" s="4">
        <f t="shared" ref="BN14:BN35" si="77">0.5*1</f>
        <v>0.5</v>
      </c>
      <c r="BO14" s="4">
        <f t="shared" ref="BO14:BO40" si="78">0.5*5</f>
        <v>2.5</v>
      </c>
      <c r="BP14" s="4">
        <f t="shared" ref="BP14:BP40" si="79">0.5*0.5</f>
        <v>0.25</v>
      </c>
      <c r="BQ14" s="4">
        <f t="shared" ref="BQ14:BQ19" si="80">0.5*100</f>
        <v>50</v>
      </c>
      <c r="BR14" s="4">
        <v>100.0</v>
      </c>
      <c r="BS14" s="4">
        <f t="shared" ref="BS14:BS26" si="81">0.5*1</f>
        <v>0.5</v>
      </c>
      <c r="BT14" s="4">
        <f t="shared" ref="BT14:BT18" si="82">0.5*10</f>
        <v>5</v>
      </c>
      <c r="BU14" s="4">
        <f>0.5*50</f>
        <v>25</v>
      </c>
      <c r="BV14" s="4">
        <f t="shared" ref="BV14:BV15" si="83">0.5*1</f>
        <v>0.5</v>
      </c>
      <c r="BW14" s="4">
        <f t="shared" ref="BW14:BW18" si="84">0.5*10</f>
        <v>5</v>
      </c>
      <c r="BX14" s="4">
        <f>0.5*50</f>
        <v>25</v>
      </c>
      <c r="BY14" s="4">
        <f>0.5*1</f>
        <v>0.5</v>
      </c>
      <c r="BZ14" s="4">
        <f t="shared" ref="BZ14:BZ18" si="85">0.5*0.5</f>
        <v>0.25</v>
      </c>
      <c r="CA14" s="4">
        <f>0.5*1</f>
        <v>0.5</v>
      </c>
      <c r="CB14" s="4">
        <f t="shared" ref="CB14:CB40" si="86">0.5*5</f>
        <v>2.5</v>
      </c>
      <c r="CC14" s="4">
        <f t="shared" ref="CC14:CC20" si="87">0.5*0.5</f>
        <v>0.25</v>
      </c>
      <c r="CD14" s="4">
        <v>600.0</v>
      </c>
      <c r="CE14" s="4">
        <v>100.0</v>
      </c>
      <c r="CF14" s="4">
        <f t="shared" ref="CF14:CF18" si="88">0.5*1</f>
        <v>0.5</v>
      </c>
      <c r="CG14" s="4">
        <f t="shared" ref="CG14:CG23" si="89">0.5*0.002</f>
        <v>0.001</v>
      </c>
      <c r="CH14" s="4">
        <f t="shared" ref="CH14:CH20" si="90">0.5*0.001</f>
        <v>0.0005</v>
      </c>
      <c r="CI14" s="4">
        <v>0.059</v>
      </c>
      <c r="CJ14" s="4">
        <f t="shared" ref="CJ14:CJ23" si="91">0.5*0.038</f>
        <v>0.019</v>
      </c>
      <c r="CK14" s="4"/>
      <c r="CL14" s="4"/>
      <c r="CM14" s="4"/>
      <c r="CN14" s="4"/>
      <c r="CO14" s="4">
        <v>0.0</v>
      </c>
      <c r="CP14" s="4"/>
      <c r="CQ14" s="4"/>
      <c r="CR14" s="4"/>
      <c r="CS14" s="4">
        <v>14634.15</v>
      </c>
      <c r="CT14" s="4"/>
      <c r="CU14" s="4"/>
      <c r="CV14" s="4"/>
    </row>
    <row r="15">
      <c r="A15" s="4" t="s">
        <v>186</v>
      </c>
      <c r="B15" s="4" t="s">
        <v>187</v>
      </c>
      <c r="C15" s="5" t="s">
        <v>181</v>
      </c>
      <c r="D15" s="5" t="s">
        <v>188</v>
      </c>
      <c r="E15" s="4" t="s">
        <v>158</v>
      </c>
      <c r="F15" s="4" t="s">
        <v>105</v>
      </c>
      <c r="G15" s="4" t="s">
        <v>106</v>
      </c>
      <c r="H15" s="4" t="s">
        <v>128</v>
      </c>
      <c r="J15" s="4" t="s">
        <v>189</v>
      </c>
      <c r="K15" s="4" t="s">
        <v>190</v>
      </c>
      <c r="L15" s="4">
        <v>-19.1323</v>
      </c>
      <c r="M15" s="4">
        <v>-65.5724</v>
      </c>
      <c r="N15" s="4">
        <v>0.763</v>
      </c>
      <c r="O15" s="4">
        <v>3.0</v>
      </c>
      <c r="P15" s="4">
        <v>912.0</v>
      </c>
      <c r="Q15" s="4">
        <v>156.9</v>
      </c>
      <c r="R15" s="4">
        <v>8.54</v>
      </c>
      <c r="S15" s="4">
        <v>-96.8</v>
      </c>
      <c r="T15" s="4">
        <v>1096.0</v>
      </c>
      <c r="U15" s="4">
        <v>0.5</v>
      </c>
      <c r="V15" s="4">
        <v>15.8</v>
      </c>
      <c r="W15" s="4">
        <v>7.46</v>
      </c>
      <c r="X15" s="4">
        <v>104.8</v>
      </c>
      <c r="Y15" s="4">
        <v>71.2</v>
      </c>
      <c r="Z15" s="4">
        <v>765.0</v>
      </c>
      <c r="AA15" s="4">
        <v>698.0</v>
      </c>
      <c r="AB15" s="4">
        <v>67.0</v>
      </c>
      <c r="AC15" s="4">
        <v>14.0</v>
      </c>
      <c r="AD15" s="4">
        <v>216.0</v>
      </c>
      <c r="AE15" s="4">
        <v>10.0</v>
      </c>
      <c r="AF15" s="4">
        <v>156.5</v>
      </c>
      <c r="AG15" s="4">
        <v>174.79</v>
      </c>
      <c r="AH15" s="4">
        <v>110.1</v>
      </c>
      <c r="AI15" s="4">
        <v>22.62</v>
      </c>
      <c r="AJ15" s="4">
        <v>20.84</v>
      </c>
      <c r="AK15" s="4">
        <v>142.15</v>
      </c>
      <c r="AL15" s="4">
        <v>13.03</v>
      </c>
      <c r="AM15" s="4">
        <v>26.49</v>
      </c>
      <c r="AN15" s="4">
        <v>21.27</v>
      </c>
      <c r="AO15" s="4">
        <v>146.07</v>
      </c>
      <c r="AP15" s="4">
        <v>13.28</v>
      </c>
      <c r="AQ15" s="4">
        <v>0.2</v>
      </c>
      <c r="AR15" s="4">
        <v>0.1</v>
      </c>
      <c r="AS15" s="4">
        <v>0.73</v>
      </c>
      <c r="AT15" s="4">
        <f t="shared" si="68"/>
        <v>0.01</v>
      </c>
      <c r="AU15" s="4">
        <v>5.94</v>
      </c>
      <c r="AV15" s="4">
        <v>5.74</v>
      </c>
      <c r="AW15" s="4">
        <f t="shared" si="69"/>
        <v>2.5</v>
      </c>
      <c r="AX15" s="4">
        <v>5.739</v>
      </c>
      <c r="AY15" s="4"/>
      <c r="AZ15" s="4">
        <v>65.0</v>
      </c>
      <c r="BA15" s="4">
        <v>30.0</v>
      </c>
      <c r="BB15" s="4">
        <v>0.0</v>
      </c>
      <c r="BC15" s="4">
        <f t="shared" ref="BC15:BD15" si="70">0.5*10</f>
        <v>5</v>
      </c>
      <c r="BD15" s="4">
        <f t="shared" si="70"/>
        <v>5</v>
      </c>
      <c r="BE15" s="4">
        <f t="shared" ref="BE15:BF15" si="71">0.5*50</f>
        <v>25</v>
      </c>
      <c r="BF15" s="4">
        <f t="shared" si="71"/>
        <v>25</v>
      </c>
      <c r="BG15" s="4">
        <f t="shared" si="72"/>
        <v>5</v>
      </c>
      <c r="BH15" s="4">
        <v>70.0</v>
      </c>
      <c r="BI15" s="4">
        <f t="shared" si="73"/>
        <v>0.5</v>
      </c>
      <c r="BJ15" s="4">
        <f t="shared" si="74"/>
        <v>5</v>
      </c>
      <c r="BK15" s="4">
        <f t="shared" si="75"/>
        <v>25</v>
      </c>
      <c r="BL15" s="4">
        <v>15.0</v>
      </c>
      <c r="BM15" s="4">
        <f t="shared" si="76"/>
        <v>0.25</v>
      </c>
      <c r="BN15" s="4">
        <f t="shared" si="77"/>
        <v>0.5</v>
      </c>
      <c r="BO15" s="4">
        <f t="shared" si="78"/>
        <v>2.5</v>
      </c>
      <c r="BP15" s="4">
        <f t="shared" si="79"/>
        <v>0.25</v>
      </c>
      <c r="BQ15" s="4">
        <f t="shared" si="80"/>
        <v>50</v>
      </c>
      <c r="BR15" s="4">
        <v>1900.0</v>
      </c>
      <c r="BS15" s="4">
        <f t="shared" si="81"/>
        <v>0.5</v>
      </c>
      <c r="BT15" s="4">
        <f t="shared" si="82"/>
        <v>5</v>
      </c>
      <c r="BU15" s="4">
        <v>200.0</v>
      </c>
      <c r="BV15" s="4">
        <f t="shared" si="83"/>
        <v>0.5</v>
      </c>
      <c r="BW15" s="4">
        <f t="shared" si="84"/>
        <v>5</v>
      </c>
      <c r="BX15" s="4">
        <v>120.0</v>
      </c>
      <c r="BY15" s="4">
        <v>18.0</v>
      </c>
      <c r="BZ15" s="4">
        <f t="shared" si="85"/>
        <v>0.25</v>
      </c>
      <c r="CA15" s="4">
        <v>6.0</v>
      </c>
      <c r="CB15" s="4">
        <f t="shared" si="86"/>
        <v>2.5</v>
      </c>
      <c r="CC15" s="4">
        <f t="shared" si="87"/>
        <v>0.25</v>
      </c>
      <c r="CD15" s="4">
        <v>2000.0</v>
      </c>
      <c r="CE15" s="4">
        <v>2100.0</v>
      </c>
      <c r="CF15" s="4">
        <f t="shared" si="88"/>
        <v>0.5</v>
      </c>
      <c r="CG15" s="4">
        <f t="shared" si="89"/>
        <v>0.001</v>
      </c>
      <c r="CH15" s="4">
        <f t="shared" si="90"/>
        <v>0.0005</v>
      </c>
      <c r="CI15" s="4">
        <v>0.053</v>
      </c>
      <c r="CJ15" s="4">
        <f t="shared" si="91"/>
        <v>0.019</v>
      </c>
      <c r="CK15" s="4"/>
      <c r="CL15" s="4">
        <v>1791.04</v>
      </c>
      <c r="CM15" s="4"/>
      <c r="CN15" s="4">
        <v>44.78</v>
      </c>
      <c r="CO15" s="4">
        <v>2985.07</v>
      </c>
      <c r="CP15" s="4"/>
      <c r="CQ15" s="4"/>
      <c r="CR15" s="4"/>
      <c r="CS15" s="4">
        <v>29850.75</v>
      </c>
      <c r="CT15" s="4">
        <v>1940.3</v>
      </c>
      <c r="CU15" s="4"/>
      <c r="CV15" s="4"/>
    </row>
    <row r="16">
      <c r="A16" s="4" t="s">
        <v>191</v>
      </c>
      <c r="B16" s="4" t="s">
        <v>192</v>
      </c>
      <c r="C16" s="5" t="s">
        <v>193</v>
      </c>
      <c r="D16" s="5" t="s">
        <v>194</v>
      </c>
      <c r="E16" s="4" t="s">
        <v>158</v>
      </c>
      <c r="F16" s="4" t="s">
        <v>105</v>
      </c>
      <c r="G16" s="4" t="s">
        <v>106</v>
      </c>
      <c r="H16" s="4" t="s">
        <v>131</v>
      </c>
      <c r="I16" s="4" t="s">
        <v>120</v>
      </c>
      <c r="J16" s="4" t="s">
        <v>195</v>
      </c>
      <c r="K16" s="4" t="s">
        <v>196</v>
      </c>
      <c r="L16" s="4">
        <v>-20.7422</v>
      </c>
      <c r="M16" s="4">
        <v>-65.2405</v>
      </c>
      <c r="N16" s="4">
        <v>0.268</v>
      </c>
      <c r="O16" s="4">
        <v>2.0</v>
      </c>
      <c r="P16" s="4">
        <v>705.0</v>
      </c>
      <c r="Q16" s="4">
        <v>191.3</v>
      </c>
      <c r="R16" s="4">
        <v>8.66</v>
      </c>
      <c r="S16" s="4">
        <v>-106.3</v>
      </c>
      <c r="T16" s="4">
        <v>1418.0</v>
      </c>
      <c r="U16" s="4">
        <v>0.7</v>
      </c>
      <c r="V16" s="4">
        <v>26.2</v>
      </c>
      <c r="W16" s="4">
        <v>7.53</v>
      </c>
      <c r="X16" s="4">
        <v>124.9</v>
      </c>
      <c r="Y16" s="4">
        <v>5.24</v>
      </c>
      <c r="Z16" s="4">
        <v>1261.0</v>
      </c>
      <c r="AA16" s="4">
        <v>1258.0</v>
      </c>
      <c r="AB16" s="4">
        <v>3.0</v>
      </c>
      <c r="AC16" s="4">
        <v>7.0</v>
      </c>
      <c r="AD16" s="4">
        <v>656.0</v>
      </c>
      <c r="AE16" s="4">
        <v>12.5</v>
      </c>
      <c r="AF16" s="4">
        <v>134.0</v>
      </c>
      <c r="AG16" s="4">
        <v>52.62</v>
      </c>
      <c r="AH16" s="4">
        <v>664.9</v>
      </c>
      <c r="AI16" s="4">
        <v>118.98</v>
      </c>
      <c r="AJ16" s="4">
        <v>93.84</v>
      </c>
      <c r="AK16" s="4">
        <v>74.89</v>
      </c>
      <c r="AL16" s="4">
        <v>9.22</v>
      </c>
      <c r="AM16" s="4">
        <v>120.02</v>
      </c>
      <c r="AN16" s="4">
        <v>96.32</v>
      </c>
      <c r="AO16" s="4">
        <v>75.51</v>
      </c>
      <c r="AP16" s="4">
        <v>9.51</v>
      </c>
      <c r="AQ16" s="4">
        <v>0.1</v>
      </c>
      <c r="AR16" s="4">
        <v>0.1</v>
      </c>
      <c r="AS16" s="4">
        <v>0.82</v>
      </c>
      <c r="AT16" s="4">
        <f t="shared" si="68"/>
        <v>0.01</v>
      </c>
      <c r="AU16" s="4">
        <f t="shared" ref="AU16:AU17" si="94">0.5*0.01</f>
        <v>0.005</v>
      </c>
      <c r="AV16" s="4">
        <v>7.14</v>
      </c>
      <c r="AW16" s="4"/>
      <c r="AX16" s="4">
        <v>4.0</v>
      </c>
      <c r="AY16" s="4"/>
      <c r="AZ16" s="4"/>
      <c r="BA16" s="4"/>
      <c r="BB16" s="4"/>
      <c r="BC16" s="4">
        <f t="shared" ref="BC16:BD16" si="92">0.5*10</f>
        <v>5</v>
      </c>
      <c r="BD16" s="4">
        <f t="shared" si="92"/>
        <v>5</v>
      </c>
      <c r="BE16" s="4">
        <f t="shared" ref="BE16:BF16" si="93">0.5*50</f>
        <v>25</v>
      </c>
      <c r="BF16" s="4">
        <f t="shared" si="93"/>
        <v>25</v>
      </c>
      <c r="BG16" s="4">
        <f t="shared" si="72"/>
        <v>5</v>
      </c>
      <c r="BH16" s="4">
        <v>50.0</v>
      </c>
      <c r="BI16" s="4">
        <v>1.0</v>
      </c>
      <c r="BJ16" s="4">
        <f t="shared" si="74"/>
        <v>5</v>
      </c>
      <c r="BK16" s="4">
        <f t="shared" si="75"/>
        <v>25</v>
      </c>
      <c r="BL16" s="4">
        <v>6.0</v>
      </c>
      <c r="BM16" s="4">
        <f t="shared" si="76"/>
        <v>0.25</v>
      </c>
      <c r="BN16" s="4">
        <f t="shared" si="77"/>
        <v>0.5</v>
      </c>
      <c r="BO16" s="4">
        <f t="shared" si="78"/>
        <v>2.5</v>
      </c>
      <c r="BP16" s="4">
        <f t="shared" si="79"/>
        <v>0.25</v>
      </c>
      <c r="BQ16" s="4">
        <f t="shared" si="80"/>
        <v>50</v>
      </c>
      <c r="BR16" s="4">
        <v>1400.0</v>
      </c>
      <c r="BS16" s="4">
        <f t="shared" si="81"/>
        <v>0.5</v>
      </c>
      <c r="BT16" s="4">
        <f t="shared" si="82"/>
        <v>5</v>
      </c>
      <c r="BU16" s="4">
        <v>80.0</v>
      </c>
      <c r="BV16" s="4">
        <v>1.0</v>
      </c>
      <c r="BW16" s="4">
        <f t="shared" si="84"/>
        <v>5</v>
      </c>
      <c r="BX16" s="4">
        <f t="shared" ref="BX16:BX18" si="97">0.5*50</f>
        <v>25</v>
      </c>
      <c r="BY16" s="4">
        <v>7.0</v>
      </c>
      <c r="BZ16" s="4">
        <f t="shared" si="85"/>
        <v>0.25</v>
      </c>
      <c r="CA16" s="4">
        <f t="shared" ref="CA16:CA17" si="98">0.5*1</f>
        <v>0.5</v>
      </c>
      <c r="CB16" s="4">
        <f t="shared" si="86"/>
        <v>2.5</v>
      </c>
      <c r="CC16" s="4">
        <f t="shared" si="87"/>
        <v>0.25</v>
      </c>
      <c r="CD16" s="4">
        <v>100.0</v>
      </c>
      <c r="CE16" s="4">
        <v>1400.0</v>
      </c>
      <c r="CF16" s="4">
        <f t="shared" si="88"/>
        <v>0.5</v>
      </c>
      <c r="CG16" s="4">
        <f t="shared" si="89"/>
        <v>0.001</v>
      </c>
      <c r="CH16" s="4">
        <f t="shared" si="90"/>
        <v>0.0005</v>
      </c>
      <c r="CI16" s="4">
        <v>0.037</v>
      </c>
      <c r="CJ16" s="4">
        <f t="shared" si="91"/>
        <v>0.019</v>
      </c>
      <c r="CK16" s="4"/>
      <c r="CL16" s="4"/>
      <c r="CM16" s="4"/>
      <c r="CN16" s="4">
        <v>333.33</v>
      </c>
      <c r="CO16" s="4">
        <v>0.0</v>
      </c>
      <c r="CP16" s="4"/>
      <c r="CQ16" s="4"/>
      <c r="CR16" s="4"/>
      <c r="CS16" s="4">
        <v>33333.33</v>
      </c>
      <c r="CT16" s="4">
        <v>10000.0</v>
      </c>
      <c r="CU16" s="4"/>
      <c r="CV16" s="4">
        <v>0.0</v>
      </c>
    </row>
    <row r="17">
      <c r="A17" s="4" t="s">
        <v>197</v>
      </c>
      <c r="B17" s="4" t="s">
        <v>198</v>
      </c>
      <c r="C17" s="5" t="s">
        <v>193</v>
      </c>
      <c r="D17" s="5" t="s">
        <v>199</v>
      </c>
      <c r="E17" s="4" t="s">
        <v>158</v>
      </c>
      <c r="F17" s="4" t="s">
        <v>105</v>
      </c>
      <c r="G17" s="4" t="s">
        <v>106</v>
      </c>
      <c r="H17" s="4" t="s">
        <v>107</v>
      </c>
      <c r="I17" s="4" t="s">
        <v>108</v>
      </c>
      <c r="J17" s="4" t="s">
        <v>200</v>
      </c>
      <c r="K17" s="4" t="s">
        <v>201</v>
      </c>
      <c r="L17" s="4">
        <v>-21.2393</v>
      </c>
      <c r="M17" s="4">
        <v>-65.2094</v>
      </c>
      <c r="N17" s="4">
        <v>0.208</v>
      </c>
      <c r="O17" s="4">
        <v>0.0</v>
      </c>
      <c r="P17" s="4">
        <v>547.0</v>
      </c>
      <c r="Q17" s="4">
        <v>206.0</v>
      </c>
      <c r="R17" s="4">
        <v>8.29</v>
      </c>
      <c r="S17" s="4">
        <v>-85.4</v>
      </c>
      <c r="T17" s="4">
        <v>1828.0</v>
      </c>
      <c r="U17" s="4">
        <v>0.9</v>
      </c>
      <c r="V17" s="4">
        <v>23.4</v>
      </c>
      <c r="W17" s="4">
        <v>8.46</v>
      </c>
      <c r="X17" s="4">
        <v>132.6</v>
      </c>
      <c r="Y17" s="4">
        <v>5.04</v>
      </c>
      <c r="Z17" s="4">
        <v>1620.0</v>
      </c>
      <c r="AA17" s="4">
        <v>1620.0</v>
      </c>
      <c r="AB17" s="4">
        <f>0.5*1</f>
        <v>0.5</v>
      </c>
      <c r="AC17" s="4">
        <v>8.0</v>
      </c>
      <c r="AD17" s="4">
        <v>780.0</v>
      </c>
      <c r="AE17" s="4">
        <v>8.5</v>
      </c>
      <c r="AF17" s="4">
        <v>177.0</v>
      </c>
      <c r="AG17" s="4">
        <v>102.86</v>
      </c>
      <c r="AH17" s="4">
        <v>659.4</v>
      </c>
      <c r="AI17" s="4">
        <v>102.1</v>
      </c>
      <c r="AJ17" s="4">
        <v>79.17</v>
      </c>
      <c r="AK17" s="4">
        <v>129.18</v>
      </c>
      <c r="AL17" s="4">
        <v>10.3</v>
      </c>
      <c r="AM17" s="4">
        <v>111.74</v>
      </c>
      <c r="AN17" s="4">
        <v>82.16</v>
      </c>
      <c r="AO17" s="4">
        <v>129.18</v>
      </c>
      <c r="AP17" s="4">
        <v>11.13</v>
      </c>
      <c r="AQ17" s="4">
        <v>0.1</v>
      </c>
      <c r="AR17" s="4">
        <v>0.1</v>
      </c>
      <c r="AS17" s="4">
        <v>0.99</v>
      </c>
      <c r="AT17" s="4">
        <f t="shared" si="68"/>
        <v>0.01</v>
      </c>
      <c r="AU17" s="4">
        <f t="shared" si="94"/>
        <v>0.005</v>
      </c>
      <c r="AV17" s="4">
        <v>5.74</v>
      </c>
      <c r="AW17" s="4">
        <v>9.0585</v>
      </c>
      <c r="AX17" s="4">
        <v>12.078</v>
      </c>
      <c r="AY17" s="4"/>
      <c r="AZ17" s="4">
        <v>48.0</v>
      </c>
      <c r="BA17" s="4">
        <v>22.0</v>
      </c>
      <c r="BB17" s="4">
        <v>2.0</v>
      </c>
      <c r="BC17" s="4">
        <f t="shared" ref="BC17:BD17" si="95">0.5*10</f>
        <v>5</v>
      </c>
      <c r="BD17" s="4">
        <f t="shared" si="95"/>
        <v>5</v>
      </c>
      <c r="BE17" s="4">
        <f t="shared" ref="BE17:BF17" si="96">0.5*50</f>
        <v>25</v>
      </c>
      <c r="BF17" s="4">
        <f t="shared" si="96"/>
        <v>25</v>
      </c>
      <c r="BG17" s="4">
        <f t="shared" si="72"/>
        <v>5</v>
      </c>
      <c r="BH17" s="4">
        <v>100.0</v>
      </c>
      <c r="BI17" s="4">
        <v>1.0</v>
      </c>
      <c r="BJ17" s="4">
        <f t="shared" si="74"/>
        <v>5</v>
      </c>
      <c r="BK17" s="4">
        <f t="shared" si="75"/>
        <v>25</v>
      </c>
      <c r="BL17" s="4">
        <v>3.0</v>
      </c>
      <c r="BM17" s="4">
        <f t="shared" si="76"/>
        <v>0.25</v>
      </c>
      <c r="BN17" s="4">
        <f t="shared" si="77"/>
        <v>0.5</v>
      </c>
      <c r="BO17" s="4">
        <f t="shared" si="78"/>
        <v>2.5</v>
      </c>
      <c r="BP17" s="4">
        <f t="shared" si="79"/>
        <v>0.25</v>
      </c>
      <c r="BQ17" s="4">
        <f t="shared" si="80"/>
        <v>50</v>
      </c>
      <c r="BR17" s="4">
        <v>2600.0</v>
      </c>
      <c r="BS17" s="4">
        <f t="shared" si="81"/>
        <v>0.5</v>
      </c>
      <c r="BT17" s="4">
        <f t="shared" si="82"/>
        <v>5</v>
      </c>
      <c r="BU17" s="4">
        <v>100.0</v>
      </c>
      <c r="BV17" s="4">
        <v>1.0</v>
      </c>
      <c r="BW17" s="4">
        <f t="shared" si="84"/>
        <v>5</v>
      </c>
      <c r="BX17" s="4">
        <f t="shared" si="97"/>
        <v>25</v>
      </c>
      <c r="BY17" s="4">
        <v>3.0</v>
      </c>
      <c r="BZ17" s="4">
        <f t="shared" si="85"/>
        <v>0.25</v>
      </c>
      <c r="CA17" s="4">
        <f t="shared" si="98"/>
        <v>0.5</v>
      </c>
      <c r="CB17" s="4">
        <f t="shared" si="86"/>
        <v>2.5</v>
      </c>
      <c r="CC17" s="4">
        <f t="shared" si="87"/>
        <v>0.25</v>
      </c>
      <c r="CD17" s="4">
        <v>100.0</v>
      </c>
      <c r="CE17" s="4">
        <v>2900.0</v>
      </c>
      <c r="CF17" s="4">
        <f t="shared" si="88"/>
        <v>0.5</v>
      </c>
      <c r="CG17" s="4">
        <f t="shared" si="89"/>
        <v>0.001</v>
      </c>
      <c r="CH17" s="4">
        <f t="shared" si="90"/>
        <v>0.0005</v>
      </c>
      <c r="CI17" s="4">
        <v>0.032</v>
      </c>
      <c r="CJ17" s="4">
        <f t="shared" si="91"/>
        <v>0.019</v>
      </c>
      <c r="CK17" s="4"/>
      <c r="CL17" s="4"/>
      <c r="CM17" s="4"/>
      <c r="CN17" s="4">
        <v>0.0</v>
      </c>
      <c r="CO17" s="4">
        <v>300000.0</v>
      </c>
      <c r="CP17" s="4"/>
      <c r="CQ17" s="4"/>
      <c r="CR17" s="4"/>
      <c r="CS17" s="4">
        <v>100000.0</v>
      </c>
      <c r="CT17" s="4">
        <v>0.0</v>
      </c>
      <c r="CU17" s="4"/>
      <c r="CV17" s="4">
        <v>0.0</v>
      </c>
    </row>
    <row r="18">
      <c r="A18" s="4" t="s">
        <v>202</v>
      </c>
      <c r="B18" s="4" t="s">
        <v>203</v>
      </c>
      <c r="C18" s="5" t="s">
        <v>204</v>
      </c>
      <c r="D18" s="5" t="s">
        <v>205</v>
      </c>
      <c r="E18" s="4" t="s">
        <v>158</v>
      </c>
      <c r="F18" s="4" t="s">
        <v>105</v>
      </c>
      <c r="G18" s="4" t="s">
        <v>106</v>
      </c>
      <c r="H18" s="4" t="s">
        <v>206</v>
      </c>
      <c r="I18" s="4" t="s">
        <v>207</v>
      </c>
      <c r="J18" s="4" t="s">
        <v>208</v>
      </c>
      <c r="K18" s="4" t="s">
        <v>209</v>
      </c>
      <c r="L18" s="4">
        <v>-21.1519</v>
      </c>
      <c r="M18" s="4">
        <v>-64.2345</v>
      </c>
      <c r="N18" s="4"/>
      <c r="O18" s="4"/>
      <c r="P18" s="4">
        <v>909.0</v>
      </c>
      <c r="Q18" s="4">
        <v>185.6</v>
      </c>
      <c r="R18" s="4">
        <v>8.52</v>
      </c>
      <c r="S18" s="4">
        <v>-99.0</v>
      </c>
      <c r="T18" s="4">
        <v>1100.0</v>
      </c>
      <c r="U18" s="4">
        <v>0.5</v>
      </c>
      <c r="V18" s="4">
        <v>22.8</v>
      </c>
      <c r="W18" s="4">
        <v>7.91</v>
      </c>
      <c r="X18" s="4">
        <v>100.8</v>
      </c>
      <c r="Y18" s="4">
        <v>215.0</v>
      </c>
      <c r="Z18" s="4">
        <v>1102.0</v>
      </c>
      <c r="AA18" s="4">
        <v>936.0</v>
      </c>
      <c r="AB18" s="4">
        <v>166.0</v>
      </c>
      <c r="AC18" s="4">
        <v>11.0</v>
      </c>
      <c r="AD18" s="4">
        <v>460.0</v>
      </c>
      <c r="AE18" s="4">
        <v>7.5</v>
      </c>
      <c r="AF18" s="4">
        <v>126.5</v>
      </c>
      <c r="AG18" s="4">
        <v>54.68</v>
      </c>
      <c r="AH18" s="4">
        <v>442.8</v>
      </c>
      <c r="AI18" s="4">
        <v>95.51</v>
      </c>
      <c r="AJ18" s="4">
        <v>52.58</v>
      </c>
      <c r="AK18" s="4">
        <v>63.81</v>
      </c>
      <c r="AL18" s="4">
        <v>6.29</v>
      </c>
      <c r="AM18" s="4">
        <v>98.99</v>
      </c>
      <c r="AN18" s="4">
        <v>53.33</v>
      </c>
      <c r="AO18" s="4">
        <v>65.65</v>
      </c>
      <c r="AP18" s="4">
        <v>6.38</v>
      </c>
      <c r="AQ18" s="4">
        <v>0.1</v>
      </c>
      <c r="AR18" s="4">
        <v>0.0</v>
      </c>
      <c r="AS18" s="4">
        <v>0.8</v>
      </c>
      <c r="AT18" s="4">
        <f t="shared" si="68"/>
        <v>0.01</v>
      </c>
      <c r="AU18" s="4">
        <v>0.78</v>
      </c>
      <c r="AV18" s="4">
        <v>5.04</v>
      </c>
      <c r="AW18" s="4">
        <f>0.5*5</f>
        <v>2.5</v>
      </c>
      <c r="AX18" s="4">
        <f>0.5*2</f>
        <v>1</v>
      </c>
      <c r="AY18" s="4"/>
      <c r="AZ18" s="4">
        <v>60.0</v>
      </c>
      <c r="BA18" s="4">
        <v>20.0</v>
      </c>
      <c r="BB18" s="4">
        <v>0.0</v>
      </c>
      <c r="BC18" s="4">
        <f t="shared" ref="BC18:BD18" si="99">0.5*10</f>
        <v>5</v>
      </c>
      <c r="BD18" s="4">
        <f t="shared" si="99"/>
        <v>5</v>
      </c>
      <c r="BE18" s="4">
        <f t="shared" ref="BE18:BF18" si="100">0.5*50</f>
        <v>25</v>
      </c>
      <c r="BF18" s="4">
        <f t="shared" si="100"/>
        <v>25</v>
      </c>
      <c r="BG18" s="4">
        <f t="shared" si="72"/>
        <v>5</v>
      </c>
      <c r="BH18" s="4">
        <f t="shared" ref="BH18:BH23" si="103">0.5*50</f>
        <v>25</v>
      </c>
      <c r="BI18" s="4">
        <f t="shared" ref="BI18:BI20" si="104">0.5*1</f>
        <v>0.5</v>
      </c>
      <c r="BJ18" s="4">
        <f t="shared" si="74"/>
        <v>5</v>
      </c>
      <c r="BK18" s="4">
        <f t="shared" si="75"/>
        <v>25</v>
      </c>
      <c r="BL18" s="4">
        <v>2.0</v>
      </c>
      <c r="BM18" s="4">
        <f t="shared" si="76"/>
        <v>0.25</v>
      </c>
      <c r="BN18" s="4">
        <f t="shared" si="77"/>
        <v>0.5</v>
      </c>
      <c r="BO18" s="4">
        <f t="shared" si="78"/>
        <v>2.5</v>
      </c>
      <c r="BP18" s="4">
        <f t="shared" si="79"/>
        <v>0.25</v>
      </c>
      <c r="BQ18" s="4">
        <f t="shared" si="80"/>
        <v>50</v>
      </c>
      <c r="BR18" s="4">
        <v>600.0</v>
      </c>
      <c r="BS18" s="4">
        <f t="shared" si="81"/>
        <v>0.5</v>
      </c>
      <c r="BT18" s="4">
        <f t="shared" si="82"/>
        <v>5</v>
      </c>
      <c r="BU18" s="4">
        <v>100.0</v>
      </c>
      <c r="BV18" s="4">
        <f>0.5*1</f>
        <v>0.5</v>
      </c>
      <c r="BW18" s="4">
        <f t="shared" si="84"/>
        <v>5</v>
      </c>
      <c r="BX18" s="4">
        <f t="shared" si="97"/>
        <v>25</v>
      </c>
      <c r="BY18" s="4">
        <v>4.0</v>
      </c>
      <c r="BZ18" s="4">
        <f t="shared" si="85"/>
        <v>0.25</v>
      </c>
      <c r="CA18" s="4">
        <v>4.0</v>
      </c>
      <c r="CB18" s="4">
        <f t="shared" si="86"/>
        <v>2.5</v>
      </c>
      <c r="CC18" s="4">
        <f t="shared" si="87"/>
        <v>0.25</v>
      </c>
      <c r="CD18" s="4">
        <v>6000.0</v>
      </c>
      <c r="CE18" s="4">
        <v>700.0</v>
      </c>
      <c r="CF18" s="4">
        <f t="shared" si="88"/>
        <v>0.5</v>
      </c>
      <c r="CG18" s="4">
        <f t="shared" si="89"/>
        <v>0.001</v>
      </c>
      <c r="CH18" s="4">
        <f t="shared" si="90"/>
        <v>0.0005</v>
      </c>
      <c r="CI18" s="4">
        <v>0.056</v>
      </c>
      <c r="CJ18" s="4">
        <f t="shared" si="91"/>
        <v>0.019</v>
      </c>
      <c r="CK18" s="4"/>
      <c r="CL18" s="4"/>
      <c r="CM18" s="4"/>
      <c r="CN18" s="4">
        <v>12.05</v>
      </c>
      <c r="CO18" s="4">
        <v>602.41</v>
      </c>
      <c r="CP18" s="4"/>
      <c r="CQ18" s="4"/>
      <c r="CR18" s="4"/>
      <c r="CS18" s="4">
        <v>36144.58</v>
      </c>
      <c r="CT18" s="4">
        <v>602.41</v>
      </c>
      <c r="CU18" s="4"/>
      <c r="CV18" s="4"/>
    </row>
    <row r="19">
      <c r="A19" s="4" t="s">
        <v>210</v>
      </c>
      <c r="B19" s="4" t="s">
        <v>211</v>
      </c>
      <c r="C19" s="5" t="s">
        <v>212</v>
      </c>
      <c r="D19" s="5" t="s">
        <v>213</v>
      </c>
      <c r="E19" s="4" t="s">
        <v>158</v>
      </c>
      <c r="F19" s="4" t="s">
        <v>105</v>
      </c>
      <c r="G19" s="4" t="s">
        <v>106</v>
      </c>
      <c r="H19" s="4" t="s">
        <v>128</v>
      </c>
      <c r="I19" s="4" t="s">
        <v>214</v>
      </c>
      <c r="J19" s="4" t="s">
        <v>215</v>
      </c>
      <c r="K19" s="4" t="s">
        <v>216</v>
      </c>
      <c r="L19" s="4">
        <v>-20.9139</v>
      </c>
      <c r="M19" s="4">
        <v>-64.1105</v>
      </c>
      <c r="N19" s="4"/>
      <c r="O19" s="4"/>
      <c r="P19" s="4">
        <v>933.0</v>
      </c>
      <c r="Q19" s="4">
        <v>178.6</v>
      </c>
      <c r="R19" s="4">
        <v>7.98</v>
      </c>
      <c r="S19" s="4">
        <v>-68.5</v>
      </c>
      <c r="T19" s="4">
        <v>1072.0</v>
      </c>
      <c r="U19" s="4">
        <v>0.5</v>
      </c>
      <c r="V19" s="4">
        <v>24.4</v>
      </c>
      <c r="W19" s="4">
        <v>7.25</v>
      </c>
      <c r="X19" s="4">
        <v>94.0</v>
      </c>
      <c r="Y19" s="4">
        <f t="shared" ref="Y19:Y23" si="105">1.5*1100</f>
        <v>1650</v>
      </c>
      <c r="Z19" s="4">
        <v>6628.0</v>
      </c>
      <c r="AA19" s="4">
        <v>716.0</v>
      </c>
      <c r="AB19" s="4">
        <v>5912.0</v>
      </c>
      <c r="AC19" s="4">
        <v>19.0</v>
      </c>
      <c r="AD19" s="4">
        <v>308.0</v>
      </c>
      <c r="AE19" s="4">
        <v>1.5</v>
      </c>
      <c r="AF19" s="4">
        <v>106.0</v>
      </c>
      <c r="AG19" s="4">
        <v>137.2</v>
      </c>
      <c r="AH19" s="4">
        <v>234.6</v>
      </c>
      <c r="AI19" s="4">
        <v>50.18</v>
      </c>
      <c r="AJ19" s="4">
        <v>31.46</v>
      </c>
      <c r="AK19" s="4">
        <v>103.64</v>
      </c>
      <c r="AL19" s="4">
        <v>7.85</v>
      </c>
      <c r="AM19" s="4">
        <v>52.15</v>
      </c>
      <c r="AN19" s="4">
        <v>31.46</v>
      </c>
      <c r="AO19" s="4">
        <v>106.81</v>
      </c>
      <c r="AP19" s="4">
        <v>8.53</v>
      </c>
      <c r="AQ19" s="4">
        <v>0.2</v>
      </c>
      <c r="AR19" s="4">
        <v>0.2</v>
      </c>
      <c r="AS19" s="4">
        <v>0.64</v>
      </c>
      <c r="AT19" s="4">
        <f t="shared" si="68"/>
        <v>0.01</v>
      </c>
      <c r="AU19" s="4">
        <v>2.63</v>
      </c>
      <c r="AV19" s="4">
        <v>7.14</v>
      </c>
      <c r="AW19" s="4">
        <v>5.055</v>
      </c>
      <c r="AX19" s="4">
        <v>6.74</v>
      </c>
      <c r="AY19" s="4"/>
      <c r="AZ19" s="4">
        <v>60.0</v>
      </c>
      <c r="BA19" s="4">
        <v>20.0</v>
      </c>
      <c r="BB19" s="4">
        <v>14.0</v>
      </c>
      <c r="BC19" s="4">
        <f t="shared" ref="BC19:BD19" si="101">0.5*10</f>
        <v>5</v>
      </c>
      <c r="BD19" s="4">
        <f t="shared" si="101"/>
        <v>5</v>
      </c>
      <c r="BE19" s="4">
        <f t="shared" ref="BE19:BF19" si="102">0.5*50</f>
        <v>25</v>
      </c>
      <c r="BF19" s="4">
        <f t="shared" si="102"/>
        <v>25</v>
      </c>
      <c r="BG19" s="4">
        <f t="shared" si="72"/>
        <v>5</v>
      </c>
      <c r="BH19" s="4">
        <f t="shared" si="103"/>
        <v>25</v>
      </c>
      <c r="BI19" s="4">
        <f t="shared" si="104"/>
        <v>0.5</v>
      </c>
      <c r="BJ19" s="4">
        <f t="shared" si="74"/>
        <v>5</v>
      </c>
      <c r="BK19" s="4">
        <f t="shared" si="75"/>
        <v>25</v>
      </c>
      <c r="BL19" s="4">
        <f t="shared" ref="BL19:BL20" si="108">0.5*1</f>
        <v>0.5</v>
      </c>
      <c r="BM19" s="4">
        <f t="shared" si="76"/>
        <v>0.25</v>
      </c>
      <c r="BN19" s="4">
        <f t="shared" si="77"/>
        <v>0.5</v>
      </c>
      <c r="BO19" s="4">
        <f t="shared" si="78"/>
        <v>2.5</v>
      </c>
      <c r="BP19" s="4">
        <f t="shared" si="79"/>
        <v>0.25</v>
      </c>
      <c r="BQ19" s="4">
        <f t="shared" si="80"/>
        <v>50</v>
      </c>
      <c r="BR19" s="4">
        <v>400.0</v>
      </c>
      <c r="BS19" s="4">
        <f t="shared" si="81"/>
        <v>0.5</v>
      </c>
      <c r="BT19" s="4">
        <v>138.0</v>
      </c>
      <c r="BU19" s="4">
        <v>5000.0</v>
      </c>
      <c r="BV19" s="4">
        <v>150.0</v>
      </c>
      <c r="BW19" s="4">
        <v>133.0</v>
      </c>
      <c r="BX19" s="4">
        <v>450.0</v>
      </c>
      <c r="BY19" s="4">
        <v>44.0</v>
      </c>
      <c r="BZ19" s="4">
        <v>0.8</v>
      </c>
      <c r="CA19" s="4">
        <v>158.0</v>
      </c>
      <c r="CB19" s="4">
        <f t="shared" si="86"/>
        <v>2.5</v>
      </c>
      <c r="CC19" s="4">
        <f t="shared" si="87"/>
        <v>0.25</v>
      </c>
      <c r="CD19" s="4">
        <v>225000.0</v>
      </c>
      <c r="CE19" s="4">
        <v>500.0</v>
      </c>
      <c r="CF19" s="4">
        <v>2.0</v>
      </c>
      <c r="CG19" s="4">
        <f t="shared" si="89"/>
        <v>0.001</v>
      </c>
      <c r="CH19" s="4">
        <f t="shared" si="90"/>
        <v>0.0005</v>
      </c>
      <c r="CI19" s="4">
        <v>0.046</v>
      </c>
      <c r="CJ19" s="4">
        <f t="shared" si="91"/>
        <v>0.019</v>
      </c>
      <c r="CK19" s="4">
        <v>0.34</v>
      </c>
      <c r="CL19" s="4">
        <v>76.12</v>
      </c>
      <c r="CM19" s="4">
        <v>25.4</v>
      </c>
      <c r="CN19" s="4">
        <v>7.44</v>
      </c>
      <c r="CO19" s="4">
        <v>16.91</v>
      </c>
      <c r="CP19" s="4">
        <v>0.14</v>
      </c>
      <c r="CQ19" s="4">
        <v>22.5</v>
      </c>
      <c r="CR19" s="4">
        <v>23.34</v>
      </c>
      <c r="CS19" s="4">
        <v>38058.19</v>
      </c>
      <c r="CT19" s="4">
        <v>845.74</v>
      </c>
      <c r="CU19" s="4"/>
      <c r="CV19" s="4">
        <v>25.37</v>
      </c>
    </row>
    <row r="20">
      <c r="A20" s="4" t="s">
        <v>217</v>
      </c>
      <c r="B20" s="4" t="s">
        <v>218</v>
      </c>
      <c r="C20" s="5" t="s">
        <v>212</v>
      </c>
      <c r="D20" s="5" t="s">
        <v>219</v>
      </c>
      <c r="E20" s="4" t="s">
        <v>158</v>
      </c>
      <c r="F20" s="4" t="s">
        <v>105</v>
      </c>
      <c r="G20" s="4" t="s">
        <v>106</v>
      </c>
      <c r="H20" s="4" t="s">
        <v>128</v>
      </c>
      <c r="I20" s="4" t="s">
        <v>214</v>
      </c>
      <c r="J20" s="4" t="s">
        <v>220</v>
      </c>
      <c r="K20" s="4" t="s">
        <v>221</v>
      </c>
      <c r="L20" s="4">
        <v>-21.2586</v>
      </c>
      <c r="M20" s="4">
        <v>-63.5113</v>
      </c>
      <c r="N20" s="4">
        <v>0.261</v>
      </c>
      <c r="O20" s="4">
        <v>32.0</v>
      </c>
      <c r="P20" s="4">
        <v>855.0</v>
      </c>
      <c r="Q20" s="4">
        <v>192.1</v>
      </c>
      <c r="R20" s="4">
        <v>8.07</v>
      </c>
      <c r="S20" s="4">
        <v>-73.1</v>
      </c>
      <c r="T20" s="4">
        <v>1169.0</v>
      </c>
      <c r="U20" s="4">
        <v>0.5</v>
      </c>
      <c r="V20" s="4">
        <v>22.8</v>
      </c>
      <c r="W20" s="4">
        <v>8.03</v>
      </c>
      <c r="X20" s="4">
        <v>97.3</v>
      </c>
      <c r="Y20" s="4">
        <f t="shared" si="105"/>
        <v>1650</v>
      </c>
      <c r="Z20" s="4">
        <v>2843.0</v>
      </c>
      <c r="AA20" s="4">
        <v>778.0</v>
      </c>
      <c r="AB20" s="4">
        <v>2065.0</v>
      </c>
      <c r="AC20" s="4">
        <v>25.0</v>
      </c>
      <c r="AD20" s="4">
        <v>304.0</v>
      </c>
      <c r="AE20" s="4">
        <v>15.0</v>
      </c>
      <c r="AF20" s="4">
        <v>101.0</v>
      </c>
      <c r="AG20" s="4">
        <v>168.13</v>
      </c>
      <c r="AH20" s="4">
        <v>211.4</v>
      </c>
      <c r="AI20" s="4">
        <v>50.67</v>
      </c>
      <c r="AJ20" s="4">
        <v>29.47</v>
      </c>
      <c r="AK20" s="4">
        <v>123.39</v>
      </c>
      <c r="AL20" s="4">
        <v>9.07</v>
      </c>
      <c r="AM20" s="4">
        <v>54.13</v>
      </c>
      <c r="AN20" s="4">
        <v>30.96</v>
      </c>
      <c r="AO20" s="4">
        <v>124.03</v>
      </c>
      <c r="AP20" s="4">
        <v>9.07</v>
      </c>
      <c r="AQ20" s="4">
        <v>0.1</v>
      </c>
      <c r="AR20" s="4">
        <v>0.1</v>
      </c>
      <c r="AS20" s="4">
        <v>0.77</v>
      </c>
      <c r="AT20" s="4">
        <f t="shared" si="68"/>
        <v>0.01</v>
      </c>
      <c r="AU20" s="4">
        <v>3.73</v>
      </c>
      <c r="AV20" s="4">
        <v>0.14</v>
      </c>
      <c r="AW20" s="4">
        <v>8.3025</v>
      </c>
      <c r="AX20" s="4">
        <v>11.07</v>
      </c>
      <c r="AY20" s="4"/>
      <c r="AZ20" s="4">
        <v>75.0</v>
      </c>
      <c r="BA20" s="4">
        <v>40.0</v>
      </c>
      <c r="BB20" s="4">
        <v>0.0</v>
      </c>
      <c r="BC20" s="4">
        <f t="shared" ref="BC20:BD20" si="106">0.5*10</f>
        <v>5</v>
      </c>
      <c r="BD20" s="4">
        <f t="shared" si="106"/>
        <v>5</v>
      </c>
      <c r="BE20" s="4">
        <f t="shared" ref="BE20:BF20" si="107">0.5*50</f>
        <v>25</v>
      </c>
      <c r="BF20" s="4">
        <f t="shared" si="107"/>
        <v>25</v>
      </c>
      <c r="BG20" s="4">
        <f t="shared" si="72"/>
        <v>5</v>
      </c>
      <c r="BH20" s="4">
        <f t="shared" si="103"/>
        <v>25</v>
      </c>
      <c r="BI20" s="4">
        <f t="shared" si="104"/>
        <v>0.5</v>
      </c>
      <c r="BJ20" s="4">
        <f t="shared" si="74"/>
        <v>5</v>
      </c>
      <c r="BK20" s="4">
        <f t="shared" si="75"/>
        <v>25</v>
      </c>
      <c r="BL20" s="4">
        <f t="shared" si="108"/>
        <v>0.5</v>
      </c>
      <c r="BM20" s="4">
        <f t="shared" si="76"/>
        <v>0.25</v>
      </c>
      <c r="BN20" s="4">
        <f t="shared" si="77"/>
        <v>0.5</v>
      </c>
      <c r="BO20" s="4">
        <f t="shared" si="78"/>
        <v>2.5</v>
      </c>
      <c r="BP20" s="4">
        <f t="shared" si="79"/>
        <v>0.25</v>
      </c>
      <c r="BQ20" s="4">
        <f>0.5*50</f>
        <v>25</v>
      </c>
      <c r="BR20" s="4">
        <v>300.0</v>
      </c>
      <c r="BS20" s="4">
        <f t="shared" si="81"/>
        <v>0.5</v>
      </c>
      <c r="BT20" s="4">
        <v>116.0</v>
      </c>
      <c r="BU20" s="4">
        <v>3000.0</v>
      </c>
      <c r="BV20" s="4">
        <v>83.0</v>
      </c>
      <c r="BW20" s="4">
        <v>76.0</v>
      </c>
      <c r="BX20" s="4">
        <v>240.0</v>
      </c>
      <c r="BY20" s="4">
        <v>26.0</v>
      </c>
      <c r="BZ20" s="4">
        <f>0.5*0.5</f>
        <v>0.25</v>
      </c>
      <c r="CA20" s="4">
        <v>81.0</v>
      </c>
      <c r="CB20" s="4">
        <f t="shared" si="86"/>
        <v>2.5</v>
      </c>
      <c r="CC20" s="4">
        <f t="shared" si="87"/>
        <v>0.25</v>
      </c>
      <c r="CD20" s="4">
        <v>118000.0</v>
      </c>
      <c r="CE20" s="4">
        <v>400.0</v>
      </c>
      <c r="CF20" s="4">
        <f>0.5*1</f>
        <v>0.5</v>
      </c>
      <c r="CG20" s="4">
        <f t="shared" si="89"/>
        <v>0.001</v>
      </c>
      <c r="CH20" s="4">
        <f t="shared" si="90"/>
        <v>0.0005</v>
      </c>
      <c r="CI20" s="4">
        <v>0.041</v>
      </c>
      <c r="CJ20" s="4">
        <f t="shared" si="91"/>
        <v>0.019</v>
      </c>
      <c r="CK20" s="4"/>
      <c r="CL20" s="4">
        <v>116.22</v>
      </c>
      <c r="CM20" s="4">
        <v>34.83</v>
      </c>
      <c r="CN20" s="4">
        <v>12.59</v>
      </c>
      <c r="CO20" s="4">
        <v>48.43</v>
      </c>
      <c r="CP20" s="4"/>
      <c r="CQ20" s="4">
        <v>36.8</v>
      </c>
      <c r="CR20" s="4">
        <v>56.17</v>
      </c>
      <c r="CS20" s="4">
        <v>57142.86</v>
      </c>
      <c r="CT20" s="4">
        <v>1452.78</v>
      </c>
      <c r="CU20" s="4"/>
      <c r="CV20" s="4">
        <v>40.19</v>
      </c>
    </row>
    <row r="21">
      <c r="A21" s="4" t="s">
        <v>123</v>
      </c>
      <c r="B21" s="4" t="s">
        <v>124</v>
      </c>
      <c r="C21" s="5" t="s">
        <v>222</v>
      </c>
      <c r="D21" s="5" t="s">
        <v>194</v>
      </c>
      <c r="E21" s="4" t="s">
        <v>158</v>
      </c>
      <c r="F21" s="4" t="s">
        <v>105</v>
      </c>
      <c r="G21" s="4" t="s">
        <v>106</v>
      </c>
      <c r="H21" s="4" t="s">
        <v>128</v>
      </c>
      <c r="I21" s="4" t="s">
        <v>129</v>
      </c>
      <c r="J21" s="4" t="s">
        <v>223</v>
      </c>
      <c r="K21" s="4" t="s">
        <v>224</v>
      </c>
      <c r="L21" s="4">
        <v>-22.3781</v>
      </c>
      <c r="M21" s="4">
        <v>-62.5186</v>
      </c>
      <c r="N21" s="4"/>
      <c r="O21" s="4"/>
      <c r="P21" s="4">
        <v>504.0</v>
      </c>
      <c r="Q21" s="4">
        <v>184.7</v>
      </c>
      <c r="R21" s="4">
        <v>7.88</v>
      </c>
      <c r="S21" s="4">
        <v>-61.7</v>
      </c>
      <c r="T21" s="4">
        <v>1984.0</v>
      </c>
      <c r="U21" s="4">
        <v>1.0</v>
      </c>
      <c r="V21" s="4">
        <v>19.8</v>
      </c>
      <c r="W21" s="4">
        <v>8.11</v>
      </c>
      <c r="X21" s="4">
        <v>91.7</v>
      </c>
      <c r="Y21" s="4">
        <f t="shared" si="105"/>
        <v>1650</v>
      </c>
      <c r="Z21" s="4">
        <v>6797.0</v>
      </c>
      <c r="AA21" s="4">
        <v>1632.0</v>
      </c>
      <c r="AB21" s="4">
        <v>5165.0</v>
      </c>
      <c r="AC21" s="4">
        <v>24.0</v>
      </c>
      <c r="AD21" s="4">
        <v>652.0</v>
      </c>
      <c r="AE21" s="4">
        <v>1.5</v>
      </c>
      <c r="AF21" s="4">
        <v>101.5</v>
      </c>
      <c r="AG21" s="4">
        <v>252.19</v>
      </c>
      <c r="AH21" s="4">
        <v>622.5</v>
      </c>
      <c r="AI21" s="4">
        <v>91.5</v>
      </c>
      <c r="AJ21" s="4">
        <v>56.31</v>
      </c>
      <c r="AK21" s="4">
        <v>179.22</v>
      </c>
      <c r="AL21" s="4">
        <v>13.52</v>
      </c>
      <c r="AM21" s="4">
        <v>95.54</v>
      </c>
      <c r="AN21" s="4">
        <v>60.04</v>
      </c>
      <c r="AO21" s="4">
        <v>189.34</v>
      </c>
      <c r="AP21" s="4">
        <v>16.11</v>
      </c>
      <c r="AQ21" s="4">
        <v>0.2</v>
      </c>
      <c r="AR21" s="4">
        <v>0.2</v>
      </c>
      <c r="AS21" s="4">
        <v>0.98</v>
      </c>
      <c r="AT21" s="4">
        <f t="shared" si="68"/>
        <v>0.01</v>
      </c>
      <c r="AU21" s="4">
        <v>4.1</v>
      </c>
      <c r="AV21" s="4">
        <v>7.14</v>
      </c>
      <c r="AW21" s="4"/>
      <c r="AX21" s="4"/>
      <c r="AY21" s="4"/>
      <c r="AZ21" s="4"/>
      <c r="BA21" s="4"/>
      <c r="BB21" s="4"/>
      <c r="BC21" s="4">
        <f t="shared" ref="BC21:BD21" si="109">0.5*10</f>
        <v>5</v>
      </c>
      <c r="BD21" s="4">
        <f t="shared" si="109"/>
        <v>5</v>
      </c>
      <c r="BE21" s="4">
        <f t="shared" ref="BE21:BF21" si="110">0.5*50</f>
        <v>25</v>
      </c>
      <c r="BF21" s="4">
        <f t="shared" si="110"/>
        <v>25</v>
      </c>
      <c r="BG21" s="4">
        <f t="shared" si="72"/>
        <v>5</v>
      </c>
      <c r="BH21" s="4">
        <f t="shared" si="103"/>
        <v>25</v>
      </c>
      <c r="BI21" s="4">
        <v>1.0</v>
      </c>
      <c r="BJ21" s="4">
        <f t="shared" si="74"/>
        <v>5</v>
      </c>
      <c r="BK21" s="4">
        <f t="shared" si="75"/>
        <v>25</v>
      </c>
      <c r="BL21" s="4">
        <v>1.0</v>
      </c>
      <c r="BM21" s="4">
        <f t="shared" si="76"/>
        <v>0.25</v>
      </c>
      <c r="BN21" s="4">
        <f t="shared" si="77"/>
        <v>0.5</v>
      </c>
      <c r="BO21" s="4">
        <f t="shared" si="78"/>
        <v>2.5</v>
      </c>
      <c r="BP21" s="4">
        <f t="shared" si="79"/>
        <v>0.25</v>
      </c>
      <c r="BQ21" s="4">
        <f t="shared" ref="BQ21:BQ23" si="113">0.5*100</f>
        <v>50</v>
      </c>
      <c r="BR21" s="4">
        <v>400.0</v>
      </c>
      <c r="BS21" s="4">
        <f t="shared" si="81"/>
        <v>0.5</v>
      </c>
      <c r="BT21" s="4">
        <v>253.0</v>
      </c>
      <c r="BU21" s="4">
        <v>6000.0</v>
      </c>
      <c r="BV21" s="4">
        <v>189.0</v>
      </c>
      <c r="BW21" s="4">
        <v>173.0</v>
      </c>
      <c r="BX21" s="4">
        <v>590.0</v>
      </c>
      <c r="BY21" s="4">
        <v>69.0</v>
      </c>
      <c r="BZ21" s="4">
        <v>1.0</v>
      </c>
      <c r="CA21" s="4">
        <v>189.0</v>
      </c>
      <c r="CB21" s="4">
        <f t="shared" si="86"/>
        <v>2.5</v>
      </c>
      <c r="CC21" s="4">
        <v>1.3</v>
      </c>
      <c r="CD21" s="4">
        <v>265000.0</v>
      </c>
      <c r="CE21" s="4">
        <v>700.0</v>
      </c>
      <c r="CF21" s="4">
        <v>5.0</v>
      </c>
      <c r="CG21" s="4">
        <f t="shared" si="89"/>
        <v>0.001</v>
      </c>
      <c r="CH21" s="4">
        <v>0.002</v>
      </c>
      <c r="CI21" s="4">
        <v>0.034</v>
      </c>
      <c r="CJ21" s="4">
        <f t="shared" si="91"/>
        <v>0.019</v>
      </c>
      <c r="CK21" s="4">
        <v>0.97</v>
      </c>
      <c r="CL21" s="4">
        <v>114.23</v>
      </c>
      <c r="CM21" s="4">
        <v>33.97</v>
      </c>
      <c r="CN21" s="4">
        <v>13.17</v>
      </c>
      <c r="CO21" s="4">
        <v>58.08</v>
      </c>
      <c r="CP21" s="4">
        <v>0.19</v>
      </c>
      <c r="CQ21" s="4">
        <v>33.49</v>
      </c>
      <c r="CR21" s="4">
        <v>48.98</v>
      </c>
      <c r="CS21" s="4">
        <v>51306.87</v>
      </c>
      <c r="CT21" s="4">
        <v>1161.67</v>
      </c>
      <c r="CU21" s="4">
        <v>0.25</v>
      </c>
      <c r="CV21" s="4">
        <v>36.4</v>
      </c>
    </row>
    <row r="22">
      <c r="A22" s="4" t="s">
        <v>225</v>
      </c>
      <c r="B22" s="4" t="s">
        <v>226</v>
      </c>
      <c r="C22" s="5" t="s">
        <v>222</v>
      </c>
      <c r="D22" s="5" t="s">
        <v>227</v>
      </c>
      <c r="E22" s="4" t="s">
        <v>158</v>
      </c>
      <c r="F22" s="4" t="s">
        <v>105</v>
      </c>
      <c r="G22" s="4" t="s">
        <v>106</v>
      </c>
      <c r="H22" s="4" t="s">
        <v>228</v>
      </c>
      <c r="I22" s="4" t="s">
        <v>229</v>
      </c>
      <c r="J22" s="4" t="s">
        <v>230</v>
      </c>
      <c r="K22" s="4" t="s">
        <v>231</v>
      </c>
      <c r="L22" s="4">
        <v>-22.6916</v>
      </c>
      <c r="M22" s="4">
        <v>-62.202</v>
      </c>
      <c r="N22" s="4"/>
      <c r="O22" s="4"/>
      <c r="P22" s="4">
        <v>572.0</v>
      </c>
      <c r="Q22" s="4">
        <v>187.3</v>
      </c>
      <c r="R22" s="4">
        <v>8.04</v>
      </c>
      <c r="S22" s="4">
        <v>-72.3</v>
      </c>
      <c r="T22" s="4">
        <v>1746.0</v>
      </c>
      <c r="U22" s="4">
        <v>0.9</v>
      </c>
      <c r="V22" s="4">
        <v>18.0</v>
      </c>
      <c r="W22" s="4">
        <v>8.52</v>
      </c>
      <c r="X22" s="4">
        <v>92.1</v>
      </c>
      <c r="Y22" s="4">
        <f t="shared" si="105"/>
        <v>1650</v>
      </c>
      <c r="Z22" s="4">
        <v>5340.0</v>
      </c>
      <c r="AA22" s="4">
        <v>1162.0</v>
      </c>
      <c r="AB22" s="4">
        <v>4178.0</v>
      </c>
      <c r="AC22" s="4">
        <v>16.0</v>
      </c>
      <c r="AD22" s="4">
        <v>396.0</v>
      </c>
      <c r="AE22" s="4">
        <v>20.0</v>
      </c>
      <c r="AF22" s="4">
        <v>115.0</v>
      </c>
      <c r="AG22" s="4">
        <v>308.57</v>
      </c>
      <c r="AH22" s="4">
        <v>298.4</v>
      </c>
      <c r="AI22" s="4">
        <v>57.09</v>
      </c>
      <c r="AJ22" s="4">
        <v>39.17</v>
      </c>
      <c r="AK22" s="4">
        <v>208.48</v>
      </c>
      <c r="AL22" s="4">
        <v>12.69</v>
      </c>
      <c r="AM22" s="4">
        <v>58.57</v>
      </c>
      <c r="AN22" s="4">
        <v>39.41</v>
      </c>
      <c r="AO22" s="4">
        <v>212.62</v>
      </c>
      <c r="AP22" s="4">
        <v>14.45</v>
      </c>
      <c r="AQ22" s="4">
        <v>0.2</v>
      </c>
      <c r="AR22" s="4">
        <v>0.2</v>
      </c>
      <c r="AS22" s="4">
        <v>0.52</v>
      </c>
      <c r="AT22" s="4">
        <f t="shared" si="68"/>
        <v>0.01</v>
      </c>
      <c r="AU22" s="4">
        <v>1.77</v>
      </c>
      <c r="AV22" s="4">
        <v>5.74</v>
      </c>
      <c r="AW22" s="4"/>
      <c r="AX22" s="4"/>
      <c r="AY22" s="4"/>
      <c r="AZ22" s="4"/>
      <c r="BA22" s="4"/>
      <c r="BB22" s="4"/>
      <c r="BC22" s="4">
        <f t="shared" ref="BC22:BD22" si="111">0.5*10</f>
        <v>5</v>
      </c>
      <c r="BD22" s="4">
        <f t="shared" si="111"/>
        <v>5</v>
      </c>
      <c r="BE22" s="4">
        <f t="shared" ref="BE22:BF22" si="112">0.5*50</f>
        <v>25</v>
      </c>
      <c r="BF22" s="4">
        <f t="shared" si="112"/>
        <v>25</v>
      </c>
      <c r="BG22" s="4">
        <f t="shared" si="72"/>
        <v>5</v>
      </c>
      <c r="BH22" s="4">
        <f t="shared" si="103"/>
        <v>25</v>
      </c>
      <c r="BI22" s="4">
        <v>1.0</v>
      </c>
      <c r="BJ22" s="4">
        <f t="shared" si="74"/>
        <v>5</v>
      </c>
      <c r="BK22" s="4">
        <f t="shared" si="75"/>
        <v>25</v>
      </c>
      <c r="BL22" s="4">
        <v>1.0</v>
      </c>
      <c r="BM22" s="4">
        <f t="shared" si="76"/>
        <v>0.25</v>
      </c>
      <c r="BN22" s="4">
        <f t="shared" si="77"/>
        <v>0.5</v>
      </c>
      <c r="BO22" s="4">
        <f t="shared" si="78"/>
        <v>2.5</v>
      </c>
      <c r="BP22" s="4">
        <f t="shared" si="79"/>
        <v>0.25</v>
      </c>
      <c r="BQ22" s="4">
        <f t="shared" si="113"/>
        <v>50</v>
      </c>
      <c r="BR22" s="4">
        <v>600.0</v>
      </c>
      <c r="BS22" s="4">
        <f t="shared" si="81"/>
        <v>0.5</v>
      </c>
      <c r="BT22" s="4">
        <v>119.0</v>
      </c>
      <c r="BU22" s="4">
        <v>2000.0</v>
      </c>
      <c r="BV22" s="4">
        <v>85.0</v>
      </c>
      <c r="BW22" s="4">
        <v>89.0</v>
      </c>
      <c r="BX22" s="4">
        <v>310.0</v>
      </c>
      <c r="BY22" s="4">
        <v>38.0</v>
      </c>
      <c r="BZ22" s="4">
        <v>0.7</v>
      </c>
      <c r="CA22" s="4">
        <v>91.0</v>
      </c>
      <c r="CB22" s="4">
        <f t="shared" si="86"/>
        <v>2.5</v>
      </c>
      <c r="CC22" s="4">
        <f>0.5*0.5</f>
        <v>0.25</v>
      </c>
      <c r="CD22" s="4">
        <v>130000.0</v>
      </c>
      <c r="CE22" s="4">
        <v>700.0</v>
      </c>
      <c r="CF22" s="4">
        <v>3.0</v>
      </c>
      <c r="CG22" s="4">
        <f t="shared" si="89"/>
        <v>0.001</v>
      </c>
      <c r="CH22" s="4">
        <v>0.003</v>
      </c>
      <c r="CI22" s="4">
        <v>0.039</v>
      </c>
      <c r="CJ22" s="4">
        <f t="shared" si="91"/>
        <v>0.019</v>
      </c>
      <c r="CK22" s="4">
        <v>0.72</v>
      </c>
      <c r="CL22" s="4">
        <v>74.2</v>
      </c>
      <c r="CM22" s="4">
        <v>18.74</v>
      </c>
      <c r="CN22" s="4">
        <v>8.86</v>
      </c>
      <c r="CO22" s="4">
        <v>23.93</v>
      </c>
      <c r="CP22" s="4">
        <v>0.17</v>
      </c>
      <c r="CQ22" s="4">
        <v>21.3</v>
      </c>
      <c r="CR22" s="4">
        <v>28.48</v>
      </c>
      <c r="CS22" s="4">
        <v>31115.37</v>
      </c>
      <c r="CT22" s="4">
        <v>478.7</v>
      </c>
      <c r="CU22" s="4"/>
      <c r="CV22" s="4">
        <v>20.11</v>
      </c>
    </row>
    <row r="23">
      <c r="A23" s="4" t="s">
        <v>232</v>
      </c>
      <c r="B23" s="4" t="s">
        <v>233</v>
      </c>
      <c r="C23" s="5" t="s">
        <v>222</v>
      </c>
      <c r="D23" s="5" t="s">
        <v>234</v>
      </c>
      <c r="E23" s="4" t="s">
        <v>158</v>
      </c>
      <c r="F23" s="4" t="s">
        <v>105</v>
      </c>
      <c r="G23" s="4" t="s">
        <v>106</v>
      </c>
      <c r="H23" s="4" t="s">
        <v>235</v>
      </c>
      <c r="J23" s="4" t="s">
        <v>236</v>
      </c>
      <c r="K23" s="4" t="s">
        <v>237</v>
      </c>
      <c r="L23" s="4">
        <v>-22.7123</v>
      </c>
      <c r="M23" s="4">
        <v>-62.1554</v>
      </c>
      <c r="N23" s="4"/>
      <c r="O23" s="4"/>
      <c r="P23" s="4">
        <v>541.0</v>
      </c>
      <c r="Q23" s="4">
        <v>189.1</v>
      </c>
      <c r="R23" s="4">
        <v>8.09</v>
      </c>
      <c r="S23" s="4">
        <v>-73.0</v>
      </c>
      <c r="T23" s="4">
        <v>1848.0</v>
      </c>
      <c r="U23" s="4">
        <v>0.9</v>
      </c>
      <c r="V23" s="4">
        <v>17.9</v>
      </c>
      <c r="W23" s="4">
        <v>8.63</v>
      </c>
      <c r="X23" s="4">
        <v>93.0</v>
      </c>
      <c r="Y23" s="4">
        <f t="shared" si="105"/>
        <v>1650</v>
      </c>
      <c r="Z23" s="4">
        <v>4226.0</v>
      </c>
      <c r="AA23" s="4">
        <v>1228.0</v>
      </c>
      <c r="AB23" s="4">
        <v>2998.0</v>
      </c>
      <c r="AC23" s="4">
        <v>15.0</v>
      </c>
      <c r="AD23" s="4">
        <v>404.0</v>
      </c>
      <c r="AE23" s="4">
        <v>3.5</v>
      </c>
      <c r="AF23" s="4">
        <v>119.0</v>
      </c>
      <c r="AG23" s="4">
        <v>337.62</v>
      </c>
      <c r="AH23" s="4">
        <v>462.1</v>
      </c>
      <c r="AI23" s="4">
        <v>61.05</v>
      </c>
      <c r="AJ23" s="4">
        <v>40.9</v>
      </c>
      <c r="AK23" s="4">
        <v>233.56</v>
      </c>
      <c r="AL23" s="4">
        <v>10.83</v>
      </c>
      <c r="AM23" s="4">
        <v>61.54</v>
      </c>
      <c r="AN23" s="4">
        <v>41.9</v>
      </c>
      <c r="AO23" s="4">
        <v>254.18</v>
      </c>
      <c r="AP23" s="4">
        <v>11.66</v>
      </c>
      <c r="AQ23" s="4">
        <v>0.2</v>
      </c>
      <c r="AR23" s="4">
        <v>0.1</v>
      </c>
      <c r="AS23" s="4">
        <v>0.75</v>
      </c>
      <c r="AT23" s="4">
        <f t="shared" si="68"/>
        <v>0.01</v>
      </c>
      <c r="AU23" s="4">
        <v>1.52</v>
      </c>
      <c r="AV23" s="4">
        <v>8.54</v>
      </c>
      <c r="AW23" s="4"/>
      <c r="AX23" s="4"/>
      <c r="AY23" s="4"/>
      <c r="AZ23" s="4"/>
      <c r="BA23" s="4"/>
      <c r="BB23" s="4"/>
      <c r="BC23" s="4">
        <f t="shared" ref="BC23:BD23" si="114">0.5*10</f>
        <v>5</v>
      </c>
      <c r="BD23" s="4">
        <f t="shared" si="114"/>
        <v>5</v>
      </c>
      <c r="BE23" s="4">
        <f t="shared" ref="BE23:BF23" si="115">0.5*50</f>
        <v>25</v>
      </c>
      <c r="BF23" s="4">
        <f t="shared" si="115"/>
        <v>25</v>
      </c>
      <c r="BG23" s="4">
        <f t="shared" si="72"/>
        <v>5</v>
      </c>
      <c r="BH23" s="4">
        <f t="shared" si="103"/>
        <v>25</v>
      </c>
      <c r="BI23" s="4">
        <f>0.5*1</f>
        <v>0.5</v>
      </c>
      <c r="BJ23" s="4">
        <f t="shared" si="74"/>
        <v>5</v>
      </c>
      <c r="BK23" s="4">
        <f t="shared" si="75"/>
        <v>25</v>
      </c>
      <c r="BL23" s="4">
        <v>1.0</v>
      </c>
      <c r="BM23" s="4">
        <f t="shared" si="76"/>
        <v>0.25</v>
      </c>
      <c r="BN23" s="4">
        <f t="shared" si="77"/>
        <v>0.5</v>
      </c>
      <c r="BO23" s="4">
        <f t="shared" si="78"/>
        <v>2.5</v>
      </c>
      <c r="BP23" s="4">
        <f t="shared" si="79"/>
        <v>0.25</v>
      </c>
      <c r="BQ23" s="4">
        <f t="shared" si="113"/>
        <v>50</v>
      </c>
      <c r="BR23" s="4">
        <v>500.0</v>
      </c>
      <c r="BS23" s="4">
        <f t="shared" si="81"/>
        <v>0.5</v>
      </c>
      <c r="BT23" s="4">
        <v>126.0</v>
      </c>
      <c r="BU23" s="4">
        <v>3000.0</v>
      </c>
      <c r="BV23" s="4">
        <v>90.0</v>
      </c>
      <c r="BW23" s="4">
        <v>92.0</v>
      </c>
      <c r="BX23" s="4">
        <v>330.0</v>
      </c>
      <c r="BY23" s="4">
        <v>43.0</v>
      </c>
      <c r="BZ23" s="4">
        <v>0.8</v>
      </c>
      <c r="CA23" s="4">
        <v>103.0</v>
      </c>
      <c r="CB23" s="4">
        <f t="shared" si="86"/>
        <v>2.5</v>
      </c>
      <c r="CC23" s="4">
        <v>0.5</v>
      </c>
      <c r="CD23" s="4">
        <v>146000.0</v>
      </c>
      <c r="CE23" s="4">
        <v>600.0</v>
      </c>
      <c r="CF23" s="4">
        <v>1.0</v>
      </c>
      <c r="CG23" s="4">
        <f t="shared" si="89"/>
        <v>0.001</v>
      </c>
      <c r="CH23" s="4">
        <v>0.002</v>
      </c>
      <c r="CI23" s="4">
        <v>0.043</v>
      </c>
      <c r="CJ23" s="4">
        <f t="shared" si="91"/>
        <v>0.019</v>
      </c>
      <c r="CK23" s="4">
        <v>0.33</v>
      </c>
      <c r="CL23" s="4">
        <v>110.07</v>
      </c>
      <c r="CM23" s="4">
        <v>30.74</v>
      </c>
      <c r="CN23" s="4">
        <v>14.01</v>
      </c>
      <c r="CO23" s="4">
        <v>33.36</v>
      </c>
      <c r="CP23" s="4">
        <v>0.27</v>
      </c>
      <c r="CQ23" s="4">
        <v>30.69</v>
      </c>
      <c r="CR23" s="4">
        <v>42.03</v>
      </c>
      <c r="CS23" s="4">
        <v>48699.13</v>
      </c>
      <c r="CT23" s="4">
        <v>1000.67</v>
      </c>
      <c r="CU23" s="4">
        <v>0.17</v>
      </c>
      <c r="CV23" s="4">
        <v>30.02</v>
      </c>
    </row>
    <row r="24">
      <c r="A24" s="4" t="s">
        <v>238</v>
      </c>
      <c r="B24" s="4" t="s">
        <v>239</v>
      </c>
      <c r="C24" s="5" t="s">
        <v>240</v>
      </c>
      <c r="D24" s="5" t="s">
        <v>241</v>
      </c>
      <c r="E24" s="4" t="s">
        <v>242</v>
      </c>
      <c r="F24" s="4" t="s">
        <v>105</v>
      </c>
      <c r="G24" s="4" t="s">
        <v>106</v>
      </c>
      <c r="H24" s="4" t="s">
        <v>243</v>
      </c>
      <c r="J24" s="4" t="s">
        <v>244</v>
      </c>
      <c r="K24" s="4" t="s">
        <v>245</v>
      </c>
      <c r="L24" s="4">
        <v>-24.1897</v>
      </c>
      <c r="M24" s="4">
        <v>-58.3003</v>
      </c>
      <c r="N24" s="4"/>
      <c r="O24" s="4"/>
      <c r="P24" s="4">
        <v>1760.0</v>
      </c>
      <c r="Q24" s="4">
        <v>171.6</v>
      </c>
      <c r="R24" s="4">
        <v>7.36</v>
      </c>
      <c r="S24" s="4">
        <v>-41.8</v>
      </c>
      <c r="T24" s="4">
        <v>568.0</v>
      </c>
      <c r="U24" s="4">
        <v>0.2</v>
      </c>
      <c r="V24" s="4">
        <v>26.8</v>
      </c>
      <c r="W24" s="4">
        <v>6.71</v>
      </c>
      <c r="X24" s="4">
        <v>84.2</v>
      </c>
      <c r="Y24" s="4">
        <v>265.0</v>
      </c>
      <c r="Z24" s="4">
        <v>576.0</v>
      </c>
      <c r="AA24" s="4">
        <v>392.0</v>
      </c>
      <c r="AB24" s="4">
        <v>184.0</v>
      </c>
      <c r="AC24" s="4">
        <v>250.0</v>
      </c>
      <c r="AD24" s="4">
        <v>75.4</v>
      </c>
      <c r="AE24" s="4">
        <v>0.0</v>
      </c>
      <c r="AF24" s="4">
        <v>52.5</v>
      </c>
      <c r="AG24" s="4">
        <v>105.0</v>
      </c>
      <c r="AH24" s="4">
        <v>66.87</v>
      </c>
      <c r="AI24" s="4">
        <v>24.5</v>
      </c>
      <c r="AJ24" s="4">
        <v>2.96</v>
      </c>
      <c r="AK24" s="4">
        <v>78.2</v>
      </c>
      <c r="AL24" s="4">
        <v>9.15</v>
      </c>
      <c r="AM24" s="4">
        <v>25.3</v>
      </c>
      <c r="AN24" s="4">
        <v>2.96</v>
      </c>
      <c r="AO24" s="4">
        <v>80.69</v>
      </c>
      <c r="AP24" s="4">
        <v>10.7</v>
      </c>
      <c r="AQ24" s="4">
        <v>3.37</v>
      </c>
      <c r="AR24" s="4">
        <v>1.1</v>
      </c>
      <c r="AS24" s="4">
        <v>0.077</v>
      </c>
      <c r="AT24" s="4">
        <v>0.026</v>
      </c>
      <c r="AU24" s="4">
        <v>1.18</v>
      </c>
      <c r="AV24" s="4">
        <v>0.19</v>
      </c>
      <c r="AW24" s="4">
        <v>7.7</v>
      </c>
      <c r="AX24" s="4">
        <v>72.4</v>
      </c>
      <c r="AY24" s="4"/>
      <c r="AZ24" s="4">
        <v>74000.0</v>
      </c>
      <c r="BA24" s="4">
        <v>1400.0</v>
      </c>
      <c r="BB24" s="6">
        <v>1.76E7</v>
      </c>
      <c r="BC24" s="4">
        <f t="shared" ref="BC24:BD24" si="116">0.5*10</f>
        <v>5</v>
      </c>
      <c r="BD24" s="4">
        <f t="shared" si="116"/>
        <v>5</v>
      </c>
      <c r="BE24" s="4">
        <f t="shared" ref="BE24:BF24" si="117">0.5*50</f>
        <v>25</v>
      </c>
      <c r="BF24" s="4">
        <f t="shared" si="117"/>
        <v>25</v>
      </c>
      <c r="BG24" s="4">
        <f t="shared" si="72"/>
        <v>5</v>
      </c>
      <c r="BH24" s="4">
        <v>100.0</v>
      </c>
      <c r="BI24" s="4">
        <v>1.0</v>
      </c>
      <c r="BJ24" s="4">
        <f t="shared" si="74"/>
        <v>5</v>
      </c>
      <c r="BK24" s="4">
        <f t="shared" si="75"/>
        <v>25</v>
      </c>
      <c r="BL24" s="4">
        <v>4.0</v>
      </c>
      <c r="BM24" s="4">
        <f t="shared" si="76"/>
        <v>0.25</v>
      </c>
      <c r="BN24" s="4">
        <f t="shared" si="77"/>
        <v>0.5</v>
      </c>
      <c r="BO24" s="4">
        <f t="shared" si="78"/>
        <v>2.5</v>
      </c>
      <c r="BP24" s="4">
        <f t="shared" si="79"/>
        <v>0.25</v>
      </c>
      <c r="BQ24" s="4">
        <v>200.0</v>
      </c>
      <c r="BR24" s="4">
        <v>100.0</v>
      </c>
      <c r="BS24" s="4">
        <f t="shared" si="81"/>
        <v>0.5</v>
      </c>
      <c r="BT24" s="4">
        <f t="shared" ref="BT24:BT39" si="121">0.5*10</f>
        <v>5</v>
      </c>
      <c r="BU24" s="4">
        <v>200.0</v>
      </c>
      <c r="BV24" s="4">
        <v>1.0</v>
      </c>
      <c r="BW24" s="4">
        <f t="shared" ref="BW24:BW32" si="122">0.5*10</f>
        <v>5</v>
      </c>
      <c r="BX24" s="4">
        <f t="shared" ref="BX24:BX32" si="123">0.5*50</f>
        <v>25</v>
      </c>
      <c r="BY24" s="4">
        <v>5.0</v>
      </c>
      <c r="BZ24" s="4">
        <f t="shared" ref="BZ24:BZ32" si="124">0.5*0.5</f>
        <v>0.25</v>
      </c>
      <c r="CA24" s="4">
        <v>3.0</v>
      </c>
      <c r="CB24" s="4">
        <f t="shared" si="86"/>
        <v>2.5</v>
      </c>
      <c r="CC24" s="4">
        <f t="shared" ref="CC24:CC36" si="125">0.5*0.5</f>
        <v>0.25</v>
      </c>
      <c r="CD24" s="4">
        <v>5000.0</v>
      </c>
      <c r="CE24" s="4">
        <v>100.0</v>
      </c>
      <c r="CF24" s="4">
        <f t="shared" ref="CF24:CF26" si="126">0.5*1</f>
        <v>0.5</v>
      </c>
      <c r="CG24" s="4"/>
      <c r="CH24" s="4">
        <f t="shared" ref="CH24:CI24" si="118">0.5*0.001</f>
        <v>0.0005</v>
      </c>
      <c r="CI24" s="4">
        <f t="shared" si="118"/>
        <v>0.0005</v>
      </c>
      <c r="CJ24" s="4">
        <f t="shared" ref="CJ24:CJ32" si="128">0.5*0.5</f>
        <v>0.25</v>
      </c>
      <c r="CK24" s="4"/>
      <c r="CL24" s="4"/>
      <c r="CM24" s="4"/>
      <c r="CN24" s="4">
        <v>5.43</v>
      </c>
      <c r="CO24" s="4">
        <v>0.0</v>
      </c>
      <c r="CP24" s="4"/>
      <c r="CQ24" s="4"/>
      <c r="CR24" s="4"/>
      <c r="CS24" s="4">
        <v>26086.96</v>
      </c>
      <c r="CT24" s="4">
        <v>543.48</v>
      </c>
      <c r="CU24" s="4"/>
      <c r="CV24" s="4">
        <v>0.0</v>
      </c>
    </row>
    <row r="25">
      <c r="A25" s="4" t="s">
        <v>246</v>
      </c>
      <c r="B25" s="4" t="s">
        <v>247</v>
      </c>
      <c r="C25" s="5" t="s">
        <v>240</v>
      </c>
      <c r="D25" s="5" t="s">
        <v>248</v>
      </c>
      <c r="E25" s="4" t="s">
        <v>242</v>
      </c>
      <c r="F25" s="4" t="s">
        <v>105</v>
      </c>
      <c r="G25" s="4" t="s">
        <v>106</v>
      </c>
      <c r="H25" s="4" t="s">
        <v>249</v>
      </c>
      <c r="J25" s="4" t="s">
        <v>250</v>
      </c>
      <c r="K25" s="4" t="s">
        <v>251</v>
      </c>
      <c r="L25" s="4">
        <v>-23.8932</v>
      </c>
      <c r="M25" s="4">
        <v>-58.4459</v>
      </c>
      <c r="N25" s="4"/>
      <c r="O25" s="4"/>
      <c r="P25" s="4">
        <v>375.0</v>
      </c>
      <c r="Q25" s="4">
        <v>148.4</v>
      </c>
      <c r="R25" s="4">
        <v>7.24</v>
      </c>
      <c r="S25" s="4">
        <v>-36.2</v>
      </c>
      <c r="T25" s="4">
        <v>2670.0</v>
      </c>
      <c r="U25" s="4">
        <v>1.4</v>
      </c>
      <c r="V25" s="4">
        <v>24.7</v>
      </c>
      <c r="W25" s="4">
        <v>5.98</v>
      </c>
      <c r="X25" s="4">
        <v>72.5</v>
      </c>
      <c r="Y25" s="4">
        <v>129.0</v>
      </c>
      <c r="Z25" s="4">
        <v>1756.0</v>
      </c>
      <c r="AA25" s="4">
        <v>1614.4</v>
      </c>
      <c r="AB25" s="4">
        <v>141.6</v>
      </c>
      <c r="AC25" s="4">
        <v>200.0</v>
      </c>
      <c r="AD25" s="4">
        <v>280.5</v>
      </c>
      <c r="AE25" s="4">
        <v>0.0</v>
      </c>
      <c r="AF25" s="4">
        <v>70.0</v>
      </c>
      <c r="AG25" s="4">
        <v>575.5</v>
      </c>
      <c r="AH25" s="4">
        <v>39.6</v>
      </c>
      <c r="AI25" s="4">
        <v>102.2</v>
      </c>
      <c r="AJ25" s="4">
        <v>4.96</v>
      </c>
      <c r="AK25" s="4">
        <v>340.07</v>
      </c>
      <c r="AL25" s="4">
        <v>7.11</v>
      </c>
      <c r="AM25" s="4">
        <v>104.2</v>
      </c>
      <c r="AN25" s="4">
        <v>4.96</v>
      </c>
      <c r="AO25" s="4">
        <v>348.11</v>
      </c>
      <c r="AP25" s="4">
        <v>7.86</v>
      </c>
      <c r="AQ25" s="4">
        <v>1.74</v>
      </c>
      <c r="AR25" s="4">
        <v>0.401</v>
      </c>
      <c r="AS25" s="4">
        <v>0.033</v>
      </c>
      <c r="AT25" s="4">
        <v>0.065</v>
      </c>
      <c r="AU25" s="4">
        <v>0.934</v>
      </c>
      <c r="AV25" s="4">
        <v>0.296</v>
      </c>
      <c r="AW25" s="4">
        <v>7.8</v>
      </c>
      <c r="AX25" s="4">
        <v>85.07</v>
      </c>
      <c r="AY25" s="4"/>
      <c r="AZ25" s="4">
        <v>61600.0</v>
      </c>
      <c r="BA25" s="4">
        <v>1160.0</v>
      </c>
      <c r="BB25" s="6">
        <v>2.464E7</v>
      </c>
      <c r="BC25" s="4">
        <f t="shared" ref="BC25:BD25" si="119">0.5*10</f>
        <v>5</v>
      </c>
      <c r="BD25" s="4">
        <f t="shared" si="119"/>
        <v>5</v>
      </c>
      <c r="BE25" s="4">
        <f t="shared" ref="BE25:BF25" si="120">0.5*50</f>
        <v>25</v>
      </c>
      <c r="BF25" s="4">
        <f t="shared" si="120"/>
        <v>25</v>
      </c>
      <c r="BG25" s="4">
        <f t="shared" si="72"/>
        <v>5</v>
      </c>
      <c r="BH25" s="4">
        <v>600.0</v>
      </c>
      <c r="BI25" s="4">
        <v>1.0</v>
      </c>
      <c r="BJ25" s="4">
        <f t="shared" si="74"/>
        <v>5</v>
      </c>
      <c r="BK25" s="4">
        <f t="shared" si="75"/>
        <v>25</v>
      </c>
      <c r="BL25" s="4">
        <v>3.0</v>
      </c>
      <c r="BM25" s="4">
        <f t="shared" si="76"/>
        <v>0.25</v>
      </c>
      <c r="BN25" s="4">
        <f t="shared" si="77"/>
        <v>0.5</v>
      </c>
      <c r="BO25" s="4">
        <f t="shared" si="78"/>
        <v>2.5</v>
      </c>
      <c r="BP25" s="4">
        <f t="shared" si="79"/>
        <v>0.25</v>
      </c>
      <c r="BQ25" s="4">
        <f t="shared" ref="BQ25:BQ26" si="131">0.5*100</f>
        <v>50</v>
      </c>
      <c r="BR25" s="4">
        <v>700.0</v>
      </c>
      <c r="BS25" s="4">
        <f t="shared" si="81"/>
        <v>0.5</v>
      </c>
      <c r="BT25" s="4">
        <f t="shared" si="121"/>
        <v>5</v>
      </c>
      <c r="BU25" s="4">
        <v>600.0</v>
      </c>
      <c r="BV25" s="4">
        <v>1.0</v>
      </c>
      <c r="BW25" s="4">
        <f t="shared" si="122"/>
        <v>5</v>
      </c>
      <c r="BX25" s="4">
        <f t="shared" si="123"/>
        <v>25</v>
      </c>
      <c r="BY25" s="4">
        <v>3.0</v>
      </c>
      <c r="BZ25" s="4">
        <f t="shared" si="124"/>
        <v>0.25</v>
      </c>
      <c r="CA25" s="4">
        <v>3.0</v>
      </c>
      <c r="CB25" s="4">
        <f t="shared" si="86"/>
        <v>2.5</v>
      </c>
      <c r="CC25" s="4">
        <f t="shared" si="125"/>
        <v>0.25</v>
      </c>
      <c r="CD25" s="4">
        <v>4000.0</v>
      </c>
      <c r="CE25" s="4">
        <v>700.0</v>
      </c>
      <c r="CF25" s="4">
        <f t="shared" si="126"/>
        <v>0.5</v>
      </c>
      <c r="CG25" s="4"/>
      <c r="CH25" s="4">
        <f t="shared" ref="CH25:CI25" si="127">0.5*0.001</f>
        <v>0.0005</v>
      </c>
      <c r="CI25" s="4">
        <f t="shared" si="127"/>
        <v>0.0005</v>
      </c>
      <c r="CJ25" s="4">
        <f t="shared" si="128"/>
        <v>0.25</v>
      </c>
      <c r="CK25" s="4"/>
      <c r="CL25" s="4"/>
      <c r="CM25" s="4"/>
      <c r="CN25" s="4">
        <v>0.0</v>
      </c>
      <c r="CO25" s="4">
        <v>0.0</v>
      </c>
      <c r="CP25" s="4"/>
      <c r="CQ25" s="4"/>
      <c r="CR25" s="4"/>
      <c r="CS25" s="4">
        <v>28248.59</v>
      </c>
      <c r="CT25" s="4">
        <v>0.0</v>
      </c>
      <c r="CU25" s="4"/>
      <c r="CV25" s="4">
        <v>0.0</v>
      </c>
    </row>
    <row r="26">
      <c r="A26" s="4" t="s">
        <v>252</v>
      </c>
      <c r="B26" s="4" t="s">
        <v>253</v>
      </c>
      <c r="C26" s="5" t="s">
        <v>254</v>
      </c>
      <c r="D26" s="5" t="s">
        <v>255</v>
      </c>
      <c r="E26" s="4" t="s">
        <v>242</v>
      </c>
      <c r="F26" s="4" t="s">
        <v>105</v>
      </c>
      <c r="G26" s="4" t="s">
        <v>106</v>
      </c>
      <c r="H26" s="4" t="s">
        <v>128</v>
      </c>
      <c r="J26" s="4" t="s">
        <v>256</v>
      </c>
      <c r="K26" s="4" t="s">
        <v>257</v>
      </c>
      <c r="L26" s="4">
        <v>-22.8601</v>
      </c>
      <c r="M26" s="4">
        <v>-62.0192</v>
      </c>
      <c r="N26" s="4"/>
      <c r="O26" s="4"/>
      <c r="P26" s="4">
        <v>794.5</v>
      </c>
      <c r="Q26" s="4">
        <v>211.6</v>
      </c>
      <c r="R26" s="4">
        <v>8.38</v>
      </c>
      <c r="S26" s="4">
        <v>-83.9</v>
      </c>
      <c r="T26" s="4">
        <v>1259.0</v>
      </c>
      <c r="U26" s="4">
        <v>0.6</v>
      </c>
      <c r="V26" s="4">
        <v>21.9</v>
      </c>
      <c r="W26" s="4">
        <v>8.95</v>
      </c>
      <c r="X26" s="4">
        <v>104.9</v>
      </c>
      <c r="Y26" s="4">
        <v>54.7</v>
      </c>
      <c r="Z26" s="4">
        <v>905.0</v>
      </c>
      <c r="AA26" s="4">
        <v>868.0</v>
      </c>
      <c r="AB26" s="4">
        <v>37.0</v>
      </c>
      <c r="AC26" s="4">
        <v>30.0</v>
      </c>
      <c r="AD26" s="4">
        <v>377.4</v>
      </c>
      <c r="AE26" s="4">
        <v>6.5</v>
      </c>
      <c r="AF26" s="4">
        <v>91.0</v>
      </c>
      <c r="AG26" s="4">
        <v>166.6</v>
      </c>
      <c r="AH26" s="4">
        <v>380.9</v>
      </c>
      <c r="AI26" s="4">
        <v>98.0</v>
      </c>
      <c r="AJ26" s="4">
        <v>29.7</v>
      </c>
      <c r="AK26" s="4">
        <v>120.87</v>
      </c>
      <c r="AL26" s="4">
        <v>6.83</v>
      </c>
      <c r="AM26" s="4">
        <v>102.2</v>
      </c>
      <c r="AN26" s="4">
        <v>29.7</v>
      </c>
      <c r="AO26" s="4">
        <v>126.5</v>
      </c>
      <c r="AP26" s="4">
        <v>6.93</v>
      </c>
      <c r="AQ26" s="4">
        <v>0.227</v>
      </c>
      <c r="AR26" s="4">
        <v>0.054</v>
      </c>
      <c r="AS26" s="4">
        <v>0.03</v>
      </c>
      <c r="AT26" s="4">
        <v>0.033</v>
      </c>
      <c r="AU26" s="4">
        <v>4.56</v>
      </c>
      <c r="AV26" s="4">
        <v>0.32</v>
      </c>
      <c r="AW26" s="4">
        <v>9.5</v>
      </c>
      <c r="AX26" s="4">
        <v>41.63</v>
      </c>
      <c r="AY26" s="4"/>
      <c r="AZ26" s="4">
        <v>16000.0</v>
      </c>
      <c r="BA26" s="4">
        <v>1860.0</v>
      </c>
      <c r="BB26" s="4">
        <v>8160000.0</v>
      </c>
      <c r="BC26" s="4">
        <f t="shared" ref="BC26:BD26" si="129">0.5*10</f>
        <v>5</v>
      </c>
      <c r="BD26" s="4">
        <f t="shared" si="129"/>
        <v>5</v>
      </c>
      <c r="BE26" s="4">
        <f t="shared" ref="BE26:BF26" si="130">0.5*50</f>
        <v>25</v>
      </c>
      <c r="BF26" s="4">
        <f t="shared" si="130"/>
        <v>25</v>
      </c>
      <c r="BG26" s="4">
        <f t="shared" si="72"/>
        <v>5</v>
      </c>
      <c r="BH26" s="4">
        <f>0.5*50</f>
        <v>25</v>
      </c>
      <c r="BI26" s="4">
        <f>0.5*1</f>
        <v>0.5</v>
      </c>
      <c r="BJ26" s="4">
        <f t="shared" si="74"/>
        <v>5</v>
      </c>
      <c r="BK26" s="4">
        <f t="shared" si="75"/>
        <v>25</v>
      </c>
      <c r="BL26" s="4">
        <v>1.0</v>
      </c>
      <c r="BM26" s="4">
        <f t="shared" si="76"/>
        <v>0.25</v>
      </c>
      <c r="BN26" s="4">
        <f t="shared" si="77"/>
        <v>0.5</v>
      </c>
      <c r="BO26" s="4">
        <f t="shared" si="78"/>
        <v>2.5</v>
      </c>
      <c r="BP26" s="4">
        <f t="shared" si="79"/>
        <v>0.25</v>
      </c>
      <c r="BQ26" s="4">
        <f t="shared" si="131"/>
        <v>50</v>
      </c>
      <c r="BR26" s="4">
        <v>300.0</v>
      </c>
      <c r="BS26" s="4">
        <f t="shared" si="81"/>
        <v>0.5</v>
      </c>
      <c r="BT26" s="4">
        <f t="shared" si="121"/>
        <v>5</v>
      </c>
      <c r="BU26" s="4">
        <f>0.5*50</f>
        <v>25</v>
      </c>
      <c r="BV26" s="4">
        <f>0.5*1</f>
        <v>0.5</v>
      </c>
      <c r="BW26" s="4">
        <f t="shared" si="122"/>
        <v>5</v>
      </c>
      <c r="BX26" s="4">
        <f t="shared" si="123"/>
        <v>25</v>
      </c>
      <c r="BY26" s="4">
        <v>1.0</v>
      </c>
      <c r="BZ26" s="4">
        <f t="shared" si="124"/>
        <v>0.25</v>
      </c>
      <c r="CA26" s="4">
        <v>1.0</v>
      </c>
      <c r="CB26" s="4">
        <f t="shared" si="86"/>
        <v>2.5</v>
      </c>
      <c r="CC26" s="4">
        <f t="shared" si="125"/>
        <v>0.25</v>
      </c>
      <c r="CD26" s="4">
        <v>1000.0</v>
      </c>
      <c r="CE26" s="4">
        <v>400.0</v>
      </c>
      <c r="CF26" s="4">
        <f t="shared" si="126"/>
        <v>0.5</v>
      </c>
      <c r="CG26" s="4"/>
      <c r="CH26" s="4">
        <f t="shared" ref="CH26:CI26" si="132">0.5*0.001</f>
        <v>0.0005</v>
      </c>
      <c r="CI26" s="4">
        <f t="shared" si="132"/>
        <v>0.0005</v>
      </c>
      <c r="CJ26" s="4">
        <f t="shared" si="128"/>
        <v>0.25</v>
      </c>
      <c r="CK26" s="4"/>
      <c r="CL26" s="4"/>
      <c r="CM26" s="4"/>
      <c r="CN26" s="4">
        <v>0.0</v>
      </c>
      <c r="CO26" s="4">
        <v>2702.7</v>
      </c>
      <c r="CP26" s="4"/>
      <c r="CQ26" s="4"/>
      <c r="CR26" s="4"/>
      <c r="CS26" s="4">
        <v>27027.03</v>
      </c>
      <c r="CT26" s="4"/>
      <c r="CU26" s="4"/>
      <c r="CV26" s="4"/>
    </row>
    <row r="27">
      <c r="A27" s="4" t="s">
        <v>258</v>
      </c>
      <c r="B27" s="4" t="s">
        <v>259</v>
      </c>
      <c r="C27" s="5" t="s">
        <v>260</v>
      </c>
      <c r="D27" s="5" t="s">
        <v>261</v>
      </c>
      <c r="E27" s="4" t="s">
        <v>242</v>
      </c>
      <c r="F27" s="4" t="s">
        <v>105</v>
      </c>
      <c r="G27" s="4" t="s">
        <v>106</v>
      </c>
      <c r="H27" s="4" t="s">
        <v>128</v>
      </c>
      <c r="I27" s="4" t="s">
        <v>262</v>
      </c>
      <c r="J27" s="4" t="s">
        <v>263</v>
      </c>
      <c r="K27" s="4" t="s">
        <v>264</v>
      </c>
      <c r="L27" s="4">
        <v>-25.2642</v>
      </c>
      <c r="M27" s="4">
        <v>-57.7243</v>
      </c>
      <c r="N27" s="4"/>
      <c r="O27" s="4"/>
      <c r="P27" s="4">
        <v>85.9</v>
      </c>
      <c r="Q27" s="4">
        <v>150.2</v>
      </c>
      <c r="R27" s="4">
        <v>7.78</v>
      </c>
      <c r="S27" s="4">
        <v>-50.4</v>
      </c>
      <c r="T27" s="4">
        <v>11660.0</v>
      </c>
      <c r="U27" s="4">
        <v>6.7</v>
      </c>
      <c r="V27" s="4">
        <v>24.6</v>
      </c>
      <c r="W27" s="4">
        <v>6.08</v>
      </c>
      <c r="X27" s="4">
        <v>73.2</v>
      </c>
      <c r="Y27" s="4">
        <v>59.1</v>
      </c>
      <c r="Z27" s="4">
        <v>8038.0</v>
      </c>
      <c r="AA27" s="4">
        <v>7951.5</v>
      </c>
      <c r="AB27" s="4">
        <v>86.5</v>
      </c>
      <c r="AC27" s="4">
        <v>125.0</v>
      </c>
      <c r="AD27" s="4">
        <v>1020.0</v>
      </c>
      <c r="AE27" s="4">
        <v>0.0</v>
      </c>
      <c r="AF27" s="4">
        <v>173.0</v>
      </c>
      <c r="AG27" s="4">
        <v>1605.4</v>
      </c>
      <c r="AH27" s="4">
        <v>2096.7</v>
      </c>
      <c r="AI27" s="4">
        <v>322.9</v>
      </c>
      <c r="AJ27" s="4">
        <v>48.3</v>
      </c>
      <c r="AK27" s="4">
        <v>2001.9</v>
      </c>
      <c r="AL27" s="4">
        <v>6.5</v>
      </c>
      <c r="AM27" s="4">
        <v>327.0</v>
      </c>
      <c r="AN27" s="4">
        <v>49.6</v>
      </c>
      <c r="AO27" s="4">
        <v>2010.06</v>
      </c>
      <c r="AP27" s="4">
        <v>6.5</v>
      </c>
      <c r="AQ27" s="4">
        <v>1.75</v>
      </c>
      <c r="AR27" s="4">
        <v>0.544</v>
      </c>
      <c r="AS27" s="4">
        <v>0.14</v>
      </c>
      <c r="AT27" s="4">
        <v>0.09</v>
      </c>
      <c r="AU27" s="4">
        <v>0.478</v>
      </c>
      <c r="AV27" s="4">
        <v>0.23</v>
      </c>
      <c r="AW27" s="4">
        <v>7.4</v>
      </c>
      <c r="AX27" s="4">
        <v>93.84</v>
      </c>
      <c r="AY27" s="4"/>
      <c r="AZ27" s="4">
        <v>152000.0</v>
      </c>
      <c r="BA27" s="4">
        <v>5200.0</v>
      </c>
      <c r="BB27" s="6">
        <v>6.864E7</v>
      </c>
      <c r="BC27" s="4">
        <f t="shared" ref="BC27:BD27" si="133">0.5*10</f>
        <v>5</v>
      </c>
      <c r="BD27" s="4">
        <f t="shared" si="133"/>
        <v>5</v>
      </c>
      <c r="BE27" s="4">
        <f t="shared" ref="BE27:BF27" si="134">0.5*50</f>
        <v>25</v>
      </c>
      <c r="BF27" s="4">
        <f t="shared" si="134"/>
        <v>25</v>
      </c>
      <c r="BG27" s="4">
        <f t="shared" si="72"/>
        <v>5</v>
      </c>
      <c r="BH27" s="4">
        <v>500.0</v>
      </c>
      <c r="BI27" s="4">
        <v>1.0</v>
      </c>
      <c r="BJ27" s="4">
        <f t="shared" si="74"/>
        <v>5</v>
      </c>
      <c r="BK27" s="4">
        <f t="shared" si="75"/>
        <v>25</v>
      </c>
      <c r="BL27" s="4">
        <v>5.0</v>
      </c>
      <c r="BM27" s="4">
        <f t="shared" si="76"/>
        <v>0.25</v>
      </c>
      <c r="BN27" s="4">
        <f t="shared" si="77"/>
        <v>0.5</v>
      </c>
      <c r="BO27" s="4">
        <f t="shared" si="78"/>
        <v>2.5</v>
      </c>
      <c r="BP27" s="4">
        <f t="shared" si="79"/>
        <v>0.25</v>
      </c>
      <c r="BQ27" s="4">
        <v>100.0</v>
      </c>
      <c r="BR27" s="4">
        <v>1600.0</v>
      </c>
      <c r="BS27" s="4">
        <v>3.0</v>
      </c>
      <c r="BT27" s="4">
        <f t="shared" si="121"/>
        <v>5</v>
      </c>
      <c r="BU27" s="4">
        <v>600.0</v>
      </c>
      <c r="BV27" s="4">
        <v>1.0</v>
      </c>
      <c r="BW27" s="4">
        <f t="shared" si="122"/>
        <v>5</v>
      </c>
      <c r="BX27" s="4">
        <f t="shared" si="123"/>
        <v>25</v>
      </c>
      <c r="BY27" s="4">
        <v>5.0</v>
      </c>
      <c r="BZ27" s="4">
        <f t="shared" si="124"/>
        <v>0.25</v>
      </c>
      <c r="CA27" s="4">
        <v>1.0</v>
      </c>
      <c r="CB27" s="4">
        <f t="shared" si="86"/>
        <v>2.5</v>
      </c>
      <c r="CC27" s="4">
        <f t="shared" si="125"/>
        <v>0.25</v>
      </c>
      <c r="CD27" s="4">
        <v>3000.0</v>
      </c>
      <c r="CE27" s="4">
        <v>1700.0</v>
      </c>
      <c r="CF27" s="4">
        <v>5.0</v>
      </c>
      <c r="CG27" s="4"/>
      <c r="CH27" s="4">
        <f t="shared" ref="CH27:CI27" si="135">0.5*0.001</f>
        <v>0.0005</v>
      </c>
      <c r="CI27" s="4">
        <f t="shared" si="135"/>
        <v>0.0005</v>
      </c>
      <c r="CJ27" s="4">
        <f t="shared" si="128"/>
        <v>0.25</v>
      </c>
      <c r="CK27" s="4">
        <v>23.12</v>
      </c>
      <c r="CL27" s="4"/>
      <c r="CM27" s="4"/>
      <c r="CN27" s="4">
        <v>0.0</v>
      </c>
      <c r="CO27" s="4">
        <v>1156.07</v>
      </c>
      <c r="CP27" s="4"/>
      <c r="CQ27" s="4"/>
      <c r="CR27" s="4"/>
      <c r="CS27" s="4">
        <v>33526.01</v>
      </c>
      <c r="CT27" s="4">
        <v>1156.07</v>
      </c>
      <c r="CU27" s="4"/>
      <c r="CV27" s="4">
        <v>0.0</v>
      </c>
    </row>
    <row r="28">
      <c r="A28" s="4" t="s">
        <v>265</v>
      </c>
      <c r="B28" s="4" t="s">
        <v>266</v>
      </c>
      <c r="C28" s="5" t="s">
        <v>260</v>
      </c>
      <c r="D28" s="5" t="s">
        <v>267</v>
      </c>
      <c r="E28" s="4" t="s">
        <v>242</v>
      </c>
      <c r="F28" s="4" t="s">
        <v>105</v>
      </c>
      <c r="G28" s="4" t="s">
        <v>106</v>
      </c>
      <c r="H28" s="4" t="s">
        <v>268</v>
      </c>
      <c r="J28" s="4" t="s">
        <v>269</v>
      </c>
      <c r="K28" s="4" t="s">
        <v>270</v>
      </c>
      <c r="L28" s="4">
        <v>-25.1072</v>
      </c>
      <c r="M28" s="4">
        <v>-57.5469</v>
      </c>
      <c r="N28" s="4"/>
      <c r="O28" s="4"/>
      <c r="P28" s="4">
        <v>803.5</v>
      </c>
      <c r="Q28" s="4">
        <v>91.0</v>
      </c>
      <c r="R28" s="4">
        <v>7.35</v>
      </c>
      <c r="S28" s="4">
        <v>-25.1</v>
      </c>
      <c r="T28" s="4">
        <v>1248.0</v>
      </c>
      <c r="U28" s="4">
        <v>0.6</v>
      </c>
      <c r="V28" s="4">
        <v>23.4</v>
      </c>
      <c r="W28" s="4">
        <v>3.77</v>
      </c>
      <c r="X28" s="4">
        <v>44.2</v>
      </c>
      <c r="Y28" s="4">
        <v>41.8</v>
      </c>
      <c r="Z28" s="4">
        <v>792.0</v>
      </c>
      <c r="AA28" s="4">
        <v>753.0</v>
      </c>
      <c r="AB28" s="4">
        <v>38.1</v>
      </c>
      <c r="AC28" s="4">
        <v>125.0</v>
      </c>
      <c r="AD28" s="4">
        <v>118.3</v>
      </c>
      <c r="AE28" s="4">
        <v>0.0</v>
      </c>
      <c r="AF28" s="4">
        <v>52.0</v>
      </c>
      <c r="AG28" s="4">
        <v>187.8</v>
      </c>
      <c r="AH28" s="4">
        <v>117.1</v>
      </c>
      <c r="AI28" s="4">
        <v>34.3</v>
      </c>
      <c r="AJ28" s="4">
        <v>3.47</v>
      </c>
      <c r="AK28" s="4">
        <v>183.1</v>
      </c>
      <c r="AL28" s="4">
        <v>3.37</v>
      </c>
      <c r="AM28" s="4">
        <v>36.7</v>
      </c>
      <c r="AN28" s="4">
        <v>6.44</v>
      </c>
      <c r="AO28" s="4">
        <v>185.31</v>
      </c>
      <c r="AP28" s="4">
        <v>4.49</v>
      </c>
      <c r="AQ28" s="4">
        <v>0.684</v>
      </c>
      <c r="AR28" s="4">
        <v>0.177</v>
      </c>
      <c r="AS28" s="4">
        <v>0.406</v>
      </c>
      <c r="AT28" s="4">
        <v>0.136</v>
      </c>
      <c r="AU28" s="4">
        <v>1.58</v>
      </c>
      <c r="AV28" s="4">
        <v>0.416</v>
      </c>
      <c r="AW28" s="4">
        <v>12.7</v>
      </c>
      <c r="AX28" s="4">
        <v>145.02</v>
      </c>
      <c r="AY28" s="4"/>
      <c r="AZ28" s="4">
        <v>160000.0</v>
      </c>
      <c r="BA28" s="4">
        <v>400.0</v>
      </c>
      <c r="BB28" s="6">
        <v>7.392E7</v>
      </c>
      <c r="BC28" s="4">
        <f t="shared" ref="BC28:BD28" si="136">0.5*10</f>
        <v>5</v>
      </c>
      <c r="BD28" s="4">
        <f t="shared" si="136"/>
        <v>5</v>
      </c>
      <c r="BE28" s="4">
        <f t="shared" ref="BE28:BF28" si="137">0.5*50</f>
        <v>25</v>
      </c>
      <c r="BF28" s="4">
        <f t="shared" si="137"/>
        <v>25</v>
      </c>
      <c r="BG28" s="4">
        <f t="shared" si="72"/>
        <v>5</v>
      </c>
      <c r="BH28" s="4">
        <v>200.0</v>
      </c>
      <c r="BI28" s="4">
        <f t="shared" ref="BI28:BI30" si="141">0.5*1</f>
        <v>0.5</v>
      </c>
      <c r="BJ28" s="4">
        <f t="shared" si="74"/>
        <v>5</v>
      </c>
      <c r="BK28" s="4">
        <f t="shared" si="75"/>
        <v>25</v>
      </c>
      <c r="BL28" s="4">
        <v>2.0</v>
      </c>
      <c r="BM28" s="4">
        <f t="shared" si="76"/>
        <v>0.25</v>
      </c>
      <c r="BN28" s="4">
        <f t="shared" si="77"/>
        <v>0.5</v>
      </c>
      <c r="BO28" s="4">
        <f t="shared" si="78"/>
        <v>2.5</v>
      </c>
      <c r="BP28" s="4">
        <f t="shared" si="79"/>
        <v>0.25</v>
      </c>
      <c r="BQ28" s="4">
        <v>300.0</v>
      </c>
      <c r="BR28" s="4">
        <v>100.0</v>
      </c>
      <c r="BS28" s="4">
        <f>0.5*1</f>
        <v>0.5</v>
      </c>
      <c r="BT28" s="4">
        <f t="shared" si="121"/>
        <v>5</v>
      </c>
      <c r="BU28" s="4">
        <v>200.0</v>
      </c>
      <c r="BV28" s="4">
        <f t="shared" ref="BV28:BV30" si="142">0.5*1</f>
        <v>0.5</v>
      </c>
      <c r="BW28" s="4">
        <f t="shared" si="122"/>
        <v>5</v>
      </c>
      <c r="BX28" s="4">
        <f t="shared" si="123"/>
        <v>25</v>
      </c>
      <c r="BY28" s="4">
        <v>2.0</v>
      </c>
      <c r="BZ28" s="4">
        <f t="shared" si="124"/>
        <v>0.25</v>
      </c>
      <c r="CA28" s="4">
        <v>1.0</v>
      </c>
      <c r="CB28" s="4">
        <f t="shared" si="86"/>
        <v>2.5</v>
      </c>
      <c r="CC28" s="4">
        <f t="shared" si="125"/>
        <v>0.25</v>
      </c>
      <c r="CD28" s="4">
        <v>2000.0</v>
      </c>
      <c r="CE28" s="4">
        <v>100.0</v>
      </c>
      <c r="CF28" s="4">
        <f>0.5*1</f>
        <v>0.5</v>
      </c>
      <c r="CG28" s="4"/>
      <c r="CH28" s="4">
        <f t="shared" ref="CH28:CI28" si="138">0.5*0.001</f>
        <v>0.0005</v>
      </c>
      <c r="CI28" s="4">
        <f t="shared" si="138"/>
        <v>0.0005</v>
      </c>
      <c r="CJ28" s="4">
        <f t="shared" si="128"/>
        <v>0.25</v>
      </c>
      <c r="CK28" s="4"/>
      <c r="CL28" s="4"/>
      <c r="CM28" s="4"/>
      <c r="CN28" s="4">
        <v>0.0</v>
      </c>
      <c r="CO28" s="4">
        <v>0.0</v>
      </c>
      <c r="CP28" s="4"/>
      <c r="CQ28" s="4"/>
      <c r="CR28" s="4"/>
      <c r="CS28" s="4">
        <v>44619.42</v>
      </c>
      <c r="CT28" s="4">
        <v>0.0</v>
      </c>
      <c r="CU28" s="4"/>
      <c r="CV28" s="4"/>
    </row>
    <row r="29">
      <c r="A29" s="4" t="s">
        <v>271</v>
      </c>
      <c r="B29" s="4" t="s">
        <v>272</v>
      </c>
      <c r="C29" s="5" t="s">
        <v>273</v>
      </c>
      <c r="D29" s="5" t="s">
        <v>274</v>
      </c>
      <c r="E29" s="4" t="s">
        <v>242</v>
      </c>
      <c r="F29" s="4" t="s">
        <v>105</v>
      </c>
      <c r="G29" s="4" t="s">
        <v>106</v>
      </c>
      <c r="H29" s="4" t="s">
        <v>128</v>
      </c>
      <c r="I29" s="4" t="s">
        <v>275</v>
      </c>
      <c r="J29" s="4" t="s">
        <v>276</v>
      </c>
      <c r="K29" s="4" t="s">
        <v>277</v>
      </c>
      <c r="L29" s="4">
        <v>-24.7483</v>
      </c>
      <c r="M29" s="4">
        <v>-58.8331</v>
      </c>
      <c r="N29" s="4"/>
      <c r="O29" s="4"/>
      <c r="P29" s="4">
        <v>26.0</v>
      </c>
      <c r="Q29" s="4">
        <v>262.0</v>
      </c>
      <c r="R29" s="4">
        <v>8.3</v>
      </c>
      <c r="S29" s="4">
        <v>-81.6</v>
      </c>
      <c r="T29" s="4">
        <v>38400.0</v>
      </c>
      <c r="U29" s="4">
        <v>24.4</v>
      </c>
      <c r="V29" s="4">
        <v>24.7</v>
      </c>
      <c r="W29" s="4">
        <v>10.61</v>
      </c>
      <c r="X29" s="4">
        <v>129.6</v>
      </c>
      <c r="Y29" s="4">
        <v>4.69</v>
      </c>
      <c r="Z29" s="4">
        <v>30068.8</v>
      </c>
      <c r="AA29" s="4">
        <v>30036.0</v>
      </c>
      <c r="AB29" s="4">
        <v>32.8</v>
      </c>
      <c r="AC29" s="4">
        <v>10.0</v>
      </c>
      <c r="AD29" s="4">
        <v>4100.0</v>
      </c>
      <c r="AE29" s="4">
        <v>75.0</v>
      </c>
      <c r="AF29" s="4">
        <v>525.0</v>
      </c>
      <c r="AG29" s="4">
        <v>6462.0</v>
      </c>
      <c r="AH29" s="4">
        <v>9684.7</v>
      </c>
      <c r="AI29" s="4">
        <v>1286.6</v>
      </c>
      <c r="AJ29" s="4">
        <v>194.5</v>
      </c>
      <c r="AK29" s="4">
        <v>7874.86</v>
      </c>
      <c r="AL29" s="4">
        <v>4.74</v>
      </c>
      <c r="AM29" s="4">
        <v>1302.6</v>
      </c>
      <c r="AN29" s="4">
        <v>206.7</v>
      </c>
      <c r="AO29" s="4">
        <v>8014.62</v>
      </c>
      <c r="AP29" s="4">
        <v>5.34</v>
      </c>
      <c r="AQ29" s="4">
        <v>4.29</v>
      </c>
      <c r="AR29" s="4">
        <v>1.0</v>
      </c>
      <c r="AS29" s="4">
        <v>0.12</v>
      </c>
      <c r="AT29" s="4">
        <v>0.046</v>
      </c>
      <c r="AU29" s="4">
        <v>0.071</v>
      </c>
      <c r="AV29" s="4">
        <v>0.216</v>
      </c>
      <c r="AW29" s="4">
        <v>3.7</v>
      </c>
      <c r="AX29" s="4">
        <v>388.63</v>
      </c>
      <c r="AY29" s="4"/>
      <c r="AZ29" s="4">
        <v>64000.0</v>
      </c>
      <c r="BA29" s="4">
        <v>1200.0</v>
      </c>
      <c r="BB29" s="6">
        <v>1.584E7</v>
      </c>
      <c r="BC29" s="4">
        <f t="shared" ref="BC29:BD29" si="139">0.5*10</f>
        <v>5</v>
      </c>
      <c r="BD29" s="4">
        <f t="shared" si="139"/>
        <v>5</v>
      </c>
      <c r="BE29" s="4">
        <f t="shared" ref="BE29:BF29" si="140">0.5*50</f>
        <v>25</v>
      </c>
      <c r="BF29" s="4">
        <f t="shared" si="140"/>
        <v>25</v>
      </c>
      <c r="BG29" s="4">
        <f t="shared" si="72"/>
        <v>5</v>
      </c>
      <c r="BH29" s="4">
        <v>100.0</v>
      </c>
      <c r="BI29" s="4">
        <f t="shared" si="141"/>
        <v>0.5</v>
      </c>
      <c r="BJ29" s="4">
        <f t="shared" si="74"/>
        <v>5</v>
      </c>
      <c r="BK29" s="4">
        <f t="shared" si="75"/>
        <v>25</v>
      </c>
      <c r="BL29" s="4">
        <v>5.0</v>
      </c>
      <c r="BM29" s="4">
        <f t="shared" si="76"/>
        <v>0.25</v>
      </c>
      <c r="BN29" s="4">
        <f t="shared" si="77"/>
        <v>0.5</v>
      </c>
      <c r="BO29" s="4">
        <f t="shared" si="78"/>
        <v>2.5</v>
      </c>
      <c r="BP29" s="4">
        <f t="shared" si="79"/>
        <v>0.25</v>
      </c>
      <c r="BQ29" s="4">
        <f t="shared" ref="BQ29:BQ32" si="146">0.5*100</f>
        <v>50</v>
      </c>
      <c r="BR29" s="4">
        <v>6100.0</v>
      </c>
      <c r="BS29" s="4">
        <v>6.0</v>
      </c>
      <c r="BT29" s="4">
        <f t="shared" si="121"/>
        <v>5</v>
      </c>
      <c r="BU29" s="4">
        <v>100.0</v>
      </c>
      <c r="BV29" s="4">
        <f t="shared" si="142"/>
        <v>0.5</v>
      </c>
      <c r="BW29" s="4">
        <f t="shared" si="122"/>
        <v>5</v>
      </c>
      <c r="BX29" s="4">
        <f t="shared" si="123"/>
        <v>25</v>
      </c>
      <c r="BY29" s="4">
        <v>5.0</v>
      </c>
      <c r="BZ29" s="4">
        <f t="shared" si="124"/>
        <v>0.25</v>
      </c>
      <c r="CA29" s="4">
        <f>0.5*1</f>
        <v>0.5</v>
      </c>
      <c r="CB29" s="4">
        <f t="shared" si="86"/>
        <v>2.5</v>
      </c>
      <c r="CC29" s="4">
        <f t="shared" si="125"/>
        <v>0.25</v>
      </c>
      <c r="CD29" s="4">
        <f>0.5*100</f>
        <v>50</v>
      </c>
      <c r="CE29" s="4">
        <v>6200.0</v>
      </c>
      <c r="CF29" s="4">
        <v>7.0</v>
      </c>
      <c r="CG29" s="4"/>
      <c r="CH29" s="4">
        <f t="shared" ref="CH29:CI29" si="143">0.5*0.001</f>
        <v>0.0005</v>
      </c>
      <c r="CI29" s="4">
        <f t="shared" si="143"/>
        <v>0.0005</v>
      </c>
      <c r="CJ29" s="4">
        <f t="shared" si="128"/>
        <v>0.25</v>
      </c>
      <c r="CK29" s="4">
        <v>30.49</v>
      </c>
      <c r="CL29" s="4"/>
      <c r="CM29" s="4"/>
      <c r="CN29" s="4">
        <v>0.0</v>
      </c>
      <c r="CO29" s="4">
        <v>3048.78</v>
      </c>
      <c r="CP29" s="4"/>
      <c r="CQ29" s="4"/>
      <c r="CR29" s="4"/>
      <c r="CS29" s="4"/>
      <c r="CT29" s="4">
        <v>0.0</v>
      </c>
      <c r="CU29" s="4"/>
      <c r="CV29" s="4"/>
    </row>
    <row r="30">
      <c r="A30" s="4" t="s">
        <v>278</v>
      </c>
      <c r="B30" s="4" t="s">
        <v>279</v>
      </c>
      <c r="C30" s="5" t="s">
        <v>280</v>
      </c>
      <c r="D30" s="5" t="s">
        <v>281</v>
      </c>
      <c r="E30" s="4" t="s">
        <v>242</v>
      </c>
      <c r="F30" s="4" t="s">
        <v>105</v>
      </c>
      <c r="G30" s="4" t="s">
        <v>106</v>
      </c>
      <c r="H30" s="4" t="s">
        <v>128</v>
      </c>
      <c r="J30" s="4" t="s">
        <v>282</v>
      </c>
      <c r="K30" s="4" t="s">
        <v>283</v>
      </c>
      <c r="L30" s="4">
        <v>-23.4543</v>
      </c>
      <c r="M30" s="4">
        <v>-60.8798</v>
      </c>
      <c r="N30" s="4"/>
      <c r="O30" s="4"/>
      <c r="P30" s="4">
        <v>887.0</v>
      </c>
      <c r="Q30" s="4">
        <v>200.9</v>
      </c>
      <c r="R30" s="4">
        <v>8.28</v>
      </c>
      <c r="S30" s="4">
        <v>-78.6</v>
      </c>
      <c r="T30" s="4">
        <v>1128.0</v>
      </c>
      <c r="U30" s="4">
        <v>0.5</v>
      </c>
      <c r="V30" s="4">
        <v>19.7</v>
      </c>
      <c r="W30" s="4">
        <v>8.85</v>
      </c>
      <c r="X30" s="4">
        <v>98.6</v>
      </c>
      <c r="Y30" s="4">
        <v>71.8</v>
      </c>
      <c r="Z30" s="4">
        <v>815.8</v>
      </c>
      <c r="AA30" s="4">
        <v>766.0</v>
      </c>
      <c r="AB30" s="4">
        <v>49.8</v>
      </c>
      <c r="AC30" s="4">
        <v>125.0</v>
      </c>
      <c r="AD30" s="4">
        <v>328.0</v>
      </c>
      <c r="AE30" s="4">
        <v>10.0</v>
      </c>
      <c r="AF30" s="4">
        <v>112.0</v>
      </c>
      <c r="AG30" s="4">
        <v>105.0</v>
      </c>
      <c r="AH30" s="4">
        <v>312.8</v>
      </c>
      <c r="AI30" s="4">
        <v>69.7</v>
      </c>
      <c r="AJ30" s="4">
        <v>35.9</v>
      </c>
      <c r="AK30" s="4">
        <v>91.62</v>
      </c>
      <c r="AL30" s="4">
        <v>3.66</v>
      </c>
      <c r="AM30" s="4">
        <v>72.9</v>
      </c>
      <c r="AN30" s="4">
        <v>35.5</v>
      </c>
      <c r="AO30" s="4">
        <v>98.64</v>
      </c>
      <c r="AP30" s="4">
        <v>3.7</v>
      </c>
      <c r="AQ30" s="4">
        <v>0.432</v>
      </c>
      <c r="AR30" s="4">
        <v>0.107</v>
      </c>
      <c r="AS30" s="4">
        <v>0.149</v>
      </c>
      <c r="AT30" s="4">
        <v>0.355</v>
      </c>
      <c r="AU30" s="4">
        <v>3.61</v>
      </c>
      <c r="AV30" s="4">
        <v>0.36</v>
      </c>
      <c r="AW30" s="4">
        <v>8.4</v>
      </c>
      <c r="AX30" s="4">
        <v>52.13</v>
      </c>
      <c r="AY30" s="4"/>
      <c r="AZ30" s="4">
        <v>120000.0</v>
      </c>
      <c r="BA30" s="4">
        <v>11200.0</v>
      </c>
      <c r="BB30" s="6">
        <v>1.936E7</v>
      </c>
      <c r="BC30" s="4">
        <f t="shared" ref="BC30:BD30" si="144">0.5*10</f>
        <v>5</v>
      </c>
      <c r="BD30" s="4">
        <f t="shared" si="144"/>
        <v>5</v>
      </c>
      <c r="BE30" s="4">
        <f t="shared" ref="BE30:BF30" si="145">0.5*50</f>
        <v>25</v>
      </c>
      <c r="BF30" s="4">
        <f t="shared" si="145"/>
        <v>25</v>
      </c>
      <c r="BG30" s="4">
        <f t="shared" si="72"/>
        <v>5</v>
      </c>
      <c r="BH30" s="4">
        <f t="shared" ref="BH30:BH32" si="150">0.5*50</f>
        <v>25</v>
      </c>
      <c r="BI30" s="4">
        <f t="shared" si="141"/>
        <v>0.5</v>
      </c>
      <c r="BJ30" s="4">
        <f t="shared" si="74"/>
        <v>5</v>
      </c>
      <c r="BK30" s="4">
        <f t="shared" si="75"/>
        <v>25</v>
      </c>
      <c r="BL30" s="4">
        <v>1.0</v>
      </c>
      <c r="BM30" s="4">
        <f t="shared" si="76"/>
        <v>0.25</v>
      </c>
      <c r="BN30" s="4">
        <f t="shared" si="77"/>
        <v>0.5</v>
      </c>
      <c r="BO30" s="4">
        <f t="shared" si="78"/>
        <v>2.5</v>
      </c>
      <c r="BP30" s="4">
        <f t="shared" si="79"/>
        <v>0.25</v>
      </c>
      <c r="BQ30" s="4">
        <f t="shared" si="146"/>
        <v>50</v>
      </c>
      <c r="BR30" s="4">
        <v>500.0</v>
      </c>
      <c r="BS30" s="4">
        <f t="shared" ref="BS30:BS40" si="151">0.5*1</f>
        <v>0.5</v>
      </c>
      <c r="BT30" s="4">
        <f t="shared" si="121"/>
        <v>5</v>
      </c>
      <c r="BU30" s="4">
        <f>0.5*50</f>
        <v>25</v>
      </c>
      <c r="BV30" s="4">
        <f t="shared" si="142"/>
        <v>0.5</v>
      </c>
      <c r="BW30" s="4">
        <f t="shared" si="122"/>
        <v>5</v>
      </c>
      <c r="BX30" s="4">
        <f t="shared" si="123"/>
        <v>25</v>
      </c>
      <c r="BY30" s="4">
        <v>2.0</v>
      </c>
      <c r="BZ30" s="4">
        <f t="shared" si="124"/>
        <v>0.25</v>
      </c>
      <c r="CA30" s="4">
        <v>1.0</v>
      </c>
      <c r="CB30" s="4">
        <f t="shared" si="86"/>
        <v>2.5</v>
      </c>
      <c r="CC30" s="4">
        <f t="shared" si="125"/>
        <v>0.25</v>
      </c>
      <c r="CD30" s="4">
        <v>2000.0</v>
      </c>
      <c r="CE30" s="4">
        <v>500.0</v>
      </c>
      <c r="CF30" s="4">
        <f t="shared" ref="CF30:CF32" si="152">0.5*1</f>
        <v>0.5</v>
      </c>
      <c r="CG30" s="4"/>
      <c r="CH30" s="4">
        <f t="shared" ref="CH30:CI30" si="147">0.5*0.001</f>
        <v>0.0005</v>
      </c>
      <c r="CI30" s="4">
        <f t="shared" si="147"/>
        <v>0.0005</v>
      </c>
      <c r="CJ30" s="4">
        <f t="shared" si="128"/>
        <v>0.25</v>
      </c>
      <c r="CK30" s="4"/>
      <c r="CL30" s="4"/>
      <c r="CM30" s="4"/>
      <c r="CN30" s="4">
        <v>20.08</v>
      </c>
      <c r="CO30" s="4">
        <v>0.0</v>
      </c>
      <c r="CP30" s="4"/>
      <c r="CQ30" s="4"/>
      <c r="CR30" s="4"/>
      <c r="CS30" s="4">
        <v>40160.64</v>
      </c>
      <c r="CT30" s="4"/>
      <c r="CU30" s="4"/>
      <c r="CV30" s="4"/>
    </row>
    <row r="31">
      <c r="A31" s="4" t="s">
        <v>284</v>
      </c>
      <c r="B31" s="4" t="s">
        <v>285</v>
      </c>
      <c r="C31" s="5" t="s">
        <v>280</v>
      </c>
      <c r="D31" s="5" t="s">
        <v>286</v>
      </c>
      <c r="E31" s="4" t="s">
        <v>242</v>
      </c>
      <c r="F31" s="4" t="s">
        <v>105</v>
      </c>
      <c r="G31" s="4" t="s">
        <v>106</v>
      </c>
      <c r="H31" s="4" t="s">
        <v>128</v>
      </c>
      <c r="I31" s="4" t="s">
        <v>275</v>
      </c>
      <c r="J31" s="4" t="s">
        <v>287</v>
      </c>
      <c r="K31" s="4" t="s">
        <v>288</v>
      </c>
      <c r="L31" s="4">
        <v>-23.577</v>
      </c>
      <c r="M31" s="4">
        <v>-60.58</v>
      </c>
      <c r="N31" s="4"/>
      <c r="O31" s="4"/>
      <c r="P31" s="4">
        <v>801.5</v>
      </c>
      <c r="Q31" s="4">
        <v>180.4</v>
      </c>
      <c r="R31" s="4">
        <v>8.11</v>
      </c>
      <c r="S31" s="4">
        <v>-69.1</v>
      </c>
      <c r="T31" s="4">
        <v>1248.0</v>
      </c>
      <c r="U31" s="4">
        <v>0.6</v>
      </c>
      <c r="V31" s="4">
        <v>18.9</v>
      </c>
      <c r="W31" s="4">
        <v>8.07</v>
      </c>
      <c r="X31" s="4">
        <v>88.7</v>
      </c>
      <c r="Y31" s="4">
        <v>184.0</v>
      </c>
      <c r="Z31" s="4">
        <v>1014.0</v>
      </c>
      <c r="AA31" s="4">
        <v>899.0</v>
      </c>
      <c r="AB31" s="4">
        <v>115.0</v>
      </c>
      <c r="AC31" s="4">
        <v>200.0</v>
      </c>
      <c r="AD31" s="4">
        <v>364.0</v>
      </c>
      <c r="AE31" s="4">
        <v>8.0</v>
      </c>
      <c r="AF31" s="4">
        <v>122.0</v>
      </c>
      <c r="AG31" s="4">
        <v>103.0</v>
      </c>
      <c r="AH31" s="4">
        <v>356.4</v>
      </c>
      <c r="AI31" s="4">
        <v>80.9</v>
      </c>
      <c r="AJ31" s="4">
        <v>35.9</v>
      </c>
      <c r="AK31" s="4">
        <v>135.54</v>
      </c>
      <c r="AL31" s="4">
        <v>10.02</v>
      </c>
      <c r="AM31" s="4">
        <v>86.5</v>
      </c>
      <c r="AN31" s="4">
        <v>38.4</v>
      </c>
      <c r="AO31" s="4">
        <v>138.03</v>
      </c>
      <c r="AP31" s="4">
        <v>10.26</v>
      </c>
      <c r="AQ31" s="4">
        <v>0.601</v>
      </c>
      <c r="AR31" s="4">
        <v>0.115</v>
      </c>
      <c r="AS31" s="4">
        <v>0.455</v>
      </c>
      <c r="AT31" s="4">
        <v>0.512</v>
      </c>
      <c r="AU31" s="4">
        <v>1.92</v>
      </c>
      <c r="AV31" s="4">
        <v>0.535</v>
      </c>
      <c r="AW31" s="4">
        <v>8.8</v>
      </c>
      <c r="AX31" s="4">
        <v>35.07</v>
      </c>
      <c r="AY31" s="4"/>
      <c r="AZ31" s="4">
        <v>200000.0</v>
      </c>
      <c r="BA31" s="4">
        <v>8000.0</v>
      </c>
      <c r="BB31" s="6">
        <v>4.4E7</v>
      </c>
      <c r="BC31" s="4">
        <f t="shared" ref="BC31:BD31" si="148">0.5*10</f>
        <v>5</v>
      </c>
      <c r="BD31" s="4">
        <f t="shared" si="148"/>
        <v>5</v>
      </c>
      <c r="BE31" s="4">
        <f t="shared" ref="BE31:BF31" si="149">0.5*50</f>
        <v>25</v>
      </c>
      <c r="BF31" s="4">
        <f t="shared" si="149"/>
        <v>25</v>
      </c>
      <c r="BG31" s="4">
        <f t="shared" si="72"/>
        <v>5</v>
      </c>
      <c r="BH31" s="4">
        <f t="shared" si="150"/>
        <v>25</v>
      </c>
      <c r="BI31" s="4">
        <v>1.0</v>
      </c>
      <c r="BJ31" s="4">
        <f t="shared" si="74"/>
        <v>5</v>
      </c>
      <c r="BK31" s="4">
        <f t="shared" si="75"/>
        <v>25</v>
      </c>
      <c r="BL31" s="4">
        <v>1.0</v>
      </c>
      <c r="BM31" s="4">
        <f t="shared" si="76"/>
        <v>0.25</v>
      </c>
      <c r="BN31" s="4">
        <f t="shared" si="77"/>
        <v>0.5</v>
      </c>
      <c r="BO31" s="4">
        <f t="shared" si="78"/>
        <v>2.5</v>
      </c>
      <c r="BP31" s="4">
        <f t="shared" si="79"/>
        <v>0.25</v>
      </c>
      <c r="BQ31" s="4">
        <f t="shared" si="146"/>
        <v>50</v>
      </c>
      <c r="BR31" s="4">
        <v>600.0</v>
      </c>
      <c r="BS31" s="4">
        <f t="shared" si="151"/>
        <v>0.5</v>
      </c>
      <c r="BT31" s="4">
        <f t="shared" si="121"/>
        <v>5</v>
      </c>
      <c r="BU31" s="4">
        <v>90.0</v>
      </c>
      <c r="BV31" s="4">
        <v>2.0</v>
      </c>
      <c r="BW31" s="4">
        <f t="shared" si="122"/>
        <v>5</v>
      </c>
      <c r="BX31" s="4">
        <f t="shared" si="123"/>
        <v>25</v>
      </c>
      <c r="BY31" s="4">
        <v>2.0</v>
      </c>
      <c r="BZ31" s="4">
        <f t="shared" si="124"/>
        <v>0.25</v>
      </c>
      <c r="CA31" s="4">
        <v>3.0</v>
      </c>
      <c r="CB31" s="4">
        <f t="shared" si="86"/>
        <v>2.5</v>
      </c>
      <c r="CC31" s="4">
        <f t="shared" si="125"/>
        <v>0.25</v>
      </c>
      <c r="CD31" s="4">
        <v>3000.0</v>
      </c>
      <c r="CE31" s="4">
        <v>600.0</v>
      </c>
      <c r="CF31" s="4">
        <f t="shared" si="152"/>
        <v>0.5</v>
      </c>
      <c r="CG31" s="4"/>
      <c r="CH31" s="4">
        <f t="shared" ref="CH31:CI31" si="153">0.5*0.001</f>
        <v>0.0005</v>
      </c>
      <c r="CI31" s="4">
        <f t="shared" si="153"/>
        <v>0.0005</v>
      </c>
      <c r="CJ31" s="4">
        <f t="shared" si="128"/>
        <v>0.25</v>
      </c>
      <c r="CK31" s="4"/>
      <c r="CL31" s="4"/>
      <c r="CM31" s="4"/>
      <c r="CN31" s="4">
        <v>8.7</v>
      </c>
      <c r="CO31" s="4">
        <v>0.0</v>
      </c>
      <c r="CP31" s="4"/>
      <c r="CQ31" s="4"/>
      <c r="CR31" s="4"/>
      <c r="CS31" s="4">
        <v>26086.96</v>
      </c>
      <c r="CT31" s="4">
        <v>782.61</v>
      </c>
      <c r="CU31" s="4"/>
      <c r="CV31" s="4">
        <v>8.7</v>
      </c>
    </row>
    <row r="32">
      <c r="A32" s="4" t="s">
        <v>289</v>
      </c>
      <c r="B32" s="4" t="s">
        <v>290</v>
      </c>
      <c r="C32" s="5" t="s">
        <v>291</v>
      </c>
      <c r="D32" s="5" t="s">
        <v>286</v>
      </c>
      <c r="E32" s="4" t="s">
        <v>242</v>
      </c>
      <c r="F32" s="4" t="s">
        <v>105</v>
      </c>
      <c r="G32" s="4" t="s">
        <v>106</v>
      </c>
      <c r="H32" s="4" t="s">
        <v>128</v>
      </c>
      <c r="J32" s="4" t="s">
        <v>292</v>
      </c>
      <c r="K32" s="4" t="s">
        <v>293</v>
      </c>
      <c r="L32" s="4">
        <v>-23.1721</v>
      </c>
      <c r="M32" s="4">
        <v>-61.6245</v>
      </c>
      <c r="N32" s="4"/>
      <c r="O32" s="4"/>
      <c r="P32" s="4">
        <v>940.5</v>
      </c>
      <c r="Q32" s="4">
        <v>174.1</v>
      </c>
      <c r="R32" s="4">
        <v>8.18</v>
      </c>
      <c r="S32" s="4">
        <v>-74.5</v>
      </c>
      <c r="T32" s="4">
        <v>1063.0</v>
      </c>
      <c r="U32" s="4">
        <v>0.5</v>
      </c>
      <c r="V32" s="4">
        <v>25.6</v>
      </c>
      <c r="W32" s="4">
        <v>6.92</v>
      </c>
      <c r="X32" s="4">
        <v>87.4</v>
      </c>
      <c r="Y32" s="4">
        <v>140.0</v>
      </c>
      <c r="Z32" s="4">
        <v>822.0</v>
      </c>
      <c r="AA32" s="4">
        <v>713.3</v>
      </c>
      <c r="AB32" s="4">
        <v>108.7</v>
      </c>
      <c r="AC32" s="4">
        <v>50.0</v>
      </c>
      <c r="AD32" s="4">
        <v>344.0</v>
      </c>
      <c r="AE32" s="4">
        <v>10.0</v>
      </c>
      <c r="AF32" s="4">
        <v>115.0</v>
      </c>
      <c r="AG32" s="4">
        <v>68.0</v>
      </c>
      <c r="AH32" s="4">
        <v>315.2</v>
      </c>
      <c r="AI32" s="4">
        <v>79.3</v>
      </c>
      <c r="AJ32" s="4">
        <v>29.6</v>
      </c>
      <c r="AK32" s="4">
        <v>97.64</v>
      </c>
      <c r="AL32" s="4">
        <v>8.81</v>
      </c>
      <c r="AM32" s="4">
        <v>85.7</v>
      </c>
      <c r="AN32" s="4">
        <v>31.6</v>
      </c>
      <c r="AO32" s="4">
        <v>102.25</v>
      </c>
      <c r="AP32" s="4">
        <v>9.49</v>
      </c>
      <c r="AQ32" s="4">
        <v>0.549</v>
      </c>
      <c r="AR32" s="4">
        <v>0.118</v>
      </c>
      <c r="AS32" s="4">
        <v>0.155</v>
      </c>
      <c r="AT32" s="4">
        <v>0.118</v>
      </c>
      <c r="AU32" s="4">
        <v>2.5</v>
      </c>
      <c r="AV32" s="4">
        <v>0.216</v>
      </c>
      <c r="AW32" s="4">
        <v>2.5</v>
      </c>
      <c r="AX32" s="4">
        <v>39.81</v>
      </c>
      <c r="AY32" s="4"/>
      <c r="AZ32" s="4">
        <v>160000.0</v>
      </c>
      <c r="BA32" s="4">
        <v>1200.0</v>
      </c>
      <c r="BB32" s="6">
        <v>2.112E7</v>
      </c>
      <c r="BC32" s="4">
        <f t="shared" ref="BC32:BD32" si="154">0.5*10</f>
        <v>5</v>
      </c>
      <c r="BD32" s="4">
        <f t="shared" si="154"/>
        <v>5</v>
      </c>
      <c r="BE32" s="4">
        <f t="shared" ref="BE32:BF32" si="155">0.5*50</f>
        <v>25</v>
      </c>
      <c r="BF32" s="4">
        <f t="shared" si="155"/>
        <v>25</v>
      </c>
      <c r="BG32" s="4">
        <f t="shared" si="72"/>
        <v>5</v>
      </c>
      <c r="BH32" s="4">
        <f t="shared" si="150"/>
        <v>25</v>
      </c>
      <c r="BI32" s="4">
        <f>0.5*1</f>
        <v>0.5</v>
      </c>
      <c r="BJ32" s="4">
        <f t="shared" si="74"/>
        <v>5</v>
      </c>
      <c r="BK32" s="4">
        <f t="shared" si="75"/>
        <v>25</v>
      </c>
      <c r="BL32" s="4">
        <v>1.0</v>
      </c>
      <c r="BM32" s="4">
        <f t="shared" si="76"/>
        <v>0.25</v>
      </c>
      <c r="BN32" s="4">
        <f t="shared" si="77"/>
        <v>0.5</v>
      </c>
      <c r="BO32" s="4">
        <f t="shared" si="78"/>
        <v>2.5</v>
      </c>
      <c r="BP32" s="4">
        <f t="shared" si="79"/>
        <v>0.25</v>
      </c>
      <c r="BQ32" s="4">
        <f t="shared" si="146"/>
        <v>50</v>
      </c>
      <c r="BR32" s="4">
        <v>400.0</v>
      </c>
      <c r="BS32" s="4">
        <f t="shared" si="151"/>
        <v>0.5</v>
      </c>
      <c r="BT32" s="4">
        <f t="shared" si="121"/>
        <v>5</v>
      </c>
      <c r="BU32" s="4">
        <f>0.5*50</f>
        <v>25</v>
      </c>
      <c r="BV32" s="4">
        <v>2.0</v>
      </c>
      <c r="BW32" s="4">
        <f t="shared" si="122"/>
        <v>5</v>
      </c>
      <c r="BX32" s="4">
        <f t="shared" si="123"/>
        <v>25</v>
      </c>
      <c r="BY32" s="4">
        <v>2.0</v>
      </c>
      <c r="BZ32" s="4">
        <f t="shared" si="124"/>
        <v>0.25</v>
      </c>
      <c r="CA32" s="4">
        <v>3.0</v>
      </c>
      <c r="CB32" s="4">
        <f t="shared" si="86"/>
        <v>2.5</v>
      </c>
      <c r="CC32" s="4">
        <f t="shared" si="125"/>
        <v>0.25</v>
      </c>
      <c r="CD32" s="4">
        <v>4000.0</v>
      </c>
      <c r="CE32" s="4">
        <v>400.0</v>
      </c>
      <c r="CF32" s="4">
        <f t="shared" si="152"/>
        <v>0.5</v>
      </c>
      <c r="CG32" s="4"/>
      <c r="CH32" s="4">
        <f t="shared" ref="CH32:CI32" si="156">0.5*0.001</f>
        <v>0.0005</v>
      </c>
      <c r="CI32" s="4">
        <f t="shared" si="156"/>
        <v>0.0005</v>
      </c>
      <c r="CJ32" s="4">
        <f t="shared" si="128"/>
        <v>0.25</v>
      </c>
      <c r="CK32" s="4"/>
      <c r="CL32" s="4"/>
      <c r="CM32" s="4"/>
      <c r="CN32" s="4">
        <v>9.2</v>
      </c>
      <c r="CO32" s="4">
        <v>0.0</v>
      </c>
      <c r="CP32" s="4"/>
      <c r="CQ32" s="4"/>
      <c r="CR32" s="4"/>
      <c r="CS32" s="4">
        <v>36798.53</v>
      </c>
      <c r="CT32" s="4"/>
      <c r="CU32" s="4"/>
      <c r="CV32" s="4">
        <v>18.4</v>
      </c>
    </row>
    <row r="33">
      <c r="A33" s="4" t="s">
        <v>143</v>
      </c>
      <c r="B33" s="4" t="s">
        <v>144</v>
      </c>
      <c r="C33" s="5" t="s">
        <v>294</v>
      </c>
      <c r="D33" s="5" t="s">
        <v>295</v>
      </c>
      <c r="E33" s="4" t="s">
        <v>296</v>
      </c>
      <c r="F33" s="4" t="s">
        <v>105</v>
      </c>
      <c r="G33" s="4" t="s">
        <v>106</v>
      </c>
      <c r="H33" s="4" t="s">
        <v>143</v>
      </c>
      <c r="I33" s="4" t="s">
        <v>140</v>
      </c>
      <c r="J33" s="4" t="s">
        <v>297</v>
      </c>
      <c r="K33" s="4" t="s">
        <v>298</v>
      </c>
      <c r="L33" s="4">
        <v>-19.4719</v>
      </c>
      <c r="M33" s="4">
        <v>-65.7943</v>
      </c>
      <c r="N33" s="4">
        <v>0.584</v>
      </c>
      <c r="O33" s="4">
        <v>1.0</v>
      </c>
      <c r="P33" s="4">
        <v>1144.0</v>
      </c>
      <c r="Q33" s="4">
        <v>118.0</v>
      </c>
      <c r="R33" s="4">
        <v>7.79</v>
      </c>
      <c r="S33" s="4">
        <v>-45.7</v>
      </c>
      <c r="T33" s="4">
        <v>874.0</v>
      </c>
      <c r="U33" s="4">
        <v>0.4</v>
      </c>
      <c r="V33" s="4">
        <v>15.8</v>
      </c>
      <c r="W33" s="4">
        <v>5.62</v>
      </c>
      <c r="X33" s="4">
        <v>84.8</v>
      </c>
      <c r="Y33" s="4">
        <v>125.0</v>
      </c>
      <c r="Z33" s="4">
        <v>666.0</v>
      </c>
      <c r="AA33" s="4">
        <v>564.0</v>
      </c>
      <c r="AB33" s="4">
        <v>106.0</v>
      </c>
      <c r="AC33" s="4"/>
      <c r="AD33" s="4">
        <v>252.0</v>
      </c>
      <c r="AE33" s="4"/>
      <c r="AF33" s="4">
        <v>94.5</v>
      </c>
      <c r="AG33" s="4">
        <v>54.7</v>
      </c>
      <c r="AH33" s="4">
        <v>281.8</v>
      </c>
      <c r="AI33" s="4">
        <v>53.16</v>
      </c>
      <c r="AJ33" s="4">
        <v>18.82</v>
      </c>
      <c r="AK33" s="4">
        <v>94.3</v>
      </c>
      <c r="AL33" s="4">
        <v>13.84</v>
      </c>
      <c r="AM33" s="4">
        <v>53.3</v>
      </c>
      <c r="AN33" s="4">
        <v>19.09</v>
      </c>
      <c r="AO33" s="4">
        <v>97.06</v>
      </c>
      <c r="AP33" s="4">
        <v>14.24</v>
      </c>
      <c r="AQ33" s="4"/>
      <c r="AR33" s="4"/>
      <c r="AS33" s="4"/>
      <c r="AT33" s="4"/>
      <c r="AU33" s="4">
        <v>1.77</v>
      </c>
      <c r="AV33" s="4"/>
      <c r="AW33" s="4">
        <v>18.0</v>
      </c>
      <c r="AX33" s="4">
        <v>33.0</v>
      </c>
      <c r="AY33" s="4">
        <v>15.0</v>
      </c>
      <c r="AZ33" s="4"/>
      <c r="BA33" s="4"/>
      <c r="BB33" s="4"/>
      <c r="BC33" s="4">
        <f t="shared" ref="BC33:BD33" si="157">0.5*10</f>
        <v>5</v>
      </c>
      <c r="BD33" s="4">
        <f t="shared" si="157"/>
        <v>5</v>
      </c>
      <c r="BE33" s="4">
        <f t="shared" ref="BE33:BF33" si="158">0.5*50</f>
        <v>25</v>
      </c>
      <c r="BF33" s="4">
        <f t="shared" si="158"/>
        <v>25</v>
      </c>
      <c r="BG33" s="4">
        <f t="shared" si="72"/>
        <v>5</v>
      </c>
      <c r="BH33" s="4">
        <v>900.0</v>
      </c>
      <c r="BI33" s="4">
        <v>6.0</v>
      </c>
      <c r="BJ33" s="4">
        <v>18.0</v>
      </c>
      <c r="BK33" s="4">
        <v>2000.0</v>
      </c>
      <c r="BL33" s="4">
        <v>25.0</v>
      </c>
      <c r="BM33" s="4">
        <v>3.0</v>
      </c>
      <c r="BN33" s="4">
        <f t="shared" si="77"/>
        <v>0.5</v>
      </c>
      <c r="BO33" s="4">
        <f t="shared" si="78"/>
        <v>2.5</v>
      </c>
      <c r="BP33" s="4">
        <f t="shared" si="79"/>
        <v>0.25</v>
      </c>
      <c r="BQ33" s="4">
        <v>200.0</v>
      </c>
      <c r="BR33" s="4">
        <v>200.0</v>
      </c>
      <c r="BS33" s="4">
        <f t="shared" si="151"/>
        <v>0.5</v>
      </c>
      <c r="BT33" s="4">
        <f t="shared" si="121"/>
        <v>5</v>
      </c>
      <c r="BU33" s="4">
        <v>900.0</v>
      </c>
      <c r="BV33" s="4">
        <v>6.0</v>
      </c>
      <c r="BW33" s="4">
        <v>67.0</v>
      </c>
      <c r="BX33" s="4">
        <v>5000.0</v>
      </c>
      <c r="BY33" s="4">
        <v>78.0</v>
      </c>
      <c r="BZ33" s="4">
        <v>13.0</v>
      </c>
      <c r="CA33" s="4">
        <v>31.0</v>
      </c>
      <c r="CB33" s="4">
        <f t="shared" si="86"/>
        <v>2.5</v>
      </c>
      <c r="CC33" s="4">
        <f t="shared" si="125"/>
        <v>0.25</v>
      </c>
      <c r="CD33" s="4">
        <v>7000.0</v>
      </c>
      <c r="CE33" s="4">
        <v>300.0</v>
      </c>
      <c r="CF33" s="4">
        <v>4.0</v>
      </c>
      <c r="CG33" s="4">
        <f t="shared" ref="CG33:CG40" si="161">0.5*0.05</f>
        <v>0.025</v>
      </c>
      <c r="CH33" s="4">
        <v>0.005</v>
      </c>
      <c r="CI33" s="4"/>
      <c r="CJ33" s="4"/>
      <c r="CK33" s="4">
        <v>37.74</v>
      </c>
      <c r="CL33" s="4">
        <v>28301.89</v>
      </c>
      <c r="CM33" s="4">
        <v>161.89</v>
      </c>
      <c r="CN33" s="4">
        <v>500.0</v>
      </c>
      <c r="CO33" s="4">
        <v>943.4</v>
      </c>
      <c r="CP33" s="4">
        <v>94.34</v>
      </c>
      <c r="CQ33" s="4">
        <v>462.26</v>
      </c>
      <c r="CR33" s="4"/>
      <c r="CS33" s="4">
        <v>64150.94</v>
      </c>
      <c r="CT33" s="4">
        <v>0.0</v>
      </c>
      <c r="CU33" s="4"/>
      <c r="CV33" s="4">
        <v>0.0</v>
      </c>
    </row>
    <row r="34">
      <c r="A34" s="4" t="s">
        <v>162</v>
      </c>
      <c r="B34" s="4" t="s">
        <v>163</v>
      </c>
      <c r="C34" s="5" t="s">
        <v>294</v>
      </c>
      <c r="D34" s="5" t="s">
        <v>299</v>
      </c>
      <c r="E34" s="4" t="s">
        <v>296</v>
      </c>
      <c r="F34" s="4" t="s">
        <v>105</v>
      </c>
      <c r="G34" s="4" t="s">
        <v>106</v>
      </c>
      <c r="H34" s="4" t="s">
        <v>165</v>
      </c>
      <c r="I34" s="4" t="s">
        <v>140</v>
      </c>
      <c r="J34" s="4" t="s">
        <v>166</v>
      </c>
      <c r="K34" s="4" t="s">
        <v>300</v>
      </c>
      <c r="L34" s="4">
        <v>-19.3214</v>
      </c>
      <c r="M34" s="4">
        <v>-65.5519</v>
      </c>
      <c r="N34" s="4">
        <v>0.418</v>
      </c>
      <c r="O34" s="4">
        <v>0.0</v>
      </c>
      <c r="P34" s="4">
        <v>3255.0</v>
      </c>
      <c r="Q34" s="4">
        <v>136.2</v>
      </c>
      <c r="R34" s="4">
        <v>4.83</v>
      </c>
      <c r="S34" s="4">
        <v>117.4</v>
      </c>
      <c r="T34" s="4">
        <v>307.0</v>
      </c>
      <c r="U34" s="4">
        <v>0.1</v>
      </c>
      <c r="V34" s="4">
        <v>9.3</v>
      </c>
      <c r="W34" s="4">
        <v>7.44</v>
      </c>
      <c r="X34" s="4">
        <v>100.2</v>
      </c>
      <c r="Y34" s="4">
        <v>44.2</v>
      </c>
      <c r="Z34" s="4">
        <v>216.0</v>
      </c>
      <c r="AA34" s="4">
        <v>208.0</v>
      </c>
      <c r="AB34" s="4">
        <v>14.0</v>
      </c>
      <c r="AC34" s="4"/>
      <c r="AD34" s="4">
        <v>95.03</v>
      </c>
      <c r="AE34" s="4"/>
      <c r="AF34" s="4">
        <f>0.5*0.1</f>
        <v>0.05</v>
      </c>
      <c r="AG34" s="4">
        <v>4.39</v>
      </c>
      <c r="AH34" s="4">
        <v>125.5</v>
      </c>
      <c r="AI34" s="4">
        <v>9.48</v>
      </c>
      <c r="AJ34" s="4">
        <v>16.63</v>
      </c>
      <c r="AK34" s="4">
        <v>12.4</v>
      </c>
      <c r="AL34" s="4">
        <v>1.19</v>
      </c>
      <c r="AM34" s="4">
        <v>10.98</v>
      </c>
      <c r="AN34" s="4">
        <v>16.9</v>
      </c>
      <c r="AO34" s="4">
        <v>12.48</v>
      </c>
      <c r="AP34" s="4">
        <v>1.2</v>
      </c>
      <c r="AQ34" s="4"/>
      <c r="AR34" s="4"/>
      <c r="AS34" s="4"/>
      <c r="AT34" s="4"/>
      <c r="AU34" s="4">
        <v>1.64</v>
      </c>
      <c r="AV34" s="4"/>
      <c r="AW34" s="4">
        <f t="shared" ref="AW34:AW35" si="162">0.5*5</f>
        <v>2.5</v>
      </c>
      <c r="AX34" s="4">
        <f t="shared" ref="AX34:AX35" si="163">0.5*2</f>
        <v>1</v>
      </c>
      <c r="AY34" s="4">
        <v>6.0</v>
      </c>
      <c r="AZ34" s="4"/>
      <c r="BA34" s="4"/>
      <c r="BB34" s="4"/>
      <c r="BC34" s="4">
        <f t="shared" ref="BC34:BD34" si="159">0.5*10</f>
        <v>5</v>
      </c>
      <c r="BD34" s="4">
        <f t="shared" si="159"/>
        <v>5</v>
      </c>
      <c r="BE34" s="4">
        <f t="shared" ref="BE34:BF34" si="160">0.5*50</f>
        <v>25</v>
      </c>
      <c r="BF34" s="4">
        <f t="shared" si="160"/>
        <v>25</v>
      </c>
      <c r="BG34" s="4">
        <f t="shared" si="72"/>
        <v>5</v>
      </c>
      <c r="BH34" s="4">
        <v>4000.0</v>
      </c>
      <c r="BI34" s="4">
        <v>20.0</v>
      </c>
      <c r="BJ34" s="4">
        <v>375.0</v>
      </c>
      <c r="BK34" s="4">
        <v>990.0</v>
      </c>
      <c r="BL34" s="4">
        <f t="shared" ref="BL34:BL35" si="166">0.5*1</f>
        <v>0.5</v>
      </c>
      <c r="BM34" s="4">
        <v>3.0</v>
      </c>
      <c r="BN34" s="4">
        <f t="shared" si="77"/>
        <v>0.5</v>
      </c>
      <c r="BO34" s="4">
        <f t="shared" si="78"/>
        <v>2.5</v>
      </c>
      <c r="BP34" s="4">
        <f t="shared" si="79"/>
        <v>0.25</v>
      </c>
      <c r="BQ34" s="4">
        <v>4000.0</v>
      </c>
      <c r="BR34" s="4">
        <f>0.5*50</f>
        <v>25</v>
      </c>
      <c r="BS34" s="4">
        <f t="shared" si="151"/>
        <v>0.5</v>
      </c>
      <c r="BT34" s="4">
        <f t="shared" si="121"/>
        <v>5</v>
      </c>
      <c r="BU34" s="4">
        <v>4000.0</v>
      </c>
      <c r="BV34" s="4">
        <v>20.0</v>
      </c>
      <c r="BW34" s="4">
        <v>390.0</v>
      </c>
      <c r="BX34" s="4">
        <v>990.0</v>
      </c>
      <c r="BY34" s="4">
        <v>4.0</v>
      </c>
      <c r="BZ34" s="4">
        <v>3.0</v>
      </c>
      <c r="CA34" s="4">
        <v>3.0</v>
      </c>
      <c r="CB34" s="4">
        <f t="shared" si="86"/>
        <v>2.5</v>
      </c>
      <c r="CC34" s="4">
        <f t="shared" si="125"/>
        <v>0.25</v>
      </c>
      <c r="CD34" s="4">
        <v>15000.0</v>
      </c>
      <c r="CE34" s="4">
        <v>50.0</v>
      </c>
      <c r="CF34" s="4">
        <f t="shared" ref="CF34:CF35" si="167">0.5*1</f>
        <v>0.5</v>
      </c>
      <c r="CG34" s="4">
        <f t="shared" si="161"/>
        <v>0.025</v>
      </c>
      <c r="CH34" s="4">
        <v>0.004</v>
      </c>
      <c r="CI34" s="4"/>
      <c r="CJ34" s="4"/>
      <c r="CK34" s="4"/>
      <c r="CL34" s="4">
        <v>0.0</v>
      </c>
      <c r="CM34" s="4">
        <v>129.29</v>
      </c>
      <c r="CN34" s="4">
        <v>285.71</v>
      </c>
      <c r="CO34" s="4">
        <v>3571.43</v>
      </c>
      <c r="CP34" s="4">
        <v>0.0</v>
      </c>
      <c r="CQ34" s="4">
        <v>1071.43</v>
      </c>
      <c r="CR34" s="4"/>
      <c r="CS34" s="4">
        <v>785714.29</v>
      </c>
      <c r="CT34" s="4">
        <v>0.0</v>
      </c>
      <c r="CU34" s="4"/>
      <c r="CV34" s="4">
        <v>0.0</v>
      </c>
    </row>
    <row r="35">
      <c r="A35" s="4" t="s">
        <v>179</v>
      </c>
      <c r="B35" s="4" t="s">
        <v>180</v>
      </c>
      <c r="C35" s="5" t="s">
        <v>301</v>
      </c>
      <c r="D35" s="5" t="s">
        <v>302</v>
      </c>
      <c r="E35" s="4" t="s">
        <v>296</v>
      </c>
      <c r="F35" s="4" t="s">
        <v>105</v>
      </c>
      <c r="G35" s="4" t="s">
        <v>106</v>
      </c>
      <c r="H35" s="4" t="s">
        <v>183</v>
      </c>
      <c r="J35" s="4" t="s">
        <v>303</v>
      </c>
      <c r="K35" s="4" t="s">
        <v>304</v>
      </c>
      <c r="L35" s="4">
        <v>-19.1596</v>
      </c>
      <c r="M35" s="4">
        <v>-65.5567</v>
      </c>
      <c r="N35" s="4">
        <v>0.552</v>
      </c>
      <c r="O35" s="4">
        <v>0.0</v>
      </c>
      <c r="P35" s="4">
        <v>1532.0</v>
      </c>
      <c r="Q35" s="4">
        <v>145.8</v>
      </c>
      <c r="R35" s="4">
        <v>8.53</v>
      </c>
      <c r="S35" s="4">
        <v>-87.2</v>
      </c>
      <c r="T35" s="4">
        <v>653.0</v>
      </c>
      <c r="U35" s="4">
        <v>0.2</v>
      </c>
      <c r="V35" s="4">
        <v>20.0</v>
      </c>
      <c r="W35" s="4">
        <v>6.4</v>
      </c>
      <c r="X35" s="4">
        <v>99.5</v>
      </c>
      <c r="Y35" s="4">
        <v>6.95</v>
      </c>
      <c r="Z35" s="4">
        <v>428.0</v>
      </c>
      <c r="AA35" s="4">
        <v>426.0</v>
      </c>
      <c r="AB35" s="4">
        <v>7.0</v>
      </c>
      <c r="AC35" s="4"/>
      <c r="AD35" s="4">
        <v>324.0</v>
      </c>
      <c r="AE35" s="4"/>
      <c r="AF35" s="4">
        <v>131.5</v>
      </c>
      <c r="AG35" s="4">
        <v>15.04</v>
      </c>
      <c r="AH35" s="4">
        <v>100.0</v>
      </c>
      <c r="AI35" s="4">
        <v>27.0</v>
      </c>
      <c r="AJ35" s="4">
        <v>37.75</v>
      </c>
      <c r="AK35" s="4">
        <v>14.01</v>
      </c>
      <c r="AL35" s="4">
        <v>6.15</v>
      </c>
      <c r="AM35" s="4">
        <v>28.0</v>
      </c>
      <c r="AN35" s="4">
        <v>38.31</v>
      </c>
      <c r="AO35" s="4">
        <v>14.01</v>
      </c>
      <c r="AP35" s="4">
        <v>6.2</v>
      </c>
      <c r="AQ35" s="4"/>
      <c r="AR35" s="4"/>
      <c r="AS35" s="4"/>
      <c r="AT35" s="4"/>
      <c r="AU35" s="4">
        <v>1.03</v>
      </c>
      <c r="AV35" s="4"/>
      <c r="AW35" s="4">
        <f t="shared" si="162"/>
        <v>2.5</v>
      </c>
      <c r="AX35" s="4">
        <f t="shared" si="163"/>
        <v>1</v>
      </c>
      <c r="AY35" s="4">
        <v>6.0</v>
      </c>
      <c r="AZ35" s="4"/>
      <c r="BA35" s="4"/>
      <c r="BB35" s="4"/>
      <c r="BC35" s="4">
        <f t="shared" ref="BC35:BD35" si="164">0.5*10</f>
        <v>5</v>
      </c>
      <c r="BD35" s="4">
        <f t="shared" si="164"/>
        <v>5</v>
      </c>
      <c r="BE35" s="4">
        <f t="shared" ref="BE35:BF35" si="165">0.5*50</f>
        <v>25</v>
      </c>
      <c r="BF35" s="4">
        <f t="shared" si="165"/>
        <v>25</v>
      </c>
      <c r="BG35" s="4">
        <f t="shared" si="72"/>
        <v>5</v>
      </c>
      <c r="BH35" s="4">
        <v>100.0</v>
      </c>
      <c r="BI35" s="4">
        <f>0.5*1</f>
        <v>0.5</v>
      </c>
      <c r="BJ35" s="4">
        <f>0.5*10</f>
        <v>5</v>
      </c>
      <c r="BK35" s="4">
        <f>0.5*50</f>
        <v>25</v>
      </c>
      <c r="BL35" s="4">
        <f t="shared" si="166"/>
        <v>0.5</v>
      </c>
      <c r="BM35" s="4">
        <f>0.5*0.5</f>
        <v>0.25</v>
      </c>
      <c r="BN35" s="4">
        <f t="shared" si="77"/>
        <v>0.5</v>
      </c>
      <c r="BO35" s="4">
        <f t="shared" si="78"/>
        <v>2.5</v>
      </c>
      <c r="BP35" s="4">
        <f t="shared" si="79"/>
        <v>0.25</v>
      </c>
      <c r="BQ35" s="4">
        <f>0.5*100</f>
        <v>50</v>
      </c>
      <c r="BR35" s="4">
        <v>100.0</v>
      </c>
      <c r="BS35" s="4">
        <f t="shared" si="151"/>
        <v>0.5</v>
      </c>
      <c r="BT35" s="4">
        <f t="shared" si="121"/>
        <v>5</v>
      </c>
      <c r="BU35" s="4">
        <v>100.0</v>
      </c>
      <c r="BV35" s="4">
        <v>1.0</v>
      </c>
      <c r="BW35" s="4">
        <f>0.5*10</f>
        <v>5</v>
      </c>
      <c r="BX35" s="4">
        <f>0.5*50</f>
        <v>25</v>
      </c>
      <c r="BY35" s="4">
        <f>0.5*1</f>
        <v>0.5</v>
      </c>
      <c r="BZ35" s="4">
        <f>0.5*0.5</f>
        <v>0.25</v>
      </c>
      <c r="CA35" s="4">
        <f>0.5*1</f>
        <v>0.5</v>
      </c>
      <c r="CB35" s="4">
        <f t="shared" si="86"/>
        <v>2.5</v>
      </c>
      <c r="CC35" s="4">
        <f t="shared" si="125"/>
        <v>0.25</v>
      </c>
      <c r="CD35" s="4">
        <v>300.0</v>
      </c>
      <c r="CE35" s="4">
        <v>100.0</v>
      </c>
      <c r="CF35" s="4">
        <f t="shared" si="167"/>
        <v>0.5</v>
      </c>
      <c r="CG35" s="4">
        <f t="shared" si="161"/>
        <v>0.025</v>
      </c>
      <c r="CH35" s="4">
        <v>0.005</v>
      </c>
      <c r="CI35" s="4"/>
      <c r="CJ35" s="4"/>
      <c r="CK35" s="4"/>
      <c r="CL35" s="4"/>
      <c r="CM35" s="4"/>
      <c r="CN35" s="4"/>
      <c r="CO35" s="4">
        <v>0.0</v>
      </c>
      <c r="CP35" s="4"/>
      <c r="CQ35" s="4"/>
      <c r="CR35" s="4"/>
      <c r="CS35" s="4">
        <v>42857.14</v>
      </c>
      <c r="CT35" s="4">
        <v>0.0</v>
      </c>
      <c r="CU35" s="4"/>
      <c r="CV35" s="4">
        <v>142.86</v>
      </c>
    </row>
    <row r="36">
      <c r="A36" s="4" t="s">
        <v>186</v>
      </c>
      <c r="B36" s="4" t="s">
        <v>187</v>
      </c>
      <c r="C36" s="5" t="s">
        <v>301</v>
      </c>
      <c r="D36" s="5" t="s">
        <v>241</v>
      </c>
      <c r="E36" s="4" t="s">
        <v>296</v>
      </c>
      <c r="F36" s="4" t="s">
        <v>105</v>
      </c>
      <c r="G36" s="4" t="s">
        <v>106</v>
      </c>
      <c r="H36" s="4" t="s">
        <v>128</v>
      </c>
      <c r="J36" s="4" t="s">
        <v>305</v>
      </c>
      <c r="K36" s="4" t="s">
        <v>306</v>
      </c>
      <c r="L36" s="4">
        <v>-19.1322</v>
      </c>
      <c r="M36" s="4">
        <v>-65.5725</v>
      </c>
      <c r="N36" s="4">
        <v>0.887</v>
      </c>
      <c r="O36" s="4">
        <v>4.0</v>
      </c>
      <c r="P36" s="4">
        <v>989.0</v>
      </c>
      <c r="Q36" s="4">
        <v>153.6</v>
      </c>
      <c r="R36" s="4">
        <v>8.34</v>
      </c>
      <c r="S36" s="4">
        <v>-76.1</v>
      </c>
      <c r="T36" s="4">
        <v>1012.0</v>
      </c>
      <c r="U36" s="4">
        <v>0.4</v>
      </c>
      <c r="V36" s="4">
        <v>13.0</v>
      </c>
      <c r="W36" s="4">
        <v>7.72</v>
      </c>
      <c r="X36" s="4">
        <v>102.3</v>
      </c>
      <c r="Y36" s="4">
        <v>128.0</v>
      </c>
      <c r="Z36" s="4">
        <v>720.0</v>
      </c>
      <c r="AA36" s="4">
        <v>630.0</v>
      </c>
      <c r="AB36" s="4">
        <v>96.0</v>
      </c>
      <c r="AC36" s="4"/>
      <c r="AD36" s="4">
        <v>216.0</v>
      </c>
      <c r="AE36" s="4"/>
      <c r="AF36" s="4">
        <v>119.0</v>
      </c>
      <c r="AG36" s="4">
        <v>147.89</v>
      </c>
      <c r="AH36" s="4">
        <v>130.3</v>
      </c>
      <c r="AI36" s="4">
        <v>35.48</v>
      </c>
      <c r="AJ36" s="4">
        <v>21.05</v>
      </c>
      <c r="AK36" s="4">
        <v>124.15</v>
      </c>
      <c r="AL36" s="4">
        <v>10.72</v>
      </c>
      <c r="AM36" s="4">
        <v>34.68</v>
      </c>
      <c r="AN36" s="4">
        <v>20.77</v>
      </c>
      <c r="AO36" s="4">
        <v>123.57</v>
      </c>
      <c r="AP36" s="4">
        <v>10.91</v>
      </c>
      <c r="AQ36" s="4"/>
      <c r="AR36" s="4"/>
      <c r="AS36" s="4"/>
      <c r="AT36" s="4"/>
      <c r="AU36" s="4">
        <v>8.39</v>
      </c>
      <c r="AV36" s="4"/>
      <c r="AW36" s="4">
        <v>4.0</v>
      </c>
      <c r="AX36" s="4">
        <v>5.0</v>
      </c>
      <c r="AY36" s="4">
        <v>7.0</v>
      </c>
      <c r="AZ36" s="4"/>
      <c r="BA36" s="4"/>
      <c r="BB36" s="4"/>
      <c r="BC36" s="4">
        <f t="shared" ref="BC36:BD36" si="168">0.5*10</f>
        <v>5</v>
      </c>
      <c r="BD36" s="4">
        <f t="shared" si="168"/>
        <v>5</v>
      </c>
      <c r="BE36" s="4">
        <f t="shared" ref="BE36:BF36" si="169">0.5*50</f>
        <v>25</v>
      </c>
      <c r="BF36" s="4">
        <f t="shared" si="169"/>
        <v>25</v>
      </c>
      <c r="BG36" s="4">
        <f t="shared" si="72"/>
        <v>5</v>
      </c>
      <c r="BH36" s="4">
        <v>400.0</v>
      </c>
      <c r="BI36" s="4">
        <v>4.0</v>
      </c>
      <c r="BJ36" s="4">
        <v>45.0</v>
      </c>
      <c r="BK36" s="4">
        <v>2000.0</v>
      </c>
      <c r="BL36" s="4">
        <v>53.0</v>
      </c>
      <c r="BM36" s="4">
        <v>3.0</v>
      </c>
      <c r="BN36" s="4">
        <v>59.0</v>
      </c>
      <c r="BO36" s="4">
        <f t="shared" si="78"/>
        <v>2.5</v>
      </c>
      <c r="BP36" s="4">
        <f t="shared" si="79"/>
        <v>0.25</v>
      </c>
      <c r="BQ36" s="4">
        <v>4000.0</v>
      </c>
      <c r="BR36" s="4">
        <v>1500.0</v>
      </c>
      <c r="BS36" s="4">
        <f t="shared" si="151"/>
        <v>0.5</v>
      </c>
      <c r="BT36" s="4">
        <f t="shared" si="121"/>
        <v>5</v>
      </c>
      <c r="BU36" s="4">
        <v>400.0</v>
      </c>
      <c r="BV36" s="4">
        <v>9.0</v>
      </c>
      <c r="BW36" s="4">
        <v>46.0</v>
      </c>
      <c r="BX36" s="4">
        <v>2000.0</v>
      </c>
      <c r="BY36" s="4">
        <v>53.0</v>
      </c>
      <c r="BZ36" s="4">
        <v>3.0</v>
      </c>
      <c r="CA36" s="4">
        <v>79.0</v>
      </c>
      <c r="CB36" s="4">
        <f t="shared" si="86"/>
        <v>2.5</v>
      </c>
      <c r="CC36" s="4">
        <f t="shared" si="125"/>
        <v>0.25</v>
      </c>
      <c r="CD36" s="4">
        <v>5000.0</v>
      </c>
      <c r="CE36" s="4">
        <v>1700.0</v>
      </c>
      <c r="CF36" s="4">
        <v>1.0</v>
      </c>
      <c r="CG36" s="4">
        <f t="shared" si="161"/>
        <v>0.025</v>
      </c>
      <c r="CH36" s="4">
        <v>0.005</v>
      </c>
      <c r="CI36" s="4"/>
      <c r="CJ36" s="4"/>
      <c r="CK36" s="4">
        <v>10.42</v>
      </c>
      <c r="CL36" s="4">
        <v>0.0</v>
      </c>
      <c r="CM36" s="4">
        <v>711.25</v>
      </c>
      <c r="CN36" s="4">
        <v>0.0</v>
      </c>
      <c r="CO36" s="4">
        <v>2083.33</v>
      </c>
      <c r="CP36" s="4">
        <v>0.0</v>
      </c>
      <c r="CQ36" s="4">
        <v>10.42</v>
      </c>
      <c r="CR36" s="4"/>
      <c r="CS36" s="4">
        <v>10416.67</v>
      </c>
      <c r="CT36" s="4">
        <v>0.0</v>
      </c>
      <c r="CU36" s="4"/>
      <c r="CV36" s="4">
        <v>52.08</v>
      </c>
    </row>
    <row r="37">
      <c r="A37" s="4" t="s">
        <v>191</v>
      </c>
      <c r="B37" s="4" t="s">
        <v>192</v>
      </c>
      <c r="C37" s="5" t="s">
        <v>307</v>
      </c>
      <c r="D37" s="5" t="s">
        <v>308</v>
      </c>
      <c r="E37" s="4" t="s">
        <v>296</v>
      </c>
      <c r="F37" s="4" t="s">
        <v>105</v>
      </c>
      <c r="G37" s="4" t="s">
        <v>106</v>
      </c>
      <c r="H37" s="4" t="s">
        <v>131</v>
      </c>
      <c r="I37" s="4" t="s">
        <v>120</v>
      </c>
      <c r="J37" s="4" t="s">
        <v>309</v>
      </c>
      <c r="K37" s="4" t="s">
        <v>310</v>
      </c>
      <c r="L37" s="4">
        <v>-20.7423</v>
      </c>
      <c r="M37" s="4">
        <v>-65.2405</v>
      </c>
      <c r="N37" s="4">
        <v>0.382</v>
      </c>
      <c r="O37" s="4">
        <v>4.0</v>
      </c>
      <c r="P37" s="4">
        <v>843.0</v>
      </c>
      <c r="Q37" s="4">
        <v>164.9</v>
      </c>
      <c r="R37" s="4">
        <v>8.48</v>
      </c>
      <c r="S37" s="4">
        <v>-84.0</v>
      </c>
      <c r="T37" s="4">
        <v>1187.0</v>
      </c>
      <c r="U37" s="4">
        <v>0.5</v>
      </c>
      <c r="V37" s="4">
        <v>17.4</v>
      </c>
      <c r="W37" s="4">
        <v>7.6</v>
      </c>
      <c r="X37" s="4">
        <v>105.4</v>
      </c>
      <c r="Y37" s="4">
        <v>91.1</v>
      </c>
      <c r="Z37" s="4">
        <v>1010.0</v>
      </c>
      <c r="AA37" s="4">
        <v>974.0</v>
      </c>
      <c r="AB37" s="4">
        <v>38.0</v>
      </c>
      <c r="AC37" s="4"/>
      <c r="AD37" s="4">
        <v>520.0</v>
      </c>
      <c r="AE37" s="4"/>
      <c r="AF37" s="4">
        <v>115.0</v>
      </c>
      <c r="AG37" s="4">
        <v>40.18</v>
      </c>
      <c r="AH37" s="4">
        <v>505.4</v>
      </c>
      <c r="AI37" s="4">
        <v>53.64</v>
      </c>
      <c r="AJ37" s="4">
        <v>87.44</v>
      </c>
      <c r="AK37" s="4">
        <v>65.33</v>
      </c>
      <c r="AL37" s="4">
        <v>7.15</v>
      </c>
      <c r="AM37" s="4">
        <v>54.09</v>
      </c>
      <c r="AN37" s="4">
        <v>87.71</v>
      </c>
      <c r="AO37" s="4">
        <v>68.07</v>
      </c>
      <c r="AP37" s="4">
        <v>7.34</v>
      </c>
      <c r="AQ37" s="4"/>
      <c r="AR37" s="4"/>
      <c r="AS37" s="4"/>
      <c r="AT37" s="4"/>
      <c r="AU37" s="4">
        <v>2.75</v>
      </c>
      <c r="AV37" s="4"/>
      <c r="AW37" s="4">
        <f t="shared" ref="AW37:AW40" si="172">0.5*5</f>
        <v>2.5</v>
      </c>
      <c r="AX37" s="4">
        <f t="shared" ref="AX37:AX38" si="173">0.5*2</f>
        <v>1</v>
      </c>
      <c r="AY37" s="4">
        <v>6.0</v>
      </c>
      <c r="AZ37" s="4"/>
      <c r="BA37" s="4"/>
      <c r="BB37" s="4"/>
      <c r="BC37" s="4">
        <f t="shared" ref="BC37:BD37" si="170">0.5*10</f>
        <v>5</v>
      </c>
      <c r="BD37" s="4">
        <f t="shared" si="170"/>
        <v>5</v>
      </c>
      <c r="BE37" s="4">
        <f t="shared" ref="BE37:BF37" si="171">0.5*50</f>
        <v>25</v>
      </c>
      <c r="BF37" s="4">
        <f t="shared" si="171"/>
        <v>25</v>
      </c>
      <c r="BG37" s="4">
        <f t="shared" si="72"/>
        <v>5</v>
      </c>
      <c r="BH37" s="4">
        <f t="shared" ref="BH37:BH39" si="176">0.5*50</f>
        <v>25</v>
      </c>
      <c r="BI37" s="4">
        <v>2.0</v>
      </c>
      <c r="BJ37" s="4">
        <f t="shared" ref="BJ37:BJ40" si="177">0.5*10</f>
        <v>5</v>
      </c>
      <c r="BK37" s="4">
        <f t="shared" ref="BK37:BK40" si="178">0.5*50</f>
        <v>25</v>
      </c>
      <c r="BL37" s="4">
        <v>4.0</v>
      </c>
      <c r="BM37" s="4">
        <f t="shared" ref="BM37:BM40" si="179">0.5*0.5</f>
        <v>0.25</v>
      </c>
      <c r="BN37" s="4">
        <f>0.5*1</f>
        <v>0.5</v>
      </c>
      <c r="BO37" s="4">
        <f t="shared" si="78"/>
        <v>2.5</v>
      </c>
      <c r="BP37" s="4">
        <f t="shared" si="79"/>
        <v>0.25</v>
      </c>
      <c r="BQ37" s="4">
        <f>0.5*100</f>
        <v>50</v>
      </c>
      <c r="BR37" s="4">
        <v>1200.0</v>
      </c>
      <c r="BS37" s="4">
        <f t="shared" si="151"/>
        <v>0.5</v>
      </c>
      <c r="BT37" s="4">
        <f t="shared" si="121"/>
        <v>5</v>
      </c>
      <c r="BU37" s="4">
        <v>200.0</v>
      </c>
      <c r="BV37" s="4">
        <v>2.0</v>
      </c>
      <c r="BW37" s="4">
        <f t="shared" ref="BW37:BW40" si="180">0.5*10</f>
        <v>5</v>
      </c>
      <c r="BX37" s="4">
        <f t="shared" ref="BX37:BX40" si="181">0.5*50</f>
        <v>25</v>
      </c>
      <c r="BY37" s="4">
        <v>5.0</v>
      </c>
      <c r="BZ37" s="4">
        <f t="shared" ref="BZ37:BZ40" si="182">0.5*0.5</f>
        <v>0.25</v>
      </c>
      <c r="CA37" s="4">
        <v>2.0</v>
      </c>
      <c r="CB37" s="4">
        <f t="shared" si="86"/>
        <v>2.5</v>
      </c>
      <c r="CC37" s="4">
        <v>0.8</v>
      </c>
      <c r="CD37" s="4">
        <v>3000.0</v>
      </c>
      <c r="CE37" s="4">
        <v>1300.0</v>
      </c>
      <c r="CF37" s="4">
        <f t="shared" ref="CF37:CF39" si="183">0.5*1</f>
        <v>0.5</v>
      </c>
      <c r="CG37" s="4">
        <f t="shared" si="161"/>
        <v>0.025</v>
      </c>
      <c r="CH37" s="4">
        <v>0.005</v>
      </c>
      <c r="CI37" s="4"/>
      <c r="CJ37" s="4"/>
      <c r="CK37" s="4"/>
      <c r="CL37" s="4"/>
      <c r="CM37" s="4"/>
      <c r="CN37" s="4">
        <v>26.32</v>
      </c>
      <c r="CO37" s="4">
        <v>2631.58</v>
      </c>
      <c r="CP37" s="4"/>
      <c r="CQ37" s="4"/>
      <c r="CR37" s="4"/>
      <c r="CS37" s="4">
        <v>78947.37</v>
      </c>
      <c r="CT37" s="4">
        <v>5263.16</v>
      </c>
      <c r="CU37" s="4">
        <v>21.05</v>
      </c>
      <c r="CV37" s="4">
        <v>0.0</v>
      </c>
    </row>
    <row r="38">
      <c r="A38" s="4" t="s">
        <v>197</v>
      </c>
      <c r="B38" s="4" t="s">
        <v>198</v>
      </c>
      <c r="C38" s="5" t="s">
        <v>307</v>
      </c>
      <c r="D38" s="5" t="s">
        <v>311</v>
      </c>
      <c r="E38" s="4" t="s">
        <v>296</v>
      </c>
      <c r="F38" s="4" t="s">
        <v>105</v>
      </c>
      <c r="G38" s="4" t="s">
        <v>106</v>
      </c>
      <c r="H38" s="4" t="s">
        <v>107</v>
      </c>
      <c r="I38" s="4" t="s">
        <v>108</v>
      </c>
      <c r="J38" s="4" t="s">
        <v>312</v>
      </c>
      <c r="K38" s="4" t="s">
        <v>313</v>
      </c>
      <c r="L38" s="4">
        <v>-21.2392</v>
      </c>
      <c r="M38" s="4">
        <v>-65.2095</v>
      </c>
      <c r="N38" s="4">
        <v>0.481</v>
      </c>
      <c r="O38" s="4">
        <v>4.0</v>
      </c>
      <c r="P38" s="4">
        <v>772.0</v>
      </c>
      <c r="Q38" s="4">
        <v>184.5</v>
      </c>
      <c r="R38" s="4">
        <v>8.42</v>
      </c>
      <c r="S38" s="4">
        <v>-80.2</v>
      </c>
      <c r="T38" s="4">
        <v>1295.0</v>
      </c>
      <c r="U38" s="4">
        <v>0.6</v>
      </c>
      <c r="V38" s="4">
        <v>13.8</v>
      </c>
      <c r="W38" s="4">
        <v>9.13</v>
      </c>
      <c r="X38" s="4">
        <v>116.6</v>
      </c>
      <c r="Y38" s="4">
        <v>46.9</v>
      </c>
      <c r="Z38" s="4">
        <v>1044.0</v>
      </c>
      <c r="AA38" s="4">
        <v>1046.0</v>
      </c>
      <c r="AB38" s="4">
        <v>3.0</v>
      </c>
      <c r="AC38" s="4"/>
      <c r="AD38" s="4">
        <v>524.0</v>
      </c>
      <c r="AE38" s="4"/>
      <c r="AF38" s="4">
        <v>165.0</v>
      </c>
      <c r="AG38" s="4">
        <v>61.45</v>
      </c>
      <c r="AH38" s="4">
        <v>515.6</v>
      </c>
      <c r="AI38" s="4">
        <v>85.23</v>
      </c>
      <c r="AJ38" s="4">
        <v>62.82</v>
      </c>
      <c r="AK38" s="4">
        <v>98.73</v>
      </c>
      <c r="AL38" s="4">
        <v>8.82</v>
      </c>
      <c r="AM38" s="4">
        <v>88.93</v>
      </c>
      <c r="AN38" s="4">
        <v>63.1</v>
      </c>
      <c r="AO38" s="4">
        <v>113.67</v>
      </c>
      <c r="AP38" s="4">
        <v>8.77</v>
      </c>
      <c r="AQ38" s="4"/>
      <c r="AR38" s="4"/>
      <c r="AS38" s="4"/>
      <c r="AT38" s="4"/>
      <c r="AU38" s="4">
        <v>2.63</v>
      </c>
      <c r="AV38" s="4"/>
      <c r="AW38" s="4">
        <f t="shared" si="172"/>
        <v>2.5</v>
      </c>
      <c r="AX38" s="4">
        <f t="shared" si="173"/>
        <v>1</v>
      </c>
      <c r="AY38" s="4">
        <v>6.0</v>
      </c>
      <c r="AZ38" s="4"/>
      <c r="BA38" s="4"/>
      <c r="BB38" s="4"/>
      <c r="BC38" s="4">
        <f t="shared" ref="BC38:BD38" si="174">0.5*10</f>
        <v>5</v>
      </c>
      <c r="BD38" s="4">
        <f t="shared" si="174"/>
        <v>5</v>
      </c>
      <c r="BE38" s="4">
        <f t="shared" ref="BE38:BF38" si="175">0.5*50</f>
        <v>25</v>
      </c>
      <c r="BF38" s="4">
        <f t="shared" si="175"/>
        <v>25</v>
      </c>
      <c r="BG38" s="4">
        <f t="shared" si="72"/>
        <v>5</v>
      </c>
      <c r="BH38" s="4">
        <f t="shared" si="176"/>
        <v>25</v>
      </c>
      <c r="BI38" s="4">
        <f t="shared" ref="BI38:BI39" si="186">0.5*1</f>
        <v>0.5</v>
      </c>
      <c r="BJ38" s="4">
        <f t="shared" si="177"/>
        <v>5</v>
      </c>
      <c r="BK38" s="4">
        <f t="shared" si="178"/>
        <v>25</v>
      </c>
      <c r="BL38" s="4">
        <v>3.0</v>
      </c>
      <c r="BM38" s="4">
        <f t="shared" si="179"/>
        <v>0.25</v>
      </c>
      <c r="BN38" s="4">
        <v>2.0</v>
      </c>
      <c r="BO38" s="4">
        <f t="shared" si="78"/>
        <v>2.5</v>
      </c>
      <c r="BP38" s="4">
        <f t="shared" si="79"/>
        <v>0.25</v>
      </c>
      <c r="BQ38" s="4">
        <v>600.0</v>
      </c>
      <c r="BR38" s="4">
        <v>2500.0</v>
      </c>
      <c r="BS38" s="4">
        <f t="shared" si="151"/>
        <v>0.5</v>
      </c>
      <c r="BT38" s="4">
        <f t="shared" si="121"/>
        <v>5</v>
      </c>
      <c r="BU38" s="4">
        <v>50.0</v>
      </c>
      <c r="BV38" s="4">
        <f t="shared" ref="BV38:BV39" si="187">0.5*1</f>
        <v>0.5</v>
      </c>
      <c r="BW38" s="4">
        <f t="shared" si="180"/>
        <v>5</v>
      </c>
      <c r="BX38" s="4">
        <f t="shared" si="181"/>
        <v>25</v>
      </c>
      <c r="BY38" s="4">
        <v>3.0</v>
      </c>
      <c r="BZ38" s="4">
        <f t="shared" si="182"/>
        <v>0.25</v>
      </c>
      <c r="CA38" s="4">
        <v>2.0</v>
      </c>
      <c r="CB38" s="4">
        <f t="shared" si="86"/>
        <v>2.5</v>
      </c>
      <c r="CC38" s="4">
        <f t="shared" ref="CC38:CC40" si="188">0.5*0.5</f>
        <v>0.25</v>
      </c>
      <c r="CD38" s="4">
        <v>1100.0</v>
      </c>
      <c r="CE38" s="4">
        <v>2700.0</v>
      </c>
      <c r="CF38" s="4">
        <f t="shared" si="183"/>
        <v>0.5</v>
      </c>
      <c r="CG38" s="4">
        <f t="shared" si="161"/>
        <v>0.025</v>
      </c>
      <c r="CH38" s="4">
        <v>0.007</v>
      </c>
      <c r="CI38" s="4"/>
      <c r="CJ38" s="4"/>
      <c r="CK38" s="4"/>
      <c r="CL38" s="4"/>
      <c r="CM38" s="4"/>
      <c r="CN38" s="4">
        <v>0.0</v>
      </c>
      <c r="CO38" s="4">
        <v>66666.67</v>
      </c>
      <c r="CP38" s="4"/>
      <c r="CQ38" s="4"/>
      <c r="CR38" s="4"/>
      <c r="CS38" s="4">
        <v>166666.67</v>
      </c>
      <c r="CT38" s="4">
        <v>16666.67</v>
      </c>
      <c r="CU38" s="4"/>
      <c r="CV38" s="4"/>
    </row>
    <row r="39">
      <c r="A39" s="4" t="s">
        <v>217</v>
      </c>
      <c r="B39" s="4" t="s">
        <v>218</v>
      </c>
      <c r="C39" s="5" t="s">
        <v>314</v>
      </c>
      <c r="D39" s="5" t="s">
        <v>315</v>
      </c>
      <c r="E39" s="4" t="s">
        <v>296</v>
      </c>
      <c r="F39" s="4" t="s">
        <v>105</v>
      </c>
      <c r="G39" s="4" t="s">
        <v>106</v>
      </c>
      <c r="H39" s="4" t="s">
        <v>128</v>
      </c>
      <c r="I39" s="4" t="s">
        <v>214</v>
      </c>
      <c r="J39" s="4" t="s">
        <v>316</v>
      </c>
      <c r="K39" s="4" t="s">
        <v>317</v>
      </c>
      <c r="L39" s="4">
        <v>-21.2579</v>
      </c>
      <c r="M39" s="4">
        <v>-63.5125</v>
      </c>
      <c r="N39" s="4">
        <v>0.252</v>
      </c>
      <c r="O39" s="4">
        <v>38.0</v>
      </c>
      <c r="P39" s="4">
        <v>754.0</v>
      </c>
      <c r="Q39" s="4">
        <v>195.1</v>
      </c>
      <c r="R39" s="4">
        <v>8.44</v>
      </c>
      <c r="S39" s="4">
        <v>-83.2</v>
      </c>
      <c r="T39" s="4">
        <v>1329.0</v>
      </c>
      <c r="U39" s="4">
        <v>0.6</v>
      </c>
      <c r="V39" s="4">
        <v>21.3</v>
      </c>
      <c r="W39" s="4">
        <v>8.37</v>
      </c>
      <c r="X39" s="4">
        <v>98.1</v>
      </c>
      <c r="Y39" s="4">
        <v>12.5</v>
      </c>
      <c r="Z39" s="4">
        <v>838.0</v>
      </c>
      <c r="AA39" s="4">
        <v>834.0</v>
      </c>
      <c r="AB39" s="4">
        <v>11.0</v>
      </c>
      <c r="AC39" s="4"/>
      <c r="AD39" s="4">
        <v>360.0</v>
      </c>
      <c r="AE39" s="4"/>
      <c r="AF39" s="4">
        <v>120.5</v>
      </c>
      <c r="AG39" s="4">
        <v>185.7</v>
      </c>
      <c r="AH39" s="4">
        <v>284.1</v>
      </c>
      <c r="AI39" s="4">
        <v>45.99</v>
      </c>
      <c r="AJ39" s="4">
        <v>44.29</v>
      </c>
      <c r="AK39" s="4">
        <v>144.31</v>
      </c>
      <c r="AL39" s="4">
        <v>6.63</v>
      </c>
      <c r="AM39" s="4">
        <v>44.34</v>
      </c>
      <c r="AN39" s="4">
        <v>45.39</v>
      </c>
      <c r="AO39" s="4">
        <v>151.55</v>
      </c>
      <c r="AP39" s="4">
        <v>7.01</v>
      </c>
      <c r="AQ39" s="4"/>
      <c r="AR39" s="4"/>
      <c r="AS39" s="4"/>
      <c r="AT39" s="4"/>
      <c r="AU39" s="4">
        <v>1.03</v>
      </c>
      <c r="AV39" s="4"/>
      <c r="AW39" s="4">
        <f t="shared" si="172"/>
        <v>2.5</v>
      </c>
      <c r="AX39" s="4">
        <v>2.736</v>
      </c>
      <c r="AY39" s="4">
        <v>7.0</v>
      </c>
      <c r="AZ39" s="4"/>
      <c r="BA39" s="4"/>
      <c r="BB39" s="4"/>
      <c r="BC39" s="4">
        <f t="shared" ref="BC39:BD39" si="184">0.5*10</f>
        <v>5</v>
      </c>
      <c r="BD39" s="4">
        <f t="shared" si="184"/>
        <v>5</v>
      </c>
      <c r="BE39" s="4">
        <f t="shared" ref="BE39:BF39" si="185">0.5*50</f>
        <v>25</v>
      </c>
      <c r="BF39" s="4">
        <f t="shared" si="185"/>
        <v>25</v>
      </c>
      <c r="BG39" s="4">
        <f t="shared" si="72"/>
        <v>5</v>
      </c>
      <c r="BH39" s="4">
        <f t="shared" si="176"/>
        <v>25</v>
      </c>
      <c r="BI39" s="4">
        <f t="shared" si="186"/>
        <v>0.5</v>
      </c>
      <c r="BJ39" s="4">
        <f t="shared" si="177"/>
        <v>5</v>
      </c>
      <c r="BK39" s="4">
        <f t="shared" si="178"/>
        <v>25</v>
      </c>
      <c r="BL39" s="4">
        <v>3.0</v>
      </c>
      <c r="BM39" s="4">
        <f t="shared" si="179"/>
        <v>0.25</v>
      </c>
      <c r="BN39" s="4">
        <f>0.5*1</f>
        <v>0.5</v>
      </c>
      <c r="BO39" s="4">
        <f t="shared" si="78"/>
        <v>2.5</v>
      </c>
      <c r="BP39" s="4">
        <f t="shared" si="79"/>
        <v>0.25</v>
      </c>
      <c r="BQ39" s="4">
        <v>200.0</v>
      </c>
      <c r="BR39" s="4">
        <v>800.0</v>
      </c>
      <c r="BS39" s="4">
        <f t="shared" si="151"/>
        <v>0.5</v>
      </c>
      <c r="BT39" s="4">
        <f t="shared" si="121"/>
        <v>5</v>
      </c>
      <c r="BU39" s="4">
        <f>0.5*50</f>
        <v>25</v>
      </c>
      <c r="BV39" s="4">
        <f t="shared" si="187"/>
        <v>0.5</v>
      </c>
      <c r="BW39" s="4">
        <f t="shared" si="180"/>
        <v>5</v>
      </c>
      <c r="BX39" s="4">
        <f t="shared" si="181"/>
        <v>25</v>
      </c>
      <c r="BY39" s="4">
        <v>4.0</v>
      </c>
      <c r="BZ39" s="4">
        <f t="shared" si="182"/>
        <v>0.25</v>
      </c>
      <c r="CA39" s="4">
        <f>0.5*1</f>
        <v>0.5</v>
      </c>
      <c r="CB39" s="4">
        <f t="shared" si="86"/>
        <v>2.5</v>
      </c>
      <c r="CC39" s="4">
        <f t="shared" si="188"/>
        <v>0.25</v>
      </c>
      <c r="CD39" s="4">
        <v>200.0</v>
      </c>
      <c r="CE39" s="4">
        <v>800.0</v>
      </c>
      <c r="CF39" s="4">
        <f t="shared" si="183"/>
        <v>0.5</v>
      </c>
      <c r="CG39" s="4">
        <f t="shared" si="161"/>
        <v>0.025</v>
      </c>
      <c r="CH39" s="4">
        <v>0.004</v>
      </c>
      <c r="CI39" s="4"/>
      <c r="CJ39" s="4"/>
      <c r="CK39" s="4"/>
      <c r="CL39" s="4"/>
      <c r="CM39" s="4"/>
      <c r="CN39" s="4">
        <v>90.91</v>
      </c>
      <c r="CO39" s="4">
        <v>0.0</v>
      </c>
      <c r="CP39" s="4"/>
      <c r="CQ39" s="4"/>
      <c r="CR39" s="4"/>
      <c r="CS39" s="4">
        <v>0.0</v>
      </c>
      <c r="CT39" s="4"/>
      <c r="CU39" s="4"/>
      <c r="CV39" s="4"/>
    </row>
    <row r="40">
      <c r="A40" s="4" t="s">
        <v>123</v>
      </c>
      <c r="B40" s="4" t="s">
        <v>124</v>
      </c>
      <c r="C40" s="5" t="s">
        <v>318</v>
      </c>
      <c r="D40" s="5" t="s">
        <v>182</v>
      </c>
      <c r="E40" s="4" t="s">
        <v>296</v>
      </c>
      <c r="F40" s="4" t="s">
        <v>105</v>
      </c>
      <c r="G40" s="4" t="s">
        <v>106</v>
      </c>
      <c r="H40" s="4" t="s">
        <v>128</v>
      </c>
      <c r="I40" s="4" t="s">
        <v>129</v>
      </c>
      <c r="J40" s="4" t="s">
        <v>319</v>
      </c>
      <c r="K40" s="4" t="s">
        <v>320</v>
      </c>
      <c r="L40" s="4">
        <v>-22.3785</v>
      </c>
      <c r="M40" s="4">
        <v>-62.5188</v>
      </c>
      <c r="N40" s="4">
        <v>1.092</v>
      </c>
      <c r="O40" s="4">
        <v>47.0</v>
      </c>
      <c r="P40" s="4">
        <v>733.0</v>
      </c>
      <c r="Q40" s="4">
        <v>193.3</v>
      </c>
      <c r="R40" s="4">
        <v>8.19</v>
      </c>
      <c r="S40" s="4">
        <v>-68.5</v>
      </c>
      <c r="T40" s="4">
        <v>1371.0</v>
      </c>
      <c r="U40" s="4">
        <v>0.6</v>
      </c>
      <c r="V40" s="4">
        <v>20.6</v>
      </c>
      <c r="W40" s="4">
        <v>8.38</v>
      </c>
      <c r="X40" s="4">
        <v>96.5</v>
      </c>
      <c r="Y40" s="4">
        <v>315.0</v>
      </c>
      <c r="Z40" s="4">
        <v>1420.0</v>
      </c>
      <c r="AA40" s="4">
        <v>904.0</v>
      </c>
      <c r="AB40" s="4">
        <v>543.0</v>
      </c>
      <c r="AC40" s="4"/>
      <c r="AD40" s="4">
        <v>344.0</v>
      </c>
      <c r="AE40" s="4"/>
      <c r="AF40" s="4">
        <v>118.0</v>
      </c>
      <c r="AG40" s="4">
        <v>191.44</v>
      </c>
      <c r="AH40" s="4">
        <v>304.1</v>
      </c>
      <c r="AI40" s="4">
        <v>57.05</v>
      </c>
      <c r="AJ40" s="4">
        <v>42.9</v>
      </c>
      <c r="AK40" s="4">
        <v>146.12</v>
      </c>
      <c r="AL40" s="4">
        <v>7.25</v>
      </c>
      <c r="AM40" s="4">
        <v>51.02</v>
      </c>
      <c r="AN40" s="4">
        <v>43.46</v>
      </c>
      <c r="AO40" s="4">
        <v>153.98</v>
      </c>
      <c r="AP40" s="4">
        <v>7.44</v>
      </c>
      <c r="AQ40" s="4"/>
      <c r="AR40" s="4"/>
      <c r="AS40" s="4"/>
      <c r="AT40" s="4"/>
      <c r="AU40" s="4">
        <v>0.78</v>
      </c>
      <c r="AV40" s="4"/>
      <c r="AW40" s="4">
        <f t="shared" si="172"/>
        <v>2.5</v>
      </c>
      <c r="AX40" s="4">
        <v>3.403</v>
      </c>
      <c r="AY40" s="4">
        <v>7.0</v>
      </c>
      <c r="AZ40" s="4"/>
      <c r="BA40" s="4"/>
      <c r="BB40" s="4"/>
      <c r="BC40" s="4">
        <f t="shared" ref="BC40:BD40" si="189">0.5*10</f>
        <v>5</v>
      </c>
      <c r="BD40" s="4">
        <f t="shared" si="189"/>
        <v>5</v>
      </c>
      <c r="BE40" s="4">
        <f t="shared" ref="BE40:BF40" si="190">0.5*50</f>
        <v>25</v>
      </c>
      <c r="BF40" s="4">
        <f t="shared" si="190"/>
        <v>25</v>
      </c>
      <c r="BG40" s="4">
        <f t="shared" si="72"/>
        <v>5</v>
      </c>
      <c r="BH40" s="4">
        <v>200.0</v>
      </c>
      <c r="BI40" s="4">
        <v>6.0</v>
      </c>
      <c r="BJ40" s="4">
        <f t="shared" si="177"/>
        <v>5</v>
      </c>
      <c r="BK40" s="4">
        <f t="shared" si="178"/>
        <v>25</v>
      </c>
      <c r="BL40" s="4">
        <v>2.0</v>
      </c>
      <c r="BM40" s="4">
        <f t="shared" si="179"/>
        <v>0.25</v>
      </c>
      <c r="BN40" s="4">
        <v>4.0</v>
      </c>
      <c r="BO40" s="4">
        <f t="shared" si="78"/>
        <v>2.5</v>
      </c>
      <c r="BP40" s="4">
        <f t="shared" si="79"/>
        <v>0.25</v>
      </c>
      <c r="BQ40" s="4">
        <v>6000.0</v>
      </c>
      <c r="BR40" s="4">
        <v>700.0</v>
      </c>
      <c r="BS40" s="4">
        <f t="shared" si="151"/>
        <v>0.5</v>
      </c>
      <c r="BT40" s="4">
        <v>11.0</v>
      </c>
      <c r="BU40" s="4">
        <v>200.0</v>
      </c>
      <c r="BV40" s="4">
        <v>8.0</v>
      </c>
      <c r="BW40" s="4">
        <f t="shared" si="180"/>
        <v>5</v>
      </c>
      <c r="BX40" s="4">
        <f t="shared" si="181"/>
        <v>25</v>
      </c>
      <c r="BY40" s="4">
        <v>7.0</v>
      </c>
      <c r="BZ40" s="4">
        <f t="shared" si="182"/>
        <v>0.25</v>
      </c>
      <c r="CA40" s="4">
        <v>13.0</v>
      </c>
      <c r="CB40" s="4">
        <f t="shared" si="86"/>
        <v>2.5</v>
      </c>
      <c r="CC40" s="4">
        <f t="shared" si="188"/>
        <v>0.25</v>
      </c>
      <c r="CD40" s="4">
        <v>16000.0</v>
      </c>
      <c r="CE40" s="4">
        <v>700.0</v>
      </c>
      <c r="CF40" s="4">
        <v>1.0</v>
      </c>
      <c r="CG40" s="4">
        <f t="shared" si="161"/>
        <v>0.025</v>
      </c>
      <c r="CH40" s="4">
        <v>0.005</v>
      </c>
      <c r="CI40" s="4"/>
      <c r="CJ40" s="4"/>
      <c r="CK40" s="4">
        <v>1.84</v>
      </c>
      <c r="CL40" s="4"/>
      <c r="CM40" s="4">
        <v>10.59</v>
      </c>
      <c r="CN40" s="4">
        <v>9.21</v>
      </c>
      <c r="CO40" s="4">
        <v>0.0</v>
      </c>
      <c r="CP40" s="4"/>
      <c r="CQ40" s="4"/>
      <c r="CR40" s="4">
        <v>20.26</v>
      </c>
      <c r="CS40" s="4">
        <v>18416.21</v>
      </c>
      <c r="CT40" s="4">
        <v>0.0</v>
      </c>
      <c r="CU40" s="4"/>
      <c r="CV40" s="4">
        <v>3.68</v>
      </c>
    </row>
    <row r="41">
      <c r="C41" s="7"/>
      <c r="D41" s="7"/>
    </row>
    <row r="42">
      <c r="C42" s="7"/>
      <c r="D42" s="7"/>
    </row>
  </sheetData>
  <drawing r:id="rId1"/>
</worksheet>
</file>