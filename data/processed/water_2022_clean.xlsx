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2_clean" sheetId="1" r:id="rId4"/>
  </sheets>
  <definedNames/>
  <calcPr/>
</workbook>
</file>

<file path=xl/sharedStrings.xml><?xml version="1.0" encoding="utf-8"?>
<sst xmlns="http://schemas.openxmlformats.org/spreadsheetml/2006/main" count="704" uniqueCount="406">
  <si>
    <t>Estación</t>
  </si>
  <si>
    <t>Código</t>
  </si>
  <si>
    <t>Fecha</t>
  </si>
  <si>
    <t>Hora</t>
  </si>
  <si>
    <t>Campaña</t>
  </si>
  <si>
    <t>Responsable</t>
  </si>
  <si>
    <t>Institución</t>
  </si>
  <si>
    <t>Río</t>
  </si>
  <si>
    <t>Cuenca</t>
  </si>
  <si>
    <t>Latitud</t>
  </si>
  <si>
    <t>Longitud</t>
  </si>
  <si>
    <t>Latitud Decimal</t>
  </si>
  <si>
    <t>Longitud Decimal</t>
  </si>
  <si>
    <t>Velocidad Media (m/s)</t>
  </si>
  <si>
    <t>Caudal (m3/s)</t>
  </si>
  <si>
    <t>Resistividad (Ohm.cm)</t>
  </si>
  <si>
    <t>Presión Parcial (mm Hg)</t>
  </si>
  <si>
    <t>pH (u pH)</t>
  </si>
  <si>
    <t>pH (mV) (mV)</t>
  </si>
  <si>
    <t>Conductividad específica (T ref. 25°C) (uS/cm)</t>
  </si>
  <si>
    <t>Salinidad (Sal)</t>
  </si>
  <si>
    <t>Temperatura (C)</t>
  </si>
  <si>
    <t>Oxígeno disuelto (mg/l O2)</t>
  </si>
  <si>
    <t>Saturación de oxígeno (%)</t>
  </si>
  <si>
    <t>Turbiedad (UNT)</t>
  </si>
  <si>
    <t>Sólidos totales (mg/l)</t>
  </si>
  <si>
    <t>Sólidos disueltos totales (mg/l)</t>
  </si>
  <si>
    <t>Sólidos suspendidos totales (mg/l)</t>
  </si>
  <si>
    <t>Color (u PtCo)</t>
  </si>
  <si>
    <t>Dureza total (mg/l CaCO3)</t>
  </si>
  <si>
    <t>Alcalinidad Fenolftaleina (mg/l CaCO3)</t>
  </si>
  <si>
    <t>Alcalinidad total (mg/l CaCO3)</t>
  </si>
  <si>
    <t>Cloruros (mg/l Cl -)</t>
  </si>
  <si>
    <t>Sulfatos (mg/l SO4=)</t>
  </si>
  <si>
    <t>Calcio disuelto (mg/l Ca)</t>
  </si>
  <si>
    <t>Magnesio disuelto (mg/l Mg)</t>
  </si>
  <si>
    <t>Sodio disuelto (mg/l Na)</t>
  </si>
  <si>
    <t>Potasio disuelto (mg/l K)</t>
  </si>
  <si>
    <t>Calcio total (mg/l Ca)</t>
  </si>
  <si>
    <t>Magnesio total (mg/l Mg)</t>
  </si>
  <si>
    <t>Sodio total (mg/l Na)</t>
  </si>
  <si>
    <t>Potasio total (mg/l K)</t>
  </si>
  <si>
    <t>Fósforo total (mg/l PO4)</t>
  </si>
  <si>
    <t>Fósforo disuelto (mg/l PO4)</t>
  </si>
  <si>
    <t>Nitrógeno amoniacal (mg/l NH4)</t>
  </si>
  <si>
    <t>Nitrito (mg/l NO2)</t>
  </si>
  <si>
    <t>Nitrato (mg/l NO3)</t>
  </si>
  <si>
    <t>Nitrógeno total Kjeldahl (mg/l N)</t>
  </si>
  <si>
    <t>Carbono orgánico total (mg/l)</t>
  </si>
  <si>
    <t>Demanda bioquímica de oxígeno (mg/l O2)</t>
  </si>
  <si>
    <t>Demanda química de oxígeno (mg/l O2)</t>
  </si>
  <si>
    <t>Coliformes totales (en UFC) (UFC/100 ml)</t>
  </si>
  <si>
    <t>Coliformes fecales (en UFC) (UFC/100 ml)</t>
  </si>
  <si>
    <t>Aerobios mesófilos totales (en NMP) (NMP/100 ml)</t>
  </si>
  <si>
    <t>Coliformes totales (en NMP) (NMP/100 ml)</t>
  </si>
  <si>
    <t>Coliformes fecales (en NMP) (NMP/100 ml)</t>
  </si>
  <si>
    <t>Aerobios mesófilos totales (en UFC) (UFC/100 ml)</t>
  </si>
  <si>
    <t>Bismuto disuelto (ug/l Bi)</t>
  </si>
  <si>
    <t>Bismuto total (ug/l Bi)</t>
  </si>
  <si>
    <t>Talio disuelto (ug/l Tl)</t>
  </si>
  <si>
    <t>Talio total (ug/l Tl)</t>
  </si>
  <si>
    <t>Cromo disuelto (ug/l Cr)</t>
  </si>
  <si>
    <t>Manganeso disuelto (ug/l Mn)</t>
  </si>
  <si>
    <t>Niquel disuelto (ug/l Ni)</t>
  </si>
  <si>
    <t>Cobre disuelto (ug/l Cu)</t>
  </si>
  <si>
    <t>Zinc disuelto (ug/l Zn)</t>
  </si>
  <si>
    <t>Arsenico disuelto (ug/l As)</t>
  </si>
  <si>
    <t>Cadmio disuelto (ug/l Cd)</t>
  </si>
  <si>
    <t>Plomo disuelto (ug/l Pb)</t>
  </si>
  <si>
    <t>Plata disuelto (ug/l Ag)</t>
  </si>
  <si>
    <t>Mercurio disuelto (ug/l Hg)</t>
  </si>
  <si>
    <t>Hierro disuelto (ug/l Fe)</t>
  </si>
  <si>
    <t>Boro disuelto (ug/l B)</t>
  </si>
  <si>
    <t>Selenio disuelto (ug/l Se)</t>
  </si>
  <si>
    <t>Cromo total (ug/l Cr)</t>
  </si>
  <si>
    <t>Manganeso total (ug/l Mn)</t>
  </si>
  <si>
    <t>Niquel total (ug/l Ni)</t>
  </si>
  <si>
    <t>Cobre total (ug/l Cu)</t>
  </si>
  <si>
    <t>Zinc total (ug/l Zn)</t>
  </si>
  <si>
    <t>Arsenico total (ug/l As)</t>
  </si>
  <si>
    <t>Cadmio total (ug/l Cd)</t>
  </si>
  <si>
    <t>Plomo total (ug/l Pb)</t>
  </si>
  <si>
    <t>Plata total (ug/l Ag)</t>
  </si>
  <si>
    <t>Mercurio total (ug/l Hg)</t>
  </si>
  <si>
    <t>Hierro total (ug/l Fe)</t>
  </si>
  <si>
    <t>Boro total (ug/l B)</t>
  </si>
  <si>
    <t>Selenio total (ug/l Se)</t>
  </si>
  <si>
    <t>Cianuros (mg/l CN-)</t>
  </si>
  <si>
    <t>Cianuros libre (mg/l CN-)</t>
  </si>
  <si>
    <t>Sulfuros (mg/l S=)</t>
  </si>
  <si>
    <t>Fenoles (mg/l C6H6O)</t>
  </si>
  <si>
    <t>Hidrocarburos totales (mg/l)</t>
  </si>
  <si>
    <t>Talio en suspensión (mg/kg Tl)</t>
  </si>
  <si>
    <t>Zinc en suspensión (mg/kg Zn)</t>
  </si>
  <si>
    <t>Plomo suspensión (mg/kg Pb)</t>
  </si>
  <si>
    <t>Arsenico suspensión (mg/kg As)</t>
  </si>
  <si>
    <t>Boro suspensión (mg/kg B)</t>
  </si>
  <si>
    <t>Cadmio suspensión (mg/kg Cd)</t>
  </si>
  <si>
    <t>Cobre suspensión (mg/kg Cu)</t>
  </si>
  <si>
    <t>Cromo suspensión (mg/kg Cr)</t>
  </si>
  <si>
    <t>Hierro suspensión (mg/kg Fe)</t>
  </si>
  <si>
    <t>Manganeso suspensión (mg/kg Mn)</t>
  </si>
  <si>
    <t>Niquel suspensión (mg/kg Ni)</t>
  </si>
  <si>
    <t>Plata suspensión (mg/kg Ag)</t>
  </si>
  <si>
    <t>Viña Quemada</t>
  </si>
  <si>
    <t>BVQ-122</t>
  </si>
  <si>
    <t>09/12/2022</t>
  </si>
  <si>
    <t>11:20</t>
  </si>
  <si>
    <t>Diciembre 2022</t>
  </si>
  <si>
    <t>Unidad de Monitoreo y Centro de Datos</t>
  </si>
  <si>
    <t>Dirección Ejecutiva - Comisión Trinacional para el Desarrollo de la Cuenca del río Pilcomayo</t>
  </si>
  <si>
    <t>Pilcomayo</t>
  </si>
  <si>
    <t>Unidad 2</t>
  </si>
  <si>
    <t>19° 24' 26.754"</t>
  </si>
  <si>
    <t>64° 51' 49.866"</t>
  </si>
  <si>
    <t>Talula - Automática</t>
  </si>
  <si>
    <t>BTL-119</t>
  </si>
  <si>
    <t>08/12/2022</t>
  </si>
  <si>
    <t>11:00</t>
  </si>
  <si>
    <t>Unidad 1</t>
  </si>
  <si>
    <t>19° 7' 51.66"</t>
  </si>
  <si>
    <t>65° 27' 3.108"</t>
  </si>
  <si>
    <t>Colavi - Canutillos</t>
  </si>
  <si>
    <t>BC7-113</t>
  </si>
  <si>
    <t>07/12/2022</t>
  </si>
  <si>
    <t>14:55</t>
  </si>
  <si>
    <t>Colavi</t>
  </si>
  <si>
    <t>19° 19' 16.872"</t>
  </si>
  <si>
    <t>65° 33' 6.936"</t>
  </si>
  <si>
    <t>Tarapaya</t>
  </si>
  <si>
    <t>BTA-050</t>
  </si>
  <si>
    <t>9:01</t>
  </si>
  <si>
    <t>19° 28' 18.57"</t>
  </si>
  <si>
    <t>65° 47' 40.02"</t>
  </si>
  <si>
    <t>Tacobamba - Agua arriba confluencia Pilcomayo - Tacobamba</t>
  </si>
  <si>
    <t>BTC-116</t>
  </si>
  <si>
    <t>06/12/2022</t>
  </si>
  <si>
    <t>13:45</t>
  </si>
  <si>
    <t>Tacobamba</t>
  </si>
  <si>
    <t>19° 8' 13.65"</t>
  </si>
  <si>
    <t>65° 34' 6.102"</t>
  </si>
  <si>
    <t>Pilcomayo - Agua arriba confluencia Pilcomayo - Tacobamba</t>
  </si>
  <si>
    <t>BPT-118</t>
  </si>
  <si>
    <t>11:45</t>
  </si>
  <si>
    <t>19° 7' 56.088"</t>
  </si>
  <si>
    <t>65° 34' 19.872"</t>
  </si>
  <si>
    <t>Palca Grande</t>
  </si>
  <si>
    <t>BPG-110</t>
  </si>
  <si>
    <t>05/12/2022</t>
  </si>
  <si>
    <t>15:10</t>
  </si>
  <si>
    <t>Tumusla</t>
  </si>
  <si>
    <t>Unidad 4</t>
  </si>
  <si>
    <t>20° 44' 31.83"</t>
  </si>
  <si>
    <t>65° 14' 26.808"</t>
  </si>
  <si>
    <t>El Puente</t>
  </si>
  <si>
    <t>BEP-100</t>
  </si>
  <si>
    <t>12:00</t>
  </si>
  <si>
    <t>San Juan del Oro</t>
  </si>
  <si>
    <t>Unidad 5</t>
  </si>
  <si>
    <t>21 14 18.42</t>
  </si>
  <si>
    <t>65 12 38.95</t>
  </si>
  <si>
    <t>Villamontes</t>
  </si>
  <si>
    <t>BVI-150</t>
  </si>
  <si>
    <t>04/12/2022</t>
  </si>
  <si>
    <t>14:35</t>
  </si>
  <si>
    <t>Unidad 7</t>
  </si>
  <si>
    <t>21° 15' 31.938"</t>
  </si>
  <si>
    <t>63° 30' 41.664"</t>
  </si>
  <si>
    <t>Misión La Paz - SNIH</t>
  </si>
  <si>
    <t>AML-170</t>
  </si>
  <si>
    <t>7:45</t>
  </si>
  <si>
    <t>Cuenca Baja</t>
  </si>
  <si>
    <t>22° 22' 41.088"</t>
  </si>
  <si>
    <t>62° 31' 7.044"</t>
  </si>
  <si>
    <t>Liviara</t>
  </si>
  <si>
    <t>ALI-020</t>
  </si>
  <si>
    <t>19/10/2022</t>
  </si>
  <si>
    <t>9:15</t>
  </si>
  <si>
    <t>Octubre 2022</t>
  </si>
  <si>
    <t>Orosmayo</t>
  </si>
  <si>
    <t>22° 31' 59.652"</t>
  </si>
  <si>
    <t>66° 20' 53.052"</t>
  </si>
  <si>
    <t>El Potrillo</t>
  </si>
  <si>
    <t>AEP-180</t>
  </si>
  <si>
    <t>17/10/2022</t>
  </si>
  <si>
    <t>La Estrella</t>
  </si>
  <si>
    <t>Bañado La Estrella</t>
  </si>
  <si>
    <t>23 8 17.358</t>
  </si>
  <si>
    <t>61 57 49.866</t>
  </si>
  <si>
    <t>Ruta 28-Vertedero</t>
  </si>
  <si>
    <t>AR28-300</t>
  </si>
  <si>
    <t>16/10/2022</t>
  </si>
  <si>
    <t>12:25</t>
  </si>
  <si>
    <t>24 21 30.48</t>
  </si>
  <si>
    <t>60 18 23.472</t>
  </si>
  <si>
    <t>Salida Laguna Salada</t>
  </si>
  <si>
    <t>ASL-270</t>
  </si>
  <si>
    <t>9:25</t>
  </si>
  <si>
    <t>Salada</t>
  </si>
  <si>
    <t>24 41 44.958</t>
  </si>
  <si>
    <t>59 49 6.138</t>
  </si>
  <si>
    <t>Ruta 95</t>
  </si>
  <si>
    <t>AR95-220</t>
  </si>
  <si>
    <t>6:40</t>
  </si>
  <si>
    <t>Montelindo</t>
  </si>
  <si>
    <t>25 8 55.326</t>
  </si>
  <si>
    <t>59 40 45.654</t>
  </si>
  <si>
    <t>General Bruguez</t>
  </si>
  <si>
    <t>PGB-250</t>
  </si>
  <si>
    <t>22/09/2022</t>
  </si>
  <si>
    <t>12:45</t>
  </si>
  <si>
    <t>Septiembre 2022</t>
  </si>
  <si>
    <t>Chaco Paraguayo</t>
  </si>
  <si>
    <t>24° 44' 53.922"</t>
  </si>
  <si>
    <t>58° 49' 58.998"</t>
  </si>
  <si>
    <t>Cadete Pando</t>
  </si>
  <si>
    <t>PCP-240</t>
  </si>
  <si>
    <t>11:15</t>
  </si>
  <si>
    <t>Confuso</t>
  </si>
  <si>
    <t>24° 24' 34.686"</t>
  </si>
  <si>
    <t>58° 53' 9.792"</t>
  </si>
  <si>
    <t>Bañado Las Garzas</t>
  </si>
  <si>
    <t>PLG-205</t>
  </si>
  <si>
    <t>20/09/2022</t>
  </si>
  <si>
    <t>12:10</t>
  </si>
  <si>
    <t>Las Garzas</t>
  </si>
  <si>
    <t>23° 32' 19.848"</t>
  </si>
  <si>
    <t>60° 15' 13.686"</t>
  </si>
  <si>
    <t>Agropil</t>
  </si>
  <si>
    <t>PAG-196</t>
  </si>
  <si>
    <t>19/09/2022</t>
  </si>
  <si>
    <t>12:30</t>
  </si>
  <si>
    <t>23° 10' 10.722"</t>
  </si>
  <si>
    <t>61° 37' 29.136"</t>
  </si>
  <si>
    <t>El Solitario</t>
  </si>
  <si>
    <t>PES-194</t>
  </si>
  <si>
    <t>15/09/2022</t>
  </si>
  <si>
    <t>22° 51' 36.69"</t>
  </si>
  <si>
    <t>62° 1' 8.778"</t>
  </si>
  <si>
    <t>Meyer Sitio 01</t>
  </si>
  <si>
    <t>PCM-191</t>
  </si>
  <si>
    <t>Pilcomayo Medio Embocadura - Canal Paraguayo</t>
  </si>
  <si>
    <t>22° 42' 44.178"</t>
  </si>
  <si>
    <t>62° 9' 19.788"</t>
  </si>
  <si>
    <t>María Cristina</t>
  </si>
  <si>
    <t>AMC-190</t>
  </si>
  <si>
    <t>8:05</t>
  </si>
  <si>
    <t>22° 41' 56.028"</t>
  </si>
  <si>
    <t>62° 11' 44.34"</t>
  </si>
  <si>
    <t>Montelindo en ruta PY09</t>
  </si>
  <si>
    <t>PR9M-260</t>
  </si>
  <si>
    <t>13/09/2022</t>
  </si>
  <si>
    <t>10:15</t>
  </si>
  <si>
    <t>23° 53' 35.394"</t>
  </si>
  <si>
    <t>58° 26' 47.214"</t>
  </si>
  <si>
    <t>Villa Hayes</t>
  </si>
  <si>
    <t>PVH-280</t>
  </si>
  <si>
    <t>7:25</t>
  </si>
  <si>
    <t>25° 6' 25.854"</t>
  </si>
  <si>
    <t>57° 32' 47.826"</t>
  </si>
  <si>
    <t>Ruta 11</t>
  </si>
  <si>
    <t>AR11-290</t>
  </si>
  <si>
    <t>25/08/2022</t>
  </si>
  <si>
    <t>16:35</t>
  </si>
  <si>
    <t>Agosto 2022</t>
  </si>
  <si>
    <t>25° 47' 18.078"</t>
  </si>
  <si>
    <t>58° 1' 17.31"</t>
  </si>
  <si>
    <t>Clorinda</t>
  </si>
  <si>
    <t>ACL-310</t>
  </si>
  <si>
    <t>9:45</t>
  </si>
  <si>
    <t>Porteño</t>
  </si>
  <si>
    <t>El Porteño</t>
  </si>
  <si>
    <t>25° 15' 55.584"</t>
  </si>
  <si>
    <t>57° 43' 43.692"</t>
  </si>
  <si>
    <t>Puente Loyola</t>
  </si>
  <si>
    <t>APL-320</t>
  </si>
  <si>
    <t>8:30</t>
  </si>
  <si>
    <t>Cuenca Paraguay</t>
  </si>
  <si>
    <t>25° 15' 50.814"</t>
  </si>
  <si>
    <t>57° 43' 27.666"</t>
  </si>
  <si>
    <t>18/08/2022</t>
  </si>
  <si>
    <t>11:25</t>
  </si>
  <si>
    <t>22 22 41.22</t>
  </si>
  <si>
    <t>62 31 6.93</t>
  </si>
  <si>
    <t>San Josecito</t>
  </si>
  <si>
    <t>BSJ-130</t>
  </si>
  <si>
    <t>17/08/2022</t>
  </si>
  <si>
    <t>Pilaya</t>
  </si>
  <si>
    <t>Unidad 6</t>
  </si>
  <si>
    <t>21 9 7.71</t>
  </si>
  <si>
    <t>64 14 3.15</t>
  </si>
  <si>
    <t>La Quiaca</t>
  </si>
  <si>
    <t>ALQ-040</t>
  </si>
  <si>
    <t>16/08/2022</t>
  </si>
  <si>
    <t>12:15</t>
  </si>
  <si>
    <t>22 5 51,9</t>
  </si>
  <si>
    <t>65 35 9.828</t>
  </si>
  <si>
    <t>Chuquiago</t>
  </si>
  <si>
    <t>BCH-060</t>
  </si>
  <si>
    <t>9:50</t>
  </si>
  <si>
    <t>21 33 36.84</t>
  </si>
  <si>
    <t>65 38 51.624</t>
  </si>
  <si>
    <t>La Angostura</t>
  </si>
  <si>
    <t>BTP-090</t>
  </si>
  <si>
    <t>15/08/2022</t>
  </si>
  <si>
    <t>17:50</t>
  </si>
  <si>
    <t>Tupiza</t>
  </si>
  <si>
    <t>21 30 16.62</t>
  </si>
  <si>
    <t>65 42 32.07</t>
  </si>
  <si>
    <t>Cotagaita</t>
  </si>
  <si>
    <t>BCO-070</t>
  </si>
  <si>
    <t>15:25</t>
  </si>
  <si>
    <t>20 49 16.506</t>
  </si>
  <si>
    <t>65 40 8.868</t>
  </si>
  <si>
    <t>BTU-080</t>
  </si>
  <si>
    <t>13:20</t>
  </si>
  <si>
    <t>20 29 14.94</t>
  </si>
  <si>
    <t>65 37 2.898</t>
  </si>
  <si>
    <t>Potosí - Naciente río La Ribera</t>
  </si>
  <si>
    <t>BNR-010</t>
  </si>
  <si>
    <t>14/08/2022</t>
  </si>
  <si>
    <t>14:45</t>
  </si>
  <si>
    <t>De la Ribera</t>
  </si>
  <si>
    <t>19° 35' 51.618"</t>
  </si>
  <si>
    <t>65° 43' 52.602"</t>
  </si>
  <si>
    <t>13/08/2022</t>
  </si>
  <si>
    <t>12:55</t>
  </si>
  <si>
    <t>19 24 25.698</t>
  </si>
  <si>
    <t>64 51 49.956</t>
  </si>
  <si>
    <t>12/08/2022</t>
  </si>
  <si>
    <t>19 7 49.218</t>
  </si>
  <si>
    <t>65 27 4.134</t>
  </si>
  <si>
    <t>Puente Mendez</t>
  </si>
  <si>
    <t>BPM-120</t>
  </si>
  <si>
    <t>11/08/2022</t>
  </si>
  <si>
    <t>17:15</t>
  </si>
  <si>
    <t>19 18 49.962</t>
  </si>
  <si>
    <t>65 16 3.066</t>
  </si>
  <si>
    <t>10:25</t>
  </si>
  <si>
    <t>19 19 17.112</t>
  </si>
  <si>
    <t>65 33 6.738</t>
  </si>
  <si>
    <t>10/08/2022</t>
  </si>
  <si>
    <t>13:35</t>
  </si>
  <si>
    <t>19 8 39.144</t>
  </si>
  <si>
    <t>65 33 57.822</t>
  </si>
  <si>
    <t>11:30</t>
  </si>
  <si>
    <t>19 7 56.1</t>
  </si>
  <si>
    <t>65 34 19.902</t>
  </si>
  <si>
    <t>Yocalla</t>
  </si>
  <si>
    <t>BYO-025</t>
  </si>
  <si>
    <t>09/08/2022</t>
  </si>
  <si>
    <t>15:30</t>
  </si>
  <si>
    <t>19 23 51.624</t>
  </si>
  <si>
    <t>65 54 28.05</t>
  </si>
  <si>
    <t>19° 28' 18.666"</t>
  </si>
  <si>
    <t>65° 47' 39.552"</t>
  </si>
  <si>
    <t>San Antonio - Potosí</t>
  </si>
  <si>
    <t>BSA-030</t>
  </si>
  <si>
    <t>9:00</t>
  </si>
  <si>
    <t>Aljamayu</t>
  </si>
  <si>
    <t>19 34 41.478</t>
  </si>
  <si>
    <t>65 48 12.21</t>
  </si>
  <si>
    <t>08/08/2022</t>
  </si>
  <si>
    <t>15:35</t>
  </si>
  <si>
    <t>20 44 32.106</t>
  </si>
  <si>
    <t>65 14 27.216</t>
  </si>
  <si>
    <t>13:10</t>
  </si>
  <si>
    <t>21 14 20.574</t>
  </si>
  <si>
    <t>65 12 34.194</t>
  </si>
  <si>
    <t>Puente Aruma - Automática</t>
  </si>
  <si>
    <t>BPA-140</t>
  </si>
  <si>
    <t>07/08/2022</t>
  </si>
  <si>
    <t>16:00</t>
  </si>
  <si>
    <t>20 54 49.992</t>
  </si>
  <si>
    <t>64 6 37.626</t>
  </si>
  <si>
    <t>7:55</t>
  </si>
  <si>
    <t>21 15 28.614</t>
  </si>
  <si>
    <t>63 30 43.572</t>
  </si>
  <si>
    <t>26/05/2022</t>
  </si>
  <si>
    <t>15:20</t>
  </si>
  <si>
    <t>Mayo 2022</t>
  </si>
  <si>
    <t>19 28 18.726</t>
  </si>
  <si>
    <t>65 47 39.684</t>
  </si>
  <si>
    <t>10:10</t>
  </si>
  <si>
    <t>19° 19' 17.604"</t>
  </si>
  <si>
    <t>65° 33' 7.584"</t>
  </si>
  <si>
    <t>25/05/2022</t>
  </si>
  <si>
    <t>13:30</t>
  </si>
  <si>
    <t>19° 8' 52.668"</t>
  </si>
  <si>
    <t>65° 33' 50.688"</t>
  </si>
  <si>
    <t>19° 7' 56.418"</t>
  </si>
  <si>
    <t>65° 34' 19.632"</t>
  </si>
  <si>
    <t>24/05/2022</t>
  </si>
  <si>
    <t>14:00</t>
  </si>
  <si>
    <t>20° 44' 31.74"</t>
  </si>
  <si>
    <t>65° 14' 25.818"</t>
  </si>
  <si>
    <t>21° 14' 20.604"</t>
  </si>
  <si>
    <t>65° 12' 33.894"</t>
  </si>
  <si>
    <t>23/05/2022</t>
  </si>
  <si>
    <t>7:40</t>
  </si>
  <si>
    <t>21° 15' 28.488"</t>
  </si>
  <si>
    <t>63° 30' 43.53"</t>
  </si>
  <si>
    <t>22/05/2022</t>
  </si>
  <si>
    <t>8:15</t>
  </si>
  <si>
    <t>22° 22' 41.106"</t>
  </si>
  <si>
    <t>62° 31' 6.76"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</si>
</sst>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3"/>
      <c r="DB1" s="3"/>
    </row>
    <row r="2">
      <c r="A2" s="4" t="s">
        <v>104</v>
      </c>
      <c r="B2" s="4" t="s">
        <v>105</v>
      </c>
      <c r="C2" s="5" t="s">
        <v>106</v>
      </c>
      <c r="D2" s="5" t="s">
        <v>107</v>
      </c>
      <c r="E2" s="4" t="s">
        <v>108</v>
      </c>
      <c r="F2" s="4" t="s">
        <v>109</v>
      </c>
      <c r="G2" s="4" t="s">
        <v>110</v>
      </c>
      <c r="H2" s="4" t="s">
        <v>111</v>
      </c>
      <c r="I2" s="4" t="s">
        <v>112</v>
      </c>
      <c r="J2" s="4" t="s">
        <v>113</v>
      </c>
      <c r="K2" s="4" t="s">
        <v>114</v>
      </c>
      <c r="L2" s="4">
        <v>-19.4074</v>
      </c>
      <c r="M2" s="4">
        <v>-64.8639</v>
      </c>
      <c r="N2" s="4">
        <v>0.6</v>
      </c>
      <c r="O2" s="4">
        <v>13.0</v>
      </c>
      <c r="P2" s="4">
        <v>1258.0</v>
      </c>
      <c r="Q2" s="4">
        <v>156.6</v>
      </c>
      <c r="R2" s="4">
        <v>8.54</v>
      </c>
      <c r="S2" s="4">
        <v>-96.5</v>
      </c>
      <c r="T2" s="4">
        <v>795.0</v>
      </c>
      <c r="U2" s="4">
        <v>0.3</v>
      </c>
      <c r="V2" s="4">
        <v>21.6</v>
      </c>
      <c r="W2" s="4">
        <v>6.67</v>
      </c>
      <c r="X2" s="4">
        <v>97.0</v>
      </c>
      <c r="Y2" s="4">
        <f t="shared" ref="Y2:Y4" si="5">1.5*1100</f>
        <v>1650</v>
      </c>
      <c r="Z2" s="4">
        <v>1972.0</v>
      </c>
      <c r="AA2" s="4">
        <v>512.0</v>
      </c>
      <c r="AB2" s="4">
        <v>1460.0</v>
      </c>
      <c r="AC2" s="4"/>
      <c r="AD2" s="4">
        <v>272.3</v>
      </c>
      <c r="AE2" s="4">
        <f>0.5*0.1</f>
        <v>0.05</v>
      </c>
      <c r="AF2" s="4">
        <v>135.0</v>
      </c>
      <c r="AG2" s="4">
        <v>101.1</v>
      </c>
      <c r="AH2" s="4">
        <v>16.0</v>
      </c>
      <c r="AI2" s="4">
        <v>35.93</v>
      </c>
      <c r="AJ2" s="4">
        <v>25.96</v>
      </c>
      <c r="AK2" s="4">
        <v>63.99</v>
      </c>
      <c r="AL2" s="4">
        <v>6.08</v>
      </c>
      <c r="AM2" s="4">
        <v>40.12</v>
      </c>
      <c r="AN2" s="4">
        <v>41.8</v>
      </c>
      <c r="AO2" s="4">
        <v>104.5</v>
      </c>
      <c r="AP2" s="4">
        <v>11.03</v>
      </c>
      <c r="AQ2" s="4"/>
      <c r="AR2" s="4"/>
      <c r="AS2" s="4"/>
      <c r="AT2" s="4"/>
      <c r="AU2" s="4">
        <v>3.1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>
        <f t="shared" ref="BF2:BG2" si="1">0.5*10</f>
        <v>5</v>
      </c>
      <c r="BG2" s="4">
        <f t="shared" si="1"/>
        <v>5</v>
      </c>
      <c r="BH2" s="4">
        <f t="shared" ref="BH2:BI2" si="2">0.5*0.01</f>
        <v>0.005</v>
      </c>
      <c r="BI2" s="4">
        <f t="shared" si="2"/>
        <v>0.005</v>
      </c>
      <c r="BJ2" s="4">
        <f t="shared" ref="BJ2:BJ11" si="8">0.5*2</f>
        <v>1</v>
      </c>
      <c r="BK2" s="4">
        <v>1820.0</v>
      </c>
      <c r="BL2" s="4">
        <f t="shared" ref="BL2:BL11" si="9">0.5*10</f>
        <v>5</v>
      </c>
      <c r="BM2" s="4">
        <f t="shared" ref="BM2:BM3" si="10">0.5*2</f>
        <v>1</v>
      </c>
      <c r="BN2" s="4">
        <v>360.0</v>
      </c>
      <c r="BO2" s="4">
        <v>28.0</v>
      </c>
      <c r="BP2" s="4">
        <f t="shared" ref="BP2:BP5" si="11">0.5*0.2</f>
        <v>0.1</v>
      </c>
      <c r="BQ2" s="4">
        <f t="shared" ref="BQ2:BS2" si="3">0.5*1</f>
        <v>0.5</v>
      </c>
      <c r="BR2" s="4">
        <f t="shared" si="3"/>
        <v>0.5</v>
      </c>
      <c r="BS2" s="4">
        <f t="shared" si="3"/>
        <v>0.5</v>
      </c>
      <c r="BT2" s="4">
        <v>11020.0</v>
      </c>
      <c r="BU2" s="4">
        <v>340.0</v>
      </c>
      <c r="BV2" s="4">
        <f t="shared" ref="BV2:BV17" si="13">0.5*10</f>
        <v>5</v>
      </c>
      <c r="BW2" s="4">
        <v>7.0</v>
      </c>
      <c r="BX2" s="4">
        <v>1870.0</v>
      </c>
      <c r="BY2" s="4">
        <f t="shared" ref="BY2:BY11" si="14">0.5*10</f>
        <v>5</v>
      </c>
      <c r="BZ2" s="4">
        <v>36.0</v>
      </c>
      <c r="CA2" s="4">
        <v>370.0</v>
      </c>
      <c r="CB2" s="4">
        <v>29.0</v>
      </c>
      <c r="CC2" s="4">
        <f t="shared" ref="CC2:CC3" si="15">0.5*0.2</f>
        <v>0.1</v>
      </c>
      <c r="CD2" s="4">
        <v>87.0</v>
      </c>
      <c r="CE2" s="4">
        <f t="shared" ref="CE2:CF2" si="4">0.5*1</f>
        <v>0.5</v>
      </c>
      <c r="CF2" s="4">
        <f t="shared" si="4"/>
        <v>0.5</v>
      </c>
      <c r="CG2" s="4">
        <v>50110.0</v>
      </c>
      <c r="CH2" s="4">
        <v>440.0</v>
      </c>
      <c r="CI2" s="4">
        <f t="shared" ref="CI2:CI17" si="17">0.5*10</f>
        <v>5</v>
      </c>
      <c r="CJ2" s="4"/>
      <c r="CK2" s="4"/>
      <c r="CL2" s="4"/>
      <c r="CM2" s="4"/>
      <c r="CN2" s="4"/>
      <c r="CO2" s="4"/>
      <c r="CP2" s="4">
        <v>6.85</v>
      </c>
      <c r="CQ2" s="4">
        <v>55.42</v>
      </c>
      <c r="CR2" s="4">
        <v>0.68</v>
      </c>
      <c r="CS2" s="4">
        <v>68.49</v>
      </c>
      <c r="CT2" s="4"/>
      <c r="CU2" s="4">
        <v>24.66</v>
      </c>
      <c r="CV2" s="4">
        <v>4.79</v>
      </c>
      <c r="CW2" s="4">
        <v>26773.97</v>
      </c>
      <c r="CX2" s="4">
        <v>34.25</v>
      </c>
      <c r="CY2" s="4"/>
      <c r="CZ2" s="4"/>
    </row>
    <row r="3">
      <c r="A3" s="4" t="s">
        <v>115</v>
      </c>
      <c r="B3" s="4" t="s">
        <v>116</v>
      </c>
      <c r="C3" s="5" t="s">
        <v>117</v>
      </c>
      <c r="D3" s="5" t="s">
        <v>118</v>
      </c>
      <c r="E3" s="4" t="s">
        <v>108</v>
      </c>
      <c r="F3" s="4" t="s">
        <v>109</v>
      </c>
      <c r="G3" s="4" t="s">
        <v>110</v>
      </c>
      <c r="H3" s="4" t="s">
        <v>111</v>
      </c>
      <c r="I3" s="4" t="s">
        <v>119</v>
      </c>
      <c r="J3" s="4" t="s">
        <v>120</v>
      </c>
      <c r="K3" s="4" t="s">
        <v>121</v>
      </c>
      <c r="L3" s="4">
        <v>-19.131</v>
      </c>
      <c r="M3" s="4">
        <v>-65.4509</v>
      </c>
      <c r="N3" s="4">
        <v>1.153</v>
      </c>
      <c r="O3" s="4">
        <v>9.0</v>
      </c>
      <c r="P3" s="4">
        <v>926.0</v>
      </c>
      <c r="Q3" s="4">
        <v>149.9</v>
      </c>
      <c r="R3" s="4">
        <v>8.41</v>
      </c>
      <c r="S3" s="4">
        <v>-87.5</v>
      </c>
      <c r="T3" s="4">
        <v>1077.5</v>
      </c>
      <c r="U3" s="4">
        <v>0.5</v>
      </c>
      <c r="V3" s="4">
        <v>16.9</v>
      </c>
      <c r="W3" s="4">
        <v>6.98</v>
      </c>
      <c r="X3" s="4">
        <v>98.05</v>
      </c>
      <c r="Y3" s="4">
        <f t="shared" si="5"/>
        <v>1650</v>
      </c>
      <c r="Z3" s="4">
        <v>2643.0</v>
      </c>
      <c r="AA3" s="4">
        <v>674.0</v>
      </c>
      <c r="AB3" s="4">
        <v>1967.0</v>
      </c>
      <c r="AC3" s="4"/>
      <c r="AD3" s="4">
        <v>211.0</v>
      </c>
      <c r="AE3" s="4">
        <v>10.0</v>
      </c>
      <c r="AF3" s="4">
        <v>135.0</v>
      </c>
      <c r="AG3" s="4">
        <v>169.5</v>
      </c>
      <c r="AH3" s="4">
        <v>18.0</v>
      </c>
      <c r="AI3" s="4">
        <v>35.17</v>
      </c>
      <c r="AJ3" s="4">
        <v>24.01</v>
      </c>
      <c r="AK3" s="4">
        <v>120.62</v>
      </c>
      <c r="AL3" s="4">
        <v>9.78</v>
      </c>
      <c r="AM3" s="4">
        <v>44.88</v>
      </c>
      <c r="AN3" s="4">
        <v>41.01</v>
      </c>
      <c r="AO3" s="4">
        <v>188.2</v>
      </c>
      <c r="AP3" s="4">
        <v>15.83</v>
      </c>
      <c r="AQ3" s="4"/>
      <c r="AR3" s="4"/>
      <c r="AS3" s="4"/>
      <c r="AT3" s="4"/>
      <c r="AU3" s="4">
        <v>2.7</v>
      </c>
      <c r="AV3" s="4"/>
      <c r="AW3" s="4"/>
      <c r="AX3" s="4">
        <f t="shared" ref="AX3:AX4" si="19">0.5*5</f>
        <v>2.5</v>
      </c>
      <c r="AY3" s="4">
        <f>0.5*2</f>
        <v>1</v>
      </c>
      <c r="AZ3" s="4"/>
      <c r="BA3" s="4"/>
      <c r="BB3" s="4"/>
      <c r="BC3" s="4"/>
      <c r="BD3" s="4"/>
      <c r="BE3" s="4"/>
      <c r="BF3" s="4">
        <f t="shared" ref="BF3:BG3" si="6">0.5*10</f>
        <v>5</v>
      </c>
      <c r="BG3" s="4">
        <f t="shared" si="6"/>
        <v>5</v>
      </c>
      <c r="BH3" s="4">
        <f t="shared" ref="BH3:BI3" si="7">0.5*0.01</f>
        <v>0.005</v>
      </c>
      <c r="BI3" s="4">
        <f t="shared" si="7"/>
        <v>0.005</v>
      </c>
      <c r="BJ3" s="4">
        <f t="shared" si="8"/>
        <v>1</v>
      </c>
      <c r="BK3" s="4">
        <v>810.0</v>
      </c>
      <c r="BL3" s="4">
        <f t="shared" si="9"/>
        <v>5</v>
      </c>
      <c r="BM3" s="4">
        <f t="shared" si="10"/>
        <v>1</v>
      </c>
      <c r="BN3" s="4">
        <v>620.0</v>
      </c>
      <c r="BO3" s="4">
        <v>14.0</v>
      </c>
      <c r="BP3" s="4">
        <f t="shared" si="11"/>
        <v>0.1</v>
      </c>
      <c r="BQ3" s="4">
        <f t="shared" ref="BQ3:BS3" si="12">0.5*1</f>
        <v>0.5</v>
      </c>
      <c r="BR3" s="4">
        <f t="shared" si="12"/>
        <v>0.5</v>
      </c>
      <c r="BS3" s="4">
        <f t="shared" si="12"/>
        <v>0.5</v>
      </c>
      <c r="BT3" s="4">
        <v>15660.0</v>
      </c>
      <c r="BU3" s="4">
        <v>850.0</v>
      </c>
      <c r="BV3" s="4">
        <f t="shared" si="13"/>
        <v>5</v>
      </c>
      <c r="BW3" s="4">
        <v>5.0</v>
      </c>
      <c r="BX3" s="4">
        <v>1220.0</v>
      </c>
      <c r="BY3" s="4">
        <f t="shared" si="14"/>
        <v>5</v>
      </c>
      <c r="BZ3" s="4">
        <v>35.0</v>
      </c>
      <c r="CA3" s="4">
        <v>620.0</v>
      </c>
      <c r="CB3" s="4">
        <v>14.0</v>
      </c>
      <c r="CC3" s="4">
        <f t="shared" si="15"/>
        <v>0.1</v>
      </c>
      <c r="CD3" s="4">
        <v>58.0</v>
      </c>
      <c r="CE3" s="4">
        <f t="shared" ref="CE3:CF3" si="16">0.5*1</f>
        <v>0.5</v>
      </c>
      <c r="CF3" s="4">
        <f t="shared" si="16"/>
        <v>0.5</v>
      </c>
      <c r="CG3" s="4">
        <v>32350.0</v>
      </c>
      <c r="CH3" s="4">
        <v>1030.0</v>
      </c>
      <c r="CI3" s="4">
        <f t="shared" si="17"/>
        <v>5</v>
      </c>
      <c r="CJ3" s="4"/>
      <c r="CK3" s="4"/>
      <c r="CL3" s="4"/>
      <c r="CM3" s="4"/>
      <c r="CN3" s="4"/>
      <c r="CO3" s="4"/>
      <c r="CP3" s="4">
        <v>0.0</v>
      </c>
      <c r="CQ3" s="4">
        <v>24.51</v>
      </c>
      <c r="CR3" s="4">
        <v>0.0</v>
      </c>
      <c r="CS3" s="4">
        <v>91.51</v>
      </c>
      <c r="CT3" s="4"/>
      <c r="CU3" s="4">
        <v>17.79</v>
      </c>
      <c r="CV3" s="4">
        <v>2.54</v>
      </c>
      <c r="CW3" s="4">
        <v>8485.0</v>
      </c>
      <c r="CX3" s="4">
        <v>208.44</v>
      </c>
      <c r="CY3" s="4"/>
      <c r="CZ3" s="4"/>
    </row>
    <row r="4">
      <c r="A4" s="4" t="s">
        <v>122</v>
      </c>
      <c r="B4" s="4" t="s">
        <v>123</v>
      </c>
      <c r="C4" s="5" t="s">
        <v>124</v>
      </c>
      <c r="D4" s="5" t="s">
        <v>125</v>
      </c>
      <c r="E4" s="4" t="s">
        <v>108</v>
      </c>
      <c r="F4" s="4" t="s">
        <v>109</v>
      </c>
      <c r="G4" s="4" t="s">
        <v>110</v>
      </c>
      <c r="H4" s="4" t="s">
        <v>126</v>
      </c>
      <c r="I4" s="4" t="s">
        <v>119</v>
      </c>
      <c r="J4" s="4" t="s">
        <v>127</v>
      </c>
      <c r="K4" s="4" t="s">
        <v>128</v>
      </c>
      <c r="L4" s="4">
        <v>-19.3214</v>
      </c>
      <c r="M4" s="4">
        <v>-65.5519</v>
      </c>
      <c r="N4" s="4">
        <v>0.076</v>
      </c>
      <c r="O4" s="4">
        <v>0.0</v>
      </c>
      <c r="P4" s="4">
        <v>1084.0</v>
      </c>
      <c r="Q4" s="4">
        <v>135.2</v>
      </c>
      <c r="R4" s="4">
        <v>3.23</v>
      </c>
      <c r="S4" s="4">
        <v>202.0</v>
      </c>
      <c r="T4" s="4">
        <v>927.0</v>
      </c>
      <c r="U4" s="4">
        <v>0.4</v>
      </c>
      <c r="V4" s="4">
        <v>10.4</v>
      </c>
      <c r="W4" s="4">
        <v>7.2</v>
      </c>
      <c r="X4" s="4">
        <v>99.5</v>
      </c>
      <c r="Y4" s="4">
        <f t="shared" si="5"/>
        <v>1650</v>
      </c>
      <c r="Z4" s="4">
        <v>1901.0</v>
      </c>
      <c r="AA4" s="4">
        <v>450.0</v>
      </c>
      <c r="AB4" s="4">
        <v>1449.0</v>
      </c>
      <c r="AC4" s="4"/>
      <c r="AD4" s="4">
        <v>155.0</v>
      </c>
      <c r="AE4" s="4">
        <f t="shared" ref="AE4:AF4" si="18">0.5*0.1</f>
        <v>0.05</v>
      </c>
      <c r="AF4" s="4">
        <f t="shared" si="18"/>
        <v>0.05</v>
      </c>
      <c r="AG4" s="4">
        <v>33.2</v>
      </c>
      <c r="AH4" s="4">
        <v>28.0</v>
      </c>
      <c r="AI4" s="4">
        <v>22.77</v>
      </c>
      <c r="AJ4" s="4">
        <v>19.32</v>
      </c>
      <c r="AK4" s="4">
        <v>3.0</v>
      </c>
      <c r="AL4" s="4">
        <v>3.9</v>
      </c>
      <c r="AM4" s="4">
        <v>22.89</v>
      </c>
      <c r="AN4" s="4">
        <v>25.57</v>
      </c>
      <c r="AO4" s="4">
        <v>4.6</v>
      </c>
      <c r="AP4" s="4">
        <v>4.7</v>
      </c>
      <c r="AQ4" s="4"/>
      <c r="AR4" s="4"/>
      <c r="AS4" s="4"/>
      <c r="AT4" s="4"/>
      <c r="AU4" s="4">
        <v>11.07</v>
      </c>
      <c r="AV4" s="4"/>
      <c r="AW4" s="4"/>
      <c r="AX4" s="4">
        <f t="shared" si="19"/>
        <v>2.5</v>
      </c>
      <c r="AY4" s="4">
        <v>8.0</v>
      </c>
      <c r="AZ4" s="4"/>
      <c r="BA4" s="4"/>
      <c r="BB4" s="4"/>
      <c r="BC4" s="4"/>
      <c r="BD4" s="4"/>
      <c r="BE4" s="4"/>
      <c r="BF4" s="4">
        <f t="shared" ref="BF4:BG4" si="20">0.5*10</f>
        <v>5</v>
      </c>
      <c r="BG4" s="4">
        <f t="shared" si="20"/>
        <v>5</v>
      </c>
      <c r="BH4" s="4">
        <f t="shared" ref="BH4:BI4" si="21">0.5*0.01</f>
        <v>0.005</v>
      </c>
      <c r="BI4" s="4">
        <f t="shared" si="21"/>
        <v>0.005</v>
      </c>
      <c r="BJ4" s="4">
        <f t="shared" si="8"/>
        <v>1</v>
      </c>
      <c r="BK4" s="4">
        <v>7610.0</v>
      </c>
      <c r="BL4" s="4">
        <f t="shared" si="9"/>
        <v>5</v>
      </c>
      <c r="BM4" s="4">
        <v>2580.0</v>
      </c>
      <c r="BN4" s="4">
        <v>4420.0</v>
      </c>
      <c r="BO4" s="4">
        <v>240.0</v>
      </c>
      <c r="BP4" s="4">
        <f t="shared" si="11"/>
        <v>0.1</v>
      </c>
      <c r="BQ4" s="4">
        <f t="shared" ref="BQ4:BS4" si="22">0.5*1</f>
        <v>0.5</v>
      </c>
      <c r="BR4" s="4">
        <f t="shared" si="22"/>
        <v>0.5</v>
      </c>
      <c r="BS4" s="4">
        <f t="shared" si="22"/>
        <v>0.5</v>
      </c>
      <c r="BT4" s="4">
        <v>130300.0</v>
      </c>
      <c r="BU4" s="4">
        <f>0.5*200</f>
        <v>100</v>
      </c>
      <c r="BV4" s="4">
        <f t="shared" si="13"/>
        <v>5</v>
      </c>
      <c r="BW4" s="4">
        <v>5.0</v>
      </c>
      <c r="BX4" s="4">
        <v>8080.0</v>
      </c>
      <c r="BY4" s="4">
        <f t="shared" si="14"/>
        <v>5</v>
      </c>
      <c r="BZ4" s="4">
        <v>2920.0</v>
      </c>
      <c r="CA4" s="4">
        <v>4530.0</v>
      </c>
      <c r="CB4" s="4">
        <v>960.0</v>
      </c>
      <c r="CC4" s="4">
        <v>1.3</v>
      </c>
      <c r="CD4" s="4">
        <v>572.0</v>
      </c>
      <c r="CE4" s="4">
        <f t="shared" ref="CE4:CF4" si="23">0.5*1</f>
        <v>0.5</v>
      </c>
      <c r="CF4" s="4">
        <f t="shared" si="23"/>
        <v>0.5</v>
      </c>
      <c r="CG4" s="4">
        <v>262800.0</v>
      </c>
      <c r="CH4" s="4">
        <f>0.5*200</f>
        <v>100</v>
      </c>
      <c r="CI4" s="4">
        <f t="shared" si="17"/>
        <v>5</v>
      </c>
      <c r="CJ4" s="4"/>
      <c r="CK4" s="4"/>
      <c r="CL4" s="4"/>
      <c r="CM4" s="4"/>
      <c r="CN4" s="4"/>
      <c r="CO4" s="4"/>
      <c r="CP4" s="4">
        <v>75.91</v>
      </c>
      <c r="CQ4" s="4">
        <v>392.06</v>
      </c>
      <c r="CR4" s="4">
        <v>496.89</v>
      </c>
      <c r="CS4" s="4"/>
      <c r="CT4" s="4">
        <v>0.9</v>
      </c>
      <c r="CU4" s="4">
        <v>234.64</v>
      </c>
      <c r="CV4" s="4">
        <v>3.45</v>
      </c>
      <c r="CW4" s="4">
        <v>91442.37</v>
      </c>
      <c r="CX4" s="4">
        <v>324.36</v>
      </c>
      <c r="CY4" s="4"/>
      <c r="CZ4" s="4"/>
    </row>
    <row r="5">
      <c r="A5" s="4" t="s">
        <v>129</v>
      </c>
      <c r="B5" s="4" t="s">
        <v>130</v>
      </c>
      <c r="C5" s="5" t="s">
        <v>124</v>
      </c>
      <c r="D5" s="5" t="s">
        <v>131</v>
      </c>
      <c r="E5" s="4" t="s">
        <v>108</v>
      </c>
      <c r="F5" s="4" t="s">
        <v>109</v>
      </c>
      <c r="G5" s="4" t="s">
        <v>110</v>
      </c>
      <c r="H5" s="4" t="s">
        <v>129</v>
      </c>
      <c r="I5" s="4" t="s">
        <v>119</v>
      </c>
      <c r="J5" s="4" t="s">
        <v>132</v>
      </c>
      <c r="K5" s="4" t="s">
        <v>133</v>
      </c>
      <c r="L5" s="4">
        <v>-19.4718</v>
      </c>
      <c r="M5" s="4">
        <v>-65.7944</v>
      </c>
      <c r="N5" s="4">
        <v>0.081</v>
      </c>
      <c r="O5" s="4">
        <v>0.0</v>
      </c>
      <c r="P5" s="4">
        <v>942.0</v>
      </c>
      <c r="Q5" s="4">
        <v>115.7</v>
      </c>
      <c r="R5" s="4">
        <v>8.03</v>
      </c>
      <c r="S5" s="4">
        <v>-64.0</v>
      </c>
      <c r="T5" s="4">
        <v>1062.0</v>
      </c>
      <c r="U5" s="4">
        <v>0.5</v>
      </c>
      <c r="V5" s="4">
        <v>11.8</v>
      </c>
      <c r="W5" s="4">
        <v>5.98</v>
      </c>
      <c r="X5" s="4">
        <v>82.0</v>
      </c>
      <c r="Y5" s="4">
        <v>202.0</v>
      </c>
      <c r="Z5" s="4">
        <v>814.0</v>
      </c>
      <c r="AA5" s="4">
        <v>638.0</v>
      </c>
      <c r="AB5" s="4">
        <v>177.0</v>
      </c>
      <c r="AC5" s="4"/>
      <c r="AD5" s="4">
        <v>260.0</v>
      </c>
      <c r="AE5" s="4">
        <f>0.5*0.1</f>
        <v>0.05</v>
      </c>
      <c r="AF5" s="4">
        <v>185.0</v>
      </c>
      <c r="AG5" s="4">
        <v>96.1</v>
      </c>
      <c r="AH5" s="4">
        <v>20.0</v>
      </c>
      <c r="AI5" s="4">
        <v>72.21</v>
      </c>
      <c r="AJ5" s="4">
        <v>13.26</v>
      </c>
      <c r="AK5" s="4">
        <v>70.7</v>
      </c>
      <c r="AL5" s="4">
        <v>18.1</v>
      </c>
      <c r="AM5" s="4">
        <v>83.27</v>
      </c>
      <c r="AN5" s="4">
        <v>17.56</v>
      </c>
      <c r="AO5" s="4">
        <v>91.8</v>
      </c>
      <c r="AP5" s="4">
        <v>27.0</v>
      </c>
      <c r="AQ5" s="4"/>
      <c r="AR5" s="4"/>
      <c r="AS5" s="4"/>
      <c r="AT5" s="4"/>
      <c r="AU5" s="4">
        <v>3.1</v>
      </c>
      <c r="AV5" s="4"/>
      <c r="AW5" s="4"/>
      <c r="AX5" s="4">
        <v>33.0</v>
      </c>
      <c r="AY5" s="4">
        <v>49.0</v>
      </c>
      <c r="AZ5" s="4"/>
      <c r="BA5" s="4"/>
      <c r="BB5" s="4"/>
      <c r="BC5" s="4"/>
      <c r="BD5" s="4"/>
      <c r="BE5" s="4"/>
      <c r="BF5" s="4">
        <f t="shared" ref="BF5:BG5" si="24">0.5*10</f>
        <v>5</v>
      </c>
      <c r="BG5" s="4">
        <f t="shared" si="24"/>
        <v>5</v>
      </c>
      <c r="BH5" s="4">
        <f t="shared" ref="BH5:BI5" si="25">0.5*0.01</f>
        <v>0.005</v>
      </c>
      <c r="BI5" s="4">
        <f t="shared" si="25"/>
        <v>0.005</v>
      </c>
      <c r="BJ5" s="4">
        <f t="shared" si="8"/>
        <v>1</v>
      </c>
      <c r="BK5" s="4">
        <v>920.0</v>
      </c>
      <c r="BL5" s="4">
        <f t="shared" si="9"/>
        <v>5</v>
      </c>
      <c r="BM5" s="4">
        <v>80.0</v>
      </c>
      <c r="BN5" s="4">
        <v>4300.0</v>
      </c>
      <c r="BO5" s="4">
        <v>191.0</v>
      </c>
      <c r="BP5" s="4">
        <f t="shared" si="11"/>
        <v>0.1</v>
      </c>
      <c r="BQ5" s="4">
        <f t="shared" ref="BQ5:BR5" si="26">0.5*1</f>
        <v>0.5</v>
      </c>
      <c r="BR5" s="4">
        <f t="shared" si="26"/>
        <v>0.5</v>
      </c>
      <c r="BS5" s="4">
        <f>0.5*0.02</f>
        <v>0.01</v>
      </c>
      <c r="BT5" s="4">
        <v>8620.0</v>
      </c>
      <c r="BU5" s="4">
        <v>240.0</v>
      </c>
      <c r="BV5" s="4">
        <f t="shared" si="13"/>
        <v>5</v>
      </c>
      <c r="BW5" s="4">
        <f t="shared" ref="BW5:BW9" si="32">0.5*2</f>
        <v>1</v>
      </c>
      <c r="BX5" s="4">
        <v>980.0</v>
      </c>
      <c r="BY5" s="4">
        <f t="shared" si="14"/>
        <v>5</v>
      </c>
      <c r="BZ5" s="4">
        <v>83.0</v>
      </c>
      <c r="CA5" s="4">
        <v>4490.0</v>
      </c>
      <c r="CB5" s="4">
        <v>230.0</v>
      </c>
      <c r="CC5" s="4">
        <v>0.7</v>
      </c>
      <c r="CD5" s="4">
        <f t="shared" ref="CD5:CE5" si="27">0.5*1</f>
        <v>0.5</v>
      </c>
      <c r="CE5" s="4">
        <f t="shared" si="27"/>
        <v>0.5</v>
      </c>
      <c r="CF5" s="4">
        <f>0.5*0.02</f>
        <v>0.01</v>
      </c>
      <c r="CG5" s="4">
        <v>9170.0</v>
      </c>
      <c r="CH5" s="4">
        <v>340.0</v>
      </c>
      <c r="CI5" s="4">
        <f t="shared" si="17"/>
        <v>5</v>
      </c>
      <c r="CJ5" s="4"/>
      <c r="CK5" s="4"/>
      <c r="CL5" s="4"/>
      <c r="CM5" s="4"/>
      <c r="CN5" s="4"/>
      <c r="CO5" s="4"/>
      <c r="CP5" s="4">
        <v>1073.45</v>
      </c>
      <c r="CQ5" s="4"/>
      <c r="CR5" s="4">
        <v>220.34</v>
      </c>
      <c r="CS5" s="4">
        <v>564.97</v>
      </c>
      <c r="CT5" s="4">
        <v>3.95</v>
      </c>
      <c r="CU5" s="4">
        <v>16.95</v>
      </c>
      <c r="CV5" s="4"/>
      <c r="CW5" s="4">
        <v>3107.34</v>
      </c>
      <c r="CX5" s="4">
        <v>338.98</v>
      </c>
      <c r="CY5" s="4"/>
      <c r="CZ5" s="4"/>
    </row>
    <row r="6">
      <c r="A6" s="4" t="s">
        <v>134</v>
      </c>
      <c r="B6" s="4" t="s">
        <v>135</v>
      </c>
      <c r="C6" s="5" t="s">
        <v>136</v>
      </c>
      <c r="D6" s="5" t="s">
        <v>137</v>
      </c>
      <c r="E6" s="4" t="s">
        <v>108</v>
      </c>
      <c r="F6" s="4" t="s">
        <v>109</v>
      </c>
      <c r="G6" s="4" t="s">
        <v>110</v>
      </c>
      <c r="H6" s="4" t="s">
        <v>138</v>
      </c>
      <c r="J6" s="4" t="s">
        <v>139</v>
      </c>
      <c r="K6" s="4" t="s">
        <v>140</v>
      </c>
      <c r="L6" s="4">
        <v>-19.1371</v>
      </c>
      <c r="M6" s="4">
        <v>-65.5684</v>
      </c>
      <c r="N6" s="4">
        <v>0.11</v>
      </c>
      <c r="O6" s="4">
        <v>0.0</v>
      </c>
      <c r="P6" s="4">
        <v>1368.0</v>
      </c>
      <c r="Q6" s="4">
        <v>144.1</v>
      </c>
      <c r="R6" s="4">
        <v>8.47</v>
      </c>
      <c r="S6" s="4">
        <v>-91.5</v>
      </c>
      <c r="T6" s="4">
        <v>731.5</v>
      </c>
      <c r="U6" s="4">
        <v>0.3</v>
      </c>
      <c r="V6" s="4">
        <v>21.0</v>
      </c>
      <c r="W6" s="4">
        <v>6.21</v>
      </c>
      <c r="X6" s="4">
        <v>97.7</v>
      </c>
      <c r="Y6" s="4">
        <v>85.9</v>
      </c>
      <c r="Z6" s="4">
        <v>556.0</v>
      </c>
      <c r="AA6" s="4">
        <v>472.0</v>
      </c>
      <c r="AB6" s="4">
        <v>85.0</v>
      </c>
      <c r="AC6" s="4"/>
      <c r="AD6" s="4">
        <v>405.5</v>
      </c>
      <c r="AE6" s="4">
        <v>20.0</v>
      </c>
      <c r="AF6" s="4">
        <v>185.0</v>
      </c>
      <c r="AG6" s="4">
        <v>6.9</v>
      </c>
      <c r="AH6" s="4">
        <v>19.0</v>
      </c>
      <c r="AI6" s="4">
        <v>38.51</v>
      </c>
      <c r="AJ6" s="4">
        <v>52.55</v>
      </c>
      <c r="AK6" s="4">
        <v>22.5</v>
      </c>
      <c r="AL6" s="4">
        <v>7.8</v>
      </c>
      <c r="AM6" s="4">
        <v>41.25</v>
      </c>
      <c r="AN6" s="4">
        <v>76.01</v>
      </c>
      <c r="AO6" s="4">
        <v>36.7</v>
      </c>
      <c r="AP6" s="4">
        <v>11.1</v>
      </c>
      <c r="AQ6" s="4"/>
      <c r="AR6" s="4"/>
      <c r="AS6" s="4"/>
      <c r="AT6" s="4"/>
      <c r="AU6" s="4">
        <f>0.5*0.01</f>
        <v>0.005</v>
      </c>
      <c r="AV6" s="4"/>
      <c r="AW6" s="4"/>
      <c r="AX6" s="4">
        <v>2.0</v>
      </c>
      <c r="AY6" s="4">
        <f>0.5*2</f>
        <v>1</v>
      </c>
      <c r="AZ6" s="4"/>
      <c r="BA6" s="4"/>
      <c r="BB6" s="4"/>
      <c r="BC6" s="4"/>
      <c r="BD6" s="4"/>
      <c r="BE6" s="4"/>
      <c r="BF6" s="4">
        <f t="shared" ref="BF6:BG6" si="28">0.5*10</f>
        <v>5</v>
      </c>
      <c r="BG6" s="4">
        <f t="shared" si="28"/>
        <v>5</v>
      </c>
      <c r="BH6" s="4">
        <f t="shared" ref="BH6:BI6" si="29">0.5*0.01</f>
        <v>0.005</v>
      </c>
      <c r="BI6" s="4">
        <f t="shared" si="29"/>
        <v>0.005</v>
      </c>
      <c r="BJ6" s="4">
        <f t="shared" si="8"/>
        <v>1</v>
      </c>
      <c r="BK6" s="4">
        <v>120.0</v>
      </c>
      <c r="BL6" s="4">
        <f t="shared" si="9"/>
        <v>5</v>
      </c>
      <c r="BM6" s="4">
        <f t="shared" ref="BM6:BN6" si="30">0.5*2</f>
        <v>1</v>
      </c>
      <c r="BN6" s="4">
        <f t="shared" si="30"/>
        <v>1</v>
      </c>
      <c r="BO6" s="4">
        <f>0.5*10</f>
        <v>5</v>
      </c>
      <c r="BP6" s="4">
        <f t="shared" ref="BP6:BP9" si="36">0.5*0.01</f>
        <v>0.005</v>
      </c>
      <c r="BQ6" s="4">
        <f t="shared" ref="BQ6:BS6" si="31">0.5*1</f>
        <v>0.5</v>
      </c>
      <c r="BR6" s="4">
        <f t="shared" si="31"/>
        <v>0.5</v>
      </c>
      <c r="BS6" s="4">
        <f t="shared" si="31"/>
        <v>0.5</v>
      </c>
      <c r="BT6" s="4">
        <v>1600.0</v>
      </c>
      <c r="BU6" s="4">
        <f>0.5*200</f>
        <v>100</v>
      </c>
      <c r="BV6" s="4">
        <f t="shared" si="13"/>
        <v>5</v>
      </c>
      <c r="BW6" s="4">
        <f t="shared" si="32"/>
        <v>1</v>
      </c>
      <c r="BX6" s="4">
        <v>120.0</v>
      </c>
      <c r="BY6" s="4">
        <f t="shared" si="14"/>
        <v>5</v>
      </c>
      <c r="BZ6" s="4">
        <f t="shared" ref="BZ6:BZ9" si="38">0.5*2</f>
        <v>1</v>
      </c>
      <c r="CA6" s="4">
        <f>0.5*20</f>
        <v>10</v>
      </c>
      <c r="CB6" s="4">
        <f>0.5*10</f>
        <v>5</v>
      </c>
      <c r="CC6" s="4">
        <f t="shared" ref="CC6:CC9" si="39">0.5*0.01</f>
        <v>0.005</v>
      </c>
      <c r="CD6" s="4">
        <f t="shared" ref="CD6:CF6" si="33">0.5*1</f>
        <v>0.5</v>
      </c>
      <c r="CE6" s="4">
        <f t="shared" si="33"/>
        <v>0.5</v>
      </c>
      <c r="CF6" s="4">
        <f t="shared" si="33"/>
        <v>0.5</v>
      </c>
      <c r="CG6" s="4">
        <v>2080.0</v>
      </c>
      <c r="CH6" s="4">
        <v>270.0</v>
      </c>
      <c r="CI6" s="4">
        <f t="shared" si="17"/>
        <v>5</v>
      </c>
      <c r="CJ6" s="4"/>
      <c r="CK6" s="4"/>
      <c r="CL6" s="4"/>
      <c r="CM6" s="4"/>
      <c r="CN6" s="4"/>
      <c r="CO6" s="4"/>
      <c r="CP6" s="4"/>
      <c r="CQ6" s="4"/>
      <c r="CR6" s="4"/>
      <c r="CS6" s="4">
        <v>3176.47</v>
      </c>
      <c r="CT6" s="4"/>
      <c r="CU6" s="4"/>
      <c r="CV6" s="4"/>
      <c r="CW6" s="4">
        <v>5647.06</v>
      </c>
      <c r="CX6" s="4">
        <v>0.0</v>
      </c>
      <c r="CY6" s="4"/>
      <c r="CZ6" s="4"/>
    </row>
    <row r="7">
      <c r="A7" s="4" t="s">
        <v>141</v>
      </c>
      <c r="B7" s="4" t="s">
        <v>142</v>
      </c>
      <c r="C7" s="5" t="s">
        <v>136</v>
      </c>
      <c r="D7" s="5" t="s">
        <v>143</v>
      </c>
      <c r="E7" s="4" t="s">
        <v>108</v>
      </c>
      <c r="F7" s="4" t="s">
        <v>109</v>
      </c>
      <c r="G7" s="4" t="s">
        <v>110</v>
      </c>
      <c r="H7" s="4" t="s">
        <v>111</v>
      </c>
      <c r="J7" s="4" t="s">
        <v>144</v>
      </c>
      <c r="K7" s="4" t="s">
        <v>145</v>
      </c>
      <c r="L7" s="4">
        <v>-19.1322</v>
      </c>
      <c r="M7" s="4">
        <v>-65.5722</v>
      </c>
      <c r="N7" s="4">
        <v>0.123</v>
      </c>
      <c r="O7" s="4">
        <v>1.0</v>
      </c>
      <c r="P7" s="4">
        <v>964.0</v>
      </c>
      <c r="Q7" s="4">
        <v>145.6</v>
      </c>
      <c r="R7" s="4">
        <v>8.34</v>
      </c>
      <c r="S7" s="4">
        <v>-84.0</v>
      </c>
      <c r="T7" s="4">
        <v>1038.0</v>
      </c>
      <c r="U7" s="4">
        <v>0.5</v>
      </c>
      <c r="V7" s="4">
        <v>17.4</v>
      </c>
      <c r="W7" s="4">
        <v>6.7</v>
      </c>
      <c r="X7" s="4">
        <v>97.5</v>
      </c>
      <c r="Y7" s="4">
        <v>212.0</v>
      </c>
      <c r="Z7" s="4">
        <v>791.0</v>
      </c>
      <c r="AA7" s="4">
        <v>608.0</v>
      </c>
      <c r="AB7" s="4">
        <v>183.0</v>
      </c>
      <c r="AC7" s="4"/>
      <c r="AD7" s="4">
        <v>201.0</v>
      </c>
      <c r="AE7" s="4">
        <v>5.0</v>
      </c>
      <c r="AF7" s="4">
        <v>130.0</v>
      </c>
      <c r="AG7" s="4">
        <v>170.9</v>
      </c>
      <c r="AH7" s="4">
        <v>13.0</v>
      </c>
      <c r="AI7" s="4">
        <v>34.14</v>
      </c>
      <c r="AJ7" s="4">
        <v>17.36</v>
      </c>
      <c r="AK7" s="4">
        <v>114.8</v>
      </c>
      <c r="AL7" s="4">
        <v>11.2</v>
      </c>
      <c r="AM7" s="4">
        <v>43.33</v>
      </c>
      <c r="AN7" s="4">
        <v>24.2</v>
      </c>
      <c r="AO7" s="4">
        <v>146.5</v>
      </c>
      <c r="AP7" s="4">
        <v>14.0</v>
      </c>
      <c r="AQ7" s="4"/>
      <c r="AR7" s="4"/>
      <c r="AS7" s="4"/>
      <c r="AT7" s="4"/>
      <c r="AU7" s="4">
        <v>3.1</v>
      </c>
      <c r="AV7" s="4"/>
      <c r="AW7" s="4"/>
      <c r="AX7" s="4">
        <v>7.0</v>
      </c>
      <c r="AY7" s="4">
        <v>2.0</v>
      </c>
      <c r="AZ7" s="4"/>
      <c r="BA7" s="4"/>
      <c r="BB7" s="4"/>
      <c r="BC7" s="4"/>
      <c r="BD7" s="4"/>
      <c r="BE7" s="4"/>
      <c r="BF7" s="4">
        <f t="shared" ref="BF7:BG7" si="34">0.5*10</f>
        <v>5</v>
      </c>
      <c r="BG7" s="4">
        <f t="shared" si="34"/>
        <v>5</v>
      </c>
      <c r="BH7" s="4">
        <f t="shared" ref="BH7:BI7" si="35">0.5*0.01</f>
        <v>0.005</v>
      </c>
      <c r="BI7" s="4">
        <f t="shared" si="35"/>
        <v>0.005</v>
      </c>
      <c r="BJ7" s="4">
        <f t="shared" si="8"/>
        <v>1</v>
      </c>
      <c r="BK7" s="4">
        <v>470.0</v>
      </c>
      <c r="BL7" s="4">
        <f t="shared" si="9"/>
        <v>5</v>
      </c>
      <c r="BM7" s="4">
        <f t="shared" ref="BM7:BM11" si="43">0.5*2</f>
        <v>1</v>
      </c>
      <c r="BN7" s="4">
        <v>2080.0</v>
      </c>
      <c r="BO7" s="4">
        <v>160.0</v>
      </c>
      <c r="BP7" s="4">
        <f t="shared" si="36"/>
        <v>0.005</v>
      </c>
      <c r="BQ7" s="4">
        <f t="shared" ref="BQ7:BS7" si="37">0.5*1</f>
        <v>0.5</v>
      </c>
      <c r="BR7" s="4">
        <f t="shared" si="37"/>
        <v>0.5</v>
      </c>
      <c r="BS7" s="4">
        <f t="shared" si="37"/>
        <v>0.5</v>
      </c>
      <c r="BT7" s="4">
        <v>4730.0</v>
      </c>
      <c r="BU7" s="4">
        <v>1600.0</v>
      </c>
      <c r="BV7" s="4">
        <f t="shared" si="13"/>
        <v>5</v>
      </c>
      <c r="BW7" s="4">
        <f t="shared" si="32"/>
        <v>1</v>
      </c>
      <c r="BX7" s="4">
        <v>510.0</v>
      </c>
      <c r="BY7" s="4">
        <f t="shared" si="14"/>
        <v>5</v>
      </c>
      <c r="BZ7" s="4">
        <f t="shared" si="38"/>
        <v>1</v>
      </c>
      <c r="CA7" s="4">
        <v>2200.0</v>
      </c>
      <c r="CB7" s="4">
        <v>164.0</v>
      </c>
      <c r="CC7" s="4">
        <f t="shared" si="39"/>
        <v>0.005</v>
      </c>
      <c r="CD7" s="4">
        <v>55.0</v>
      </c>
      <c r="CE7" s="4">
        <f t="shared" ref="CE7:CF7" si="40">0.5*1</f>
        <v>0.5</v>
      </c>
      <c r="CF7" s="4">
        <f t="shared" si="40"/>
        <v>0.5</v>
      </c>
      <c r="CG7" s="4">
        <v>7040.0</v>
      </c>
      <c r="CH7" s="4">
        <v>1800.0</v>
      </c>
      <c r="CI7" s="4">
        <f t="shared" si="17"/>
        <v>5</v>
      </c>
      <c r="CJ7" s="4"/>
      <c r="CK7" s="4"/>
      <c r="CL7" s="4"/>
      <c r="CM7" s="4"/>
      <c r="CN7" s="4"/>
      <c r="CO7" s="4"/>
      <c r="CP7" s="4">
        <v>655.74</v>
      </c>
      <c r="CQ7" s="4">
        <v>239.34</v>
      </c>
      <c r="CR7" s="4">
        <v>21.86</v>
      </c>
      <c r="CS7" s="4">
        <v>1092.9</v>
      </c>
      <c r="CT7" s="4"/>
      <c r="CU7" s="4"/>
      <c r="CV7" s="4"/>
      <c r="CW7" s="4">
        <v>12622.95</v>
      </c>
      <c r="CX7" s="4">
        <v>218.58</v>
      </c>
      <c r="CY7" s="4"/>
      <c r="CZ7" s="4"/>
    </row>
    <row r="8">
      <c r="A8" s="4" t="s">
        <v>146</v>
      </c>
      <c r="B8" s="4" t="s">
        <v>147</v>
      </c>
      <c r="C8" s="5" t="s">
        <v>148</v>
      </c>
      <c r="D8" s="5" t="s">
        <v>149</v>
      </c>
      <c r="E8" s="4" t="s">
        <v>108</v>
      </c>
      <c r="F8" s="4" t="s">
        <v>109</v>
      </c>
      <c r="G8" s="4" t="s">
        <v>110</v>
      </c>
      <c r="H8" s="4" t="s">
        <v>150</v>
      </c>
      <c r="I8" s="4" t="s">
        <v>151</v>
      </c>
      <c r="J8" s="4" t="s">
        <v>152</v>
      </c>
      <c r="K8" s="4" t="s">
        <v>153</v>
      </c>
      <c r="L8" s="4">
        <v>-20.7422</v>
      </c>
      <c r="M8" s="4">
        <v>-65.2408</v>
      </c>
      <c r="N8" s="4">
        <v>0.099</v>
      </c>
      <c r="O8" s="4">
        <v>1.0</v>
      </c>
      <c r="P8" s="4">
        <v>752.0</v>
      </c>
      <c r="Q8" s="4">
        <v>163.5</v>
      </c>
      <c r="R8" s="4">
        <v>8.52</v>
      </c>
      <c r="S8" s="4">
        <v>-95.5</v>
      </c>
      <c r="T8" s="4">
        <v>1330.0</v>
      </c>
      <c r="U8" s="4">
        <v>0.6</v>
      </c>
      <c r="V8" s="4">
        <v>23.4</v>
      </c>
      <c r="W8" s="4">
        <v>6.74</v>
      </c>
      <c r="X8" s="4">
        <v>105.5</v>
      </c>
      <c r="Y8" s="4">
        <v>59.1</v>
      </c>
      <c r="Z8" s="4">
        <v>1200.0</v>
      </c>
      <c r="AA8" s="4">
        <v>1142.0</v>
      </c>
      <c r="AB8" s="4">
        <v>57.0</v>
      </c>
      <c r="AC8" s="4"/>
      <c r="AD8" s="4">
        <v>650.0</v>
      </c>
      <c r="AE8" s="4">
        <v>15.0</v>
      </c>
      <c r="AF8" s="4">
        <v>125.0</v>
      </c>
      <c r="AG8" s="4">
        <v>48.8</v>
      </c>
      <c r="AH8" s="4">
        <v>585.9</v>
      </c>
      <c r="AI8" s="4">
        <v>59.3</v>
      </c>
      <c r="AJ8" s="4">
        <v>94.77</v>
      </c>
      <c r="AK8" s="4">
        <v>59.7</v>
      </c>
      <c r="AL8" s="4">
        <v>8.1</v>
      </c>
      <c r="AM8" s="4">
        <v>67.6</v>
      </c>
      <c r="AN8" s="4">
        <v>122.08</v>
      </c>
      <c r="AO8" s="4">
        <v>86.2</v>
      </c>
      <c r="AP8" s="4">
        <v>10.8</v>
      </c>
      <c r="AQ8" s="4"/>
      <c r="AR8" s="4"/>
      <c r="AS8" s="4"/>
      <c r="AT8" s="4"/>
      <c r="AU8" s="4">
        <f t="shared" ref="AU8:AU9" si="46">0.5*0.01</f>
        <v>0.005</v>
      </c>
      <c r="AV8" s="4"/>
      <c r="AW8" s="4"/>
      <c r="AX8" s="4">
        <v>5.0</v>
      </c>
      <c r="AY8" s="4">
        <f>0.5*2</f>
        <v>1</v>
      </c>
      <c r="AZ8" s="4"/>
      <c r="BA8" s="4"/>
      <c r="BB8" s="4"/>
      <c r="BC8" s="4"/>
      <c r="BD8" s="4"/>
      <c r="BE8" s="4"/>
      <c r="BF8" s="4">
        <f t="shared" ref="BF8:BG8" si="41">0.5*10</f>
        <v>5</v>
      </c>
      <c r="BG8" s="4">
        <f t="shared" si="41"/>
        <v>5</v>
      </c>
      <c r="BH8" s="4">
        <f t="shared" ref="BH8:BI8" si="42">0.5*0.01</f>
        <v>0.005</v>
      </c>
      <c r="BI8" s="4">
        <f t="shared" si="42"/>
        <v>0.005</v>
      </c>
      <c r="BJ8" s="4">
        <f t="shared" si="8"/>
        <v>1</v>
      </c>
      <c r="BK8" s="4">
        <v>80.0</v>
      </c>
      <c r="BL8" s="4">
        <f t="shared" si="9"/>
        <v>5</v>
      </c>
      <c r="BM8" s="4">
        <f t="shared" si="43"/>
        <v>1</v>
      </c>
      <c r="BN8" s="4">
        <f t="shared" ref="BN8:BN9" si="49">0.5*2</f>
        <v>1</v>
      </c>
      <c r="BO8" s="4">
        <f t="shared" ref="BO8:BO9" si="50">0.5*10</f>
        <v>5</v>
      </c>
      <c r="BP8" s="4">
        <f t="shared" si="36"/>
        <v>0.005</v>
      </c>
      <c r="BQ8" s="4">
        <f t="shared" ref="BQ8:BR8" si="44">0.5*1</f>
        <v>0.5</v>
      </c>
      <c r="BR8" s="4">
        <f t="shared" si="44"/>
        <v>0.5</v>
      </c>
      <c r="BS8" s="4">
        <f t="shared" ref="BS8:BS9" si="52">0.5*0.02</f>
        <v>0.01</v>
      </c>
      <c r="BT8" s="4">
        <v>400.0</v>
      </c>
      <c r="BU8" s="4">
        <v>500.0</v>
      </c>
      <c r="BV8" s="4">
        <f t="shared" si="13"/>
        <v>5</v>
      </c>
      <c r="BW8" s="4">
        <f t="shared" si="32"/>
        <v>1</v>
      </c>
      <c r="BX8" s="4">
        <v>90.0</v>
      </c>
      <c r="BY8" s="4">
        <f t="shared" si="14"/>
        <v>5</v>
      </c>
      <c r="BZ8" s="4">
        <f t="shared" si="38"/>
        <v>1</v>
      </c>
      <c r="CA8" s="4">
        <f>0.5*20</f>
        <v>10</v>
      </c>
      <c r="CB8" s="4">
        <f t="shared" ref="CB8:CB9" si="53">0.5*10</f>
        <v>5</v>
      </c>
      <c r="CC8" s="4">
        <f t="shared" si="39"/>
        <v>0.005</v>
      </c>
      <c r="CD8" s="4">
        <f t="shared" ref="CD8:CE8" si="45">0.5*1</f>
        <v>0.5</v>
      </c>
      <c r="CE8" s="4">
        <f t="shared" si="45"/>
        <v>0.5</v>
      </c>
      <c r="CF8" s="4">
        <f t="shared" ref="CF8:CF9" si="55">0.5*0.02</f>
        <v>0.01</v>
      </c>
      <c r="CG8" s="4">
        <v>550.0</v>
      </c>
      <c r="CH8" s="4">
        <v>650.0</v>
      </c>
      <c r="CI8" s="4">
        <f t="shared" si="17"/>
        <v>5</v>
      </c>
      <c r="CJ8" s="4"/>
      <c r="CK8" s="4"/>
      <c r="CL8" s="4"/>
      <c r="CM8" s="4"/>
      <c r="CN8" s="4"/>
      <c r="CO8" s="4"/>
      <c r="CP8" s="4"/>
      <c r="CQ8" s="4"/>
      <c r="CR8" s="4"/>
      <c r="CS8" s="4">
        <v>2631.58</v>
      </c>
      <c r="CT8" s="4"/>
      <c r="CU8" s="4"/>
      <c r="CV8" s="4"/>
      <c r="CW8" s="4">
        <v>2631.58</v>
      </c>
      <c r="CX8" s="4">
        <v>175.44</v>
      </c>
      <c r="CY8" s="4"/>
      <c r="CZ8" s="4"/>
    </row>
    <row r="9">
      <c r="A9" s="4" t="s">
        <v>154</v>
      </c>
      <c r="B9" s="4" t="s">
        <v>155</v>
      </c>
      <c r="C9" s="5" t="s">
        <v>148</v>
      </c>
      <c r="D9" s="5" t="s">
        <v>156</v>
      </c>
      <c r="E9" s="4" t="s">
        <v>108</v>
      </c>
      <c r="F9" s="4" t="s">
        <v>109</v>
      </c>
      <c r="G9" s="4" t="s">
        <v>110</v>
      </c>
      <c r="H9" s="4" t="s">
        <v>157</v>
      </c>
      <c r="I9" s="4" t="s">
        <v>158</v>
      </c>
      <c r="J9" s="4" t="s">
        <v>159</v>
      </c>
      <c r="K9" s="4" t="s">
        <v>160</v>
      </c>
      <c r="L9" s="4">
        <v>-21.2384</v>
      </c>
      <c r="M9" s="4">
        <v>-65.2108</v>
      </c>
      <c r="N9" s="4">
        <v>0.309</v>
      </c>
      <c r="O9" s="4">
        <v>2.0</v>
      </c>
      <c r="P9" s="4">
        <v>610.0</v>
      </c>
      <c r="Q9" s="4">
        <v>202.0</v>
      </c>
      <c r="R9" s="4">
        <v>8.37</v>
      </c>
      <c r="S9" s="4">
        <v>-86.0</v>
      </c>
      <c r="T9" s="4">
        <v>1640.0</v>
      </c>
      <c r="U9" s="4">
        <v>0.8</v>
      </c>
      <c r="V9" s="4">
        <v>22.2</v>
      </c>
      <c r="W9" s="4">
        <v>8.5</v>
      </c>
      <c r="X9" s="4">
        <v>129.8</v>
      </c>
      <c r="Y9" s="4">
        <v>2.89</v>
      </c>
      <c r="Z9" s="4">
        <v>1340.0</v>
      </c>
      <c r="AA9" s="4">
        <v>1342.0</v>
      </c>
      <c r="AB9" s="4">
        <v>1.0</v>
      </c>
      <c r="AC9" s="4"/>
      <c r="AD9" s="4">
        <v>755.0</v>
      </c>
      <c r="AE9" s="4">
        <v>10.0</v>
      </c>
      <c r="AF9" s="4">
        <v>165.0</v>
      </c>
      <c r="AG9" s="4">
        <v>89.4</v>
      </c>
      <c r="AH9" s="4">
        <v>674.1</v>
      </c>
      <c r="AI9" s="4">
        <v>100.1</v>
      </c>
      <c r="AJ9" s="4">
        <v>80.7</v>
      </c>
      <c r="AK9" s="4">
        <v>100.0</v>
      </c>
      <c r="AL9" s="4">
        <v>7.1</v>
      </c>
      <c r="AM9" s="4">
        <v>128.8</v>
      </c>
      <c r="AN9" s="4">
        <v>109.38</v>
      </c>
      <c r="AO9" s="4">
        <v>152.6</v>
      </c>
      <c r="AP9" s="4">
        <v>12.2</v>
      </c>
      <c r="AQ9" s="4"/>
      <c r="AR9" s="4"/>
      <c r="AS9" s="4"/>
      <c r="AT9" s="4"/>
      <c r="AU9" s="4">
        <f t="shared" si="46"/>
        <v>0.005</v>
      </c>
      <c r="AV9" s="4"/>
      <c r="AW9" s="4"/>
      <c r="AX9" s="4">
        <f>0.5*5</f>
        <v>2.5</v>
      </c>
      <c r="AY9" s="4">
        <v>6.0</v>
      </c>
      <c r="AZ9" s="4"/>
      <c r="BA9" s="4"/>
      <c r="BB9" s="4"/>
      <c r="BC9" s="4"/>
      <c r="BD9" s="4"/>
      <c r="BE9" s="4"/>
      <c r="BF9" s="4">
        <f t="shared" ref="BF9:BG9" si="47">0.5*10</f>
        <v>5</v>
      </c>
      <c r="BG9" s="4">
        <f t="shared" si="47"/>
        <v>5</v>
      </c>
      <c r="BH9" s="4">
        <f t="shared" ref="BH9:BI9" si="48">0.5*0.01</f>
        <v>0.005</v>
      </c>
      <c r="BI9" s="4">
        <f t="shared" si="48"/>
        <v>0.005</v>
      </c>
      <c r="BJ9" s="4">
        <f t="shared" si="8"/>
        <v>1</v>
      </c>
      <c r="BK9" s="4">
        <f>0.5*50</f>
        <v>25</v>
      </c>
      <c r="BL9" s="4">
        <f t="shared" si="9"/>
        <v>5</v>
      </c>
      <c r="BM9" s="4">
        <f t="shared" si="43"/>
        <v>1</v>
      </c>
      <c r="BN9" s="4">
        <f t="shared" si="49"/>
        <v>1</v>
      </c>
      <c r="BO9" s="4">
        <f t="shared" si="50"/>
        <v>5</v>
      </c>
      <c r="BP9" s="4">
        <f t="shared" si="36"/>
        <v>0.005</v>
      </c>
      <c r="BQ9" s="4">
        <f t="shared" ref="BQ9:BR9" si="51">0.5*1</f>
        <v>0.5</v>
      </c>
      <c r="BR9" s="4">
        <f t="shared" si="51"/>
        <v>0.5</v>
      </c>
      <c r="BS9" s="4">
        <f t="shared" si="52"/>
        <v>0.01</v>
      </c>
      <c r="BT9" s="4">
        <f>0.5*3</f>
        <v>1.5</v>
      </c>
      <c r="BU9" s="4">
        <v>1130.0</v>
      </c>
      <c r="BV9" s="4">
        <f t="shared" si="13"/>
        <v>5</v>
      </c>
      <c r="BW9" s="4">
        <f t="shared" si="32"/>
        <v>1</v>
      </c>
      <c r="BX9" s="4">
        <f>0.5*50</f>
        <v>25</v>
      </c>
      <c r="BY9" s="4">
        <f t="shared" si="14"/>
        <v>5</v>
      </c>
      <c r="BZ9" s="4">
        <f t="shared" si="38"/>
        <v>1</v>
      </c>
      <c r="CA9" s="4">
        <f>0.5*2</f>
        <v>1</v>
      </c>
      <c r="CB9" s="4">
        <f t="shared" si="53"/>
        <v>5</v>
      </c>
      <c r="CC9" s="4">
        <f t="shared" si="39"/>
        <v>0.005</v>
      </c>
      <c r="CD9" s="4">
        <f t="shared" ref="CD9:CE9" si="54">0.5*1</f>
        <v>0.5</v>
      </c>
      <c r="CE9" s="4">
        <f t="shared" si="54"/>
        <v>0.5</v>
      </c>
      <c r="CF9" s="4">
        <f t="shared" si="55"/>
        <v>0.01</v>
      </c>
      <c r="CG9" s="4">
        <f>0.5*3</f>
        <v>1.5</v>
      </c>
      <c r="CH9" s="4">
        <v>1500.0</v>
      </c>
      <c r="CI9" s="4">
        <f t="shared" si="17"/>
        <v>5</v>
      </c>
      <c r="CJ9" s="4"/>
      <c r="CK9" s="4"/>
      <c r="CL9" s="4"/>
      <c r="CM9" s="4"/>
      <c r="CN9" s="4"/>
      <c r="CO9" s="4"/>
      <c r="CP9" s="4"/>
      <c r="CQ9" s="4"/>
      <c r="CR9" s="4"/>
      <c r="CS9" s="4">
        <v>370000.0</v>
      </c>
      <c r="CT9" s="4"/>
      <c r="CU9" s="4"/>
      <c r="CV9" s="4"/>
      <c r="CW9" s="4"/>
      <c r="CX9" s="4"/>
      <c r="CY9" s="4"/>
      <c r="CZ9" s="4"/>
    </row>
    <row r="10">
      <c r="A10" s="4" t="s">
        <v>161</v>
      </c>
      <c r="B10" s="4" t="s">
        <v>162</v>
      </c>
      <c r="C10" s="5" t="s">
        <v>163</v>
      </c>
      <c r="D10" s="5" t="s">
        <v>164</v>
      </c>
      <c r="E10" s="4" t="s">
        <v>108</v>
      </c>
      <c r="F10" s="4" t="s">
        <v>109</v>
      </c>
      <c r="G10" s="4" t="s">
        <v>110</v>
      </c>
      <c r="H10" s="4" t="s">
        <v>111</v>
      </c>
      <c r="I10" s="4" t="s">
        <v>165</v>
      </c>
      <c r="J10" s="4" t="s">
        <v>166</v>
      </c>
      <c r="K10" s="4" t="s">
        <v>167</v>
      </c>
      <c r="L10" s="4">
        <v>-21.2589</v>
      </c>
      <c r="M10" s="4">
        <v>-63.5116</v>
      </c>
      <c r="N10" s="4"/>
      <c r="O10" s="4">
        <v>39.0</v>
      </c>
      <c r="P10" s="4">
        <v>564.0</v>
      </c>
      <c r="Q10" s="4">
        <v>189.9</v>
      </c>
      <c r="R10" s="4">
        <v>8.21</v>
      </c>
      <c r="S10" s="4">
        <v>-78.5</v>
      </c>
      <c r="T10" s="4">
        <v>1773.0</v>
      </c>
      <c r="U10" s="4">
        <v>0.9</v>
      </c>
      <c r="V10" s="4">
        <v>27.1</v>
      </c>
      <c r="W10" s="4">
        <v>7.38</v>
      </c>
      <c r="X10" s="4">
        <v>98.1</v>
      </c>
      <c r="Y10" s="4">
        <f>1.5*1100</f>
        <v>1650</v>
      </c>
      <c r="Z10" s="4">
        <v>2767.0</v>
      </c>
      <c r="AA10" s="4">
        <v>1214.0</v>
      </c>
      <c r="AB10" s="4">
        <v>1555.0</v>
      </c>
      <c r="AC10" s="4"/>
      <c r="AD10" s="4">
        <v>410.0</v>
      </c>
      <c r="AE10" s="4">
        <v>2.5</v>
      </c>
      <c r="AF10" s="4">
        <v>145.0</v>
      </c>
      <c r="AG10" s="4">
        <v>292.67</v>
      </c>
      <c r="AH10" s="4">
        <v>27.5</v>
      </c>
      <c r="AI10" s="4">
        <v>77.05</v>
      </c>
      <c r="AJ10" s="4">
        <v>46.68</v>
      </c>
      <c r="AK10" s="4">
        <v>215.85</v>
      </c>
      <c r="AL10" s="4">
        <v>12.32</v>
      </c>
      <c r="AM10" s="4">
        <v>77.35</v>
      </c>
      <c r="AN10" s="4">
        <v>58.61</v>
      </c>
      <c r="AO10" s="4">
        <v>277.43</v>
      </c>
      <c r="AP10" s="4">
        <v>15.16</v>
      </c>
      <c r="AQ10" s="4"/>
      <c r="AR10" s="4"/>
      <c r="AS10" s="4"/>
      <c r="AT10" s="4"/>
      <c r="AU10" s="4">
        <v>1.48</v>
      </c>
      <c r="AV10" s="4"/>
      <c r="AW10" s="4"/>
      <c r="AX10" s="4">
        <v>7.0</v>
      </c>
      <c r="AY10" s="4">
        <v>9.0</v>
      </c>
      <c r="AZ10" s="4"/>
      <c r="BA10" s="4"/>
      <c r="BB10" s="4"/>
      <c r="BC10" s="4"/>
      <c r="BD10" s="4"/>
      <c r="BE10" s="4"/>
      <c r="BF10" s="4">
        <f t="shared" ref="BF10:BG10" si="56">0.5*10</f>
        <v>5</v>
      </c>
      <c r="BG10" s="4">
        <f t="shared" si="56"/>
        <v>5</v>
      </c>
      <c r="BH10" s="4">
        <f t="shared" ref="BH10:BI10" si="57">0.5*0.01</f>
        <v>0.005</v>
      </c>
      <c r="BI10" s="4">
        <f t="shared" si="57"/>
        <v>0.005</v>
      </c>
      <c r="BJ10" s="4">
        <f t="shared" si="8"/>
        <v>1</v>
      </c>
      <c r="BK10" s="4">
        <v>1440.0</v>
      </c>
      <c r="BL10" s="4">
        <f t="shared" si="9"/>
        <v>5</v>
      </c>
      <c r="BM10" s="4">
        <f t="shared" si="43"/>
        <v>1</v>
      </c>
      <c r="BN10" s="4">
        <f>0.5*50</f>
        <v>25</v>
      </c>
      <c r="BO10" s="4">
        <v>16.0</v>
      </c>
      <c r="BP10" s="4">
        <f>0.5*0.2</f>
        <v>0.1</v>
      </c>
      <c r="BQ10" s="4">
        <f t="shared" ref="BQ10:BS10" si="58">0.5*1</f>
        <v>0.5</v>
      </c>
      <c r="BR10" s="4">
        <f t="shared" si="58"/>
        <v>0.5</v>
      </c>
      <c r="BS10" s="4">
        <f t="shared" si="58"/>
        <v>0.5</v>
      </c>
      <c r="BT10" s="4">
        <v>4700.0</v>
      </c>
      <c r="BU10" s="4">
        <v>410.0</v>
      </c>
      <c r="BV10" s="4">
        <f t="shared" si="13"/>
        <v>5</v>
      </c>
      <c r="BW10" s="4">
        <v>6.0</v>
      </c>
      <c r="BX10" s="4">
        <v>1630.0</v>
      </c>
      <c r="BY10" s="4">
        <f t="shared" si="14"/>
        <v>5</v>
      </c>
      <c r="BZ10" s="4">
        <v>28.0</v>
      </c>
      <c r="CA10" s="4">
        <v>160.0</v>
      </c>
      <c r="CB10" s="4">
        <v>17.0</v>
      </c>
      <c r="CC10" s="4">
        <f>0.5*0.2</f>
        <v>0.1</v>
      </c>
      <c r="CD10" s="4">
        <v>50.0</v>
      </c>
      <c r="CE10" s="4">
        <f t="shared" ref="CE10:CF10" si="59">0.5*1</f>
        <v>0.5</v>
      </c>
      <c r="CF10" s="4">
        <f t="shared" si="59"/>
        <v>0.5</v>
      </c>
      <c r="CG10" s="4">
        <v>39370.0</v>
      </c>
      <c r="CH10" s="4">
        <v>510.0</v>
      </c>
      <c r="CI10" s="4">
        <f t="shared" si="17"/>
        <v>5</v>
      </c>
      <c r="CJ10" s="4"/>
      <c r="CK10" s="4"/>
      <c r="CL10" s="4"/>
      <c r="CM10" s="4"/>
      <c r="CN10" s="4"/>
      <c r="CO10" s="4"/>
      <c r="CP10" s="4">
        <v>102.89</v>
      </c>
      <c r="CQ10" s="4">
        <v>24.23</v>
      </c>
      <c r="CR10" s="4">
        <v>0.64</v>
      </c>
      <c r="CS10" s="4">
        <v>64.31</v>
      </c>
      <c r="CT10" s="4"/>
      <c r="CU10" s="4">
        <v>18.01</v>
      </c>
      <c r="CV10" s="4">
        <v>3.86</v>
      </c>
      <c r="CW10" s="4">
        <v>22295.82</v>
      </c>
      <c r="CX10" s="4">
        <v>122.19</v>
      </c>
      <c r="CY10" s="4"/>
      <c r="CZ10" s="4"/>
    </row>
    <row r="11">
      <c r="A11" s="4" t="s">
        <v>168</v>
      </c>
      <c r="B11" s="4" t="s">
        <v>169</v>
      </c>
      <c r="C11" s="5" t="s">
        <v>163</v>
      </c>
      <c r="D11" s="5" t="s">
        <v>170</v>
      </c>
      <c r="E11" s="4" t="s">
        <v>108</v>
      </c>
      <c r="F11" s="4" t="s">
        <v>109</v>
      </c>
      <c r="G11" s="4" t="s">
        <v>110</v>
      </c>
      <c r="H11" s="4" t="s">
        <v>111</v>
      </c>
      <c r="I11" s="4" t="s">
        <v>171</v>
      </c>
      <c r="J11" s="4" t="s">
        <v>172</v>
      </c>
      <c r="K11" s="4" t="s">
        <v>173</v>
      </c>
      <c r="L11" s="4">
        <v>-22.3781</v>
      </c>
      <c r="M11" s="4">
        <v>-62.5186</v>
      </c>
      <c r="N11" s="4">
        <v>0.564</v>
      </c>
      <c r="O11" s="4">
        <v>10.0</v>
      </c>
      <c r="P11" s="4">
        <v>410.0</v>
      </c>
      <c r="Q11" s="4">
        <v>128.5</v>
      </c>
      <c r="R11" s="4">
        <v>8.21</v>
      </c>
      <c r="S11" s="4">
        <v>-78.0</v>
      </c>
      <c r="T11" s="4">
        <v>2440.0</v>
      </c>
      <c r="U11" s="4">
        <v>1.2</v>
      </c>
      <c r="V11" s="4">
        <v>26.7</v>
      </c>
      <c r="W11" s="4">
        <v>6.7</v>
      </c>
      <c r="X11" s="4">
        <v>97.5</v>
      </c>
      <c r="Y11" s="4">
        <v>148.0</v>
      </c>
      <c r="Z11" s="4">
        <v>1971.0</v>
      </c>
      <c r="AA11" s="4">
        <v>1690.0</v>
      </c>
      <c r="AB11" s="4">
        <v>280.0</v>
      </c>
      <c r="AC11" s="4"/>
      <c r="AD11" s="4">
        <v>532.0</v>
      </c>
      <c r="AE11" s="4">
        <v>2.5</v>
      </c>
      <c r="AF11" s="4">
        <v>135.0</v>
      </c>
      <c r="AG11" s="4">
        <v>445.17</v>
      </c>
      <c r="AH11" s="4">
        <v>39.8</v>
      </c>
      <c r="AI11" s="4">
        <v>77.05</v>
      </c>
      <c r="AJ11" s="4">
        <v>46.68</v>
      </c>
      <c r="AK11" s="4">
        <v>215.85</v>
      </c>
      <c r="AL11" s="4">
        <v>12.32</v>
      </c>
      <c r="AM11" s="4">
        <v>85.41</v>
      </c>
      <c r="AN11" s="4">
        <v>85.0</v>
      </c>
      <c r="AO11" s="4">
        <v>370.36</v>
      </c>
      <c r="AP11" s="4">
        <v>17.65</v>
      </c>
      <c r="AQ11" s="4"/>
      <c r="AR11" s="4"/>
      <c r="AS11" s="4"/>
      <c r="AT11" s="4"/>
      <c r="AU11" s="4">
        <f>0.5*0.01</f>
        <v>0.005</v>
      </c>
      <c r="AV11" s="4"/>
      <c r="AW11" s="4"/>
      <c r="AX11" s="4">
        <f>0.5*5</f>
        <v>2.5</v>
      </c>
      <c r="AY11" s="4">
        <v>6.0</v>
      </c>
      <c r="AZ11" s="4"/>
      <c r="BA11" s="4"/>
      <c r="BB11" s="4"/>
      <c r="BC11" s="4"/>
      <c r="BD11" s="4"/>
      <c r="BE11" s="4"/>
      <c r="BF11" s="4">
        <f t="shared" ref="BF11:BG11" si="60">0.5*10</f>
        <v>5</v>
      </c>
      <c r="BG11" s="4">
        <f t="shared" si="60"/>
        <v>5</v>
      </c>
      <c r="BH11" s="4">
        <f t="shared" ref="BH11:BI11" si="61">0.5*0.01</f>
        <v>0.005</v>
      </c>
      <c r="BI11" s="4">
        <f t="shared" si="61"/>
        <v>0.005</v>
      </c>
      <c r="BJ11" s="4">
        <f t="shared" si="8"/>
        <v>1</v>
      </c>
      <c r="BK11" s="4">
        <v>140.0</v>
      </c>
      <c r="BL11" s="4">
        <f t="shared" si="9"/>
        <v>5</v>
      </c>
      <c r="BM11" s="4">
        <f t="shared" si="43"/>
        <v>1</v>
      </c>
      <c r="BN11" s="4">
        <f>0.5*2</f>
        <v>1</v>
      </c>
      <c r="BO11" s="4">
        <f>0.5*10</f>
        <v>5</v>
      </c>
      <c r="BP11" s="4">
        <f>0.5*0.01</f>
        <v>0.005</v>
      </c>
      <c r="BQ11" s="4">
        <f t="shared" ref="BQ11:BR11" si="62">0.5*1</f>
        <v>0.5</v>
      </c>
      <c r="BR11" s="4">
        <f t="shared" si="62"/>
        <v>0.5</v>
      </c>
      <c r="BS11" s="4">
        <f>0.5*0.02</f>
        <v>0.01</v>
      </c>
      <c r="BT11" s="4">
        <v>3300.0</v>
      </c>
      <c r="BU11" s="4">
        <v>1220.0</v>
      </c>
      <c r="BV11" s="4">
        <f t="shared" si="13"/>
        <v>5</v>
      </c>
      <c r="BW11" s="4">
        <f>0.5*2</f>
        <v>1</v>
      </c>
      <c r="BX11" s="4">
        <v>150.0</v>
      </c>
      <c r="BY11" s="4">
        <f t="shared" si="14"/>
        <v>5</v>
      </c>
      <c r="BZ11" s="4">
        <f>0.5*2</f>
        <v>1</v>
      </c>
      <c r="CA11" s="4">
        <v>20.0</v>
      </c>
      <c r="CB11" s="4">
        <f>0.5*10</f>
        <v>5</v>
      </c>
      <c r="CC11" s="4">
        <f>0.5*0.01</f>
        <v>0.005</v>
      </c>
      <c r="CD11" s="4">
        <v>6.0</v>
      </c>
      <c r="CE11" s="4">
        <f>0.5*1</f>
        <v>0.5</v>
      </c>
      <c r="CF11" s="4">
        <f>0.5*0.02</f>
        <v>0.01</v>
      </c>
      <c r="CG11" s="4">
        <v>5520.0</v>
      </c>
      <c r="CH11" s="4">
        <v>1240.0</v>
      </c>
      <c r="CI11" s="4">
        <f t="shared" si="17"/>
        <v>5</v>
      </c>
      <c r="CJ11" s="4"/>
      <c r="CK11" s="4"/>
      <c r="CL11" s="4"/>
      <c r="CM11" s="4"/>
      <c r="CN11" s="4"/>
      <c r="CO11" s="4"/>
      <c r="CP11" s="4">
        <v>71.43</v>
      </c>
      <c r="CQ11" s="4"/>
      <c r="CR11" s="4"/>
      <c r="CS11" s="4">
        <v>71.43</v>
      </c>
      <c r="CT11" s="4"/>
      <c r="CU11" s="4"/>
      <c r="CV11" s="4"/>
      <c r="CW11" s="4">
        <v>7928.57</v>
      </c>
      <c r="CX11" s="4">
        <v>35.71</v>
      </c>
      <c r="CY11" s="4"/>
      <c r="CZ11" s="4"/>
    </row>
    <row r="12">
      <c r="A12" s="4" t="s">
        <v>174</v>
      </c>
      <c r="B12" s="4" t="s">
        <v>175</v>
      </c>
      <c r="C12" s="5" t="s">
        <v>176</v>
      </c>
      <c r="D12" s="5" t="s">
        <v>177</v>
      </c>
      <c r="E12" s="4" t="s">
        <v>178</v>
      </c>
      <c r="F12" s="4" t="s">
        <v>109</v>
      </c>
      <c r="G12" s="4" t="s">
        <v>110</v>
      </c>
      <c r="H12" s="4" t="s">
        <v>179</v>
      </c>
      <c r="J12" s="4" t="s">
        <v>180</v>
      </c>
      <c r="K12" s="4" t="s">
        <v>181</v>
      </c>
      <c r="L12" s="4">
        <v>-22.5332</v>
      </c>
      <c r="M12" s="4">
        <v>-66.3481</v>
      </c>
      <c r="N12" s="4"/>
      <c r="O12" s="4"/>
      <c r="P12" s="4">
        <v>1049.0</v>
      </c>
      <c r="Q12" s="4">
        <v>131.1</v>
      </c>
      <c r="R12" s="4">
        <v>8.43</v>
      </c>
      <c r="S12" s="4">
        <v>-83.74</v>
      </c>
      <c r="T12" s="4">
        <v>956.0</v>
      </c>
      <c r="U12" s="4">
        <v>0.4</v>
      </c>
      <c r="V12" s="4">
        <v>1.0</v>
      </c>
      <c r="W12" s="4">
        <v>8.86</v>
      </c>
      <c r="X12" s="4">
        <v>98.5</v>
      </c>
      <c r="Y12" s="4">
        <v>7.06</v>
      </c>
      <c r="Z12" s="4">
        <v>649.0</v>
      </c>
      <c r="AA12" s="4">
        <v>644.0</v>
      </c>
      <c r="AB12" s="4">
        <v>6.0</v>
      </c>
      <c r="AC12" s="4">
        <v>13.0</v>
      </c>
      <c r="AD12" s="4">
        <v>136.0</v>
      </c>
      <c r="AE12" s="4">
        <v>11.5</v>
      </c>
      <c r="AF12" s="4">
        <v>111.5</v>
      </c>
      <c r="AG12" s="4">
        <v>210.7</v>
      </c>
      <c r="AH12" s="4">
        <v>60.3</v>
      </c>
      <c r="AI12" s="4">
        <v>41.08</v>
      </c>
      <c r="AJ12" s="4">
        <v>9.17</v>
      </c>
      <c r="AK12" s="4">
        <v>106.0</v>
      </c>
      <c r="AL12" s="4">
        <v>12.5</v>
      </c>
      <c r="AM12" s="4">
        <v>43.12</v>
      </c>
      <c r="AN12" s="4">
        <v>9.3</v>
      </c>
      <c r="AO12" s="4">
        <v>106.0</v>
      </c>
      <c r="AP12" s="4">
        <v>13.7</v>
      </c>
      <c r="AQ12" s="4">
        <v>2.73</v>
      </c>
      <c r="AR12" s="4">
        <v>0.25</v>
      </c>
      <c r="AS12" s="4">
        <v>0.14</v>
      </c>
      <c r="AT12" s="4">
        <f>0.5*0.002</f>
        <v>0.001</v>
      </c>
      <c r="AU12" s="4">
        <v>2.38</v>
      </c>
      <c r="AV12" s="4">
        <v>59.1</v>
      </c>
      <c r="AW12" s="4">
        <f>0.5*2</f>
        <v>1</v>
      </c>
      <c r="AX12" s="4">
        <v>6.0</v>
      </c>
      <c r="AY12" s="4">
        <f>0.5*2</f>
        <v>1</v>
      </c>
      <c r="AZ12" s="4">
        <v>16.0</v>
      </c>
      <c r="BA12" s="4">
        <v>10.0</v>
      </c>
      <c r="BB12" s="4">
        <v>16.0</v>
      </c>
      <c r="BC12" s="4"/>
      <c r="BD12" s="4"/>
      <c r="BE12" s="4"/>
      <c r="BF12" s="4">
        <f t="shared" ref="BF12:BI12" si="63">0.5*10</f>
        <v>5</v>
      </c>
      <c r="BG12" s="4">
        <f t="shared" si="63"/>
        <v>5</v>
      </c>
      <c r="BH12" s="4">
        <f t="shared" si="63"/>
        <v>5</v>
      </c>
      <c r="BI12" s="4">
        <f t="shared" si="63"/>
        <v>5</v>
      </c>
      <c r="BJ12" s="4">
        <f t="shared" ref="BJ12:BJ17" si="68">0.5*5</f>
        <v>2.5</v>
      </c>
      <c r="BK12" s="4">
        <f>0.5*10</f>
        <v>5</v>
      </c>
      <c r="BL12" s="4">
        <f t="shared" ref="BL12:BL17" si="69">0.5*5</f>
        <v>2.5</v>
      </c>
      <c r="BM12" s="4">
        <f t="shared" ref="BM12:BM17" si="70">0.5*10</f>
        <v>5</v>
      </c>
      <c r="BN12" s="4"/>
      <c r="BO12" s="4">
        <v>12.0</v>
      </c>
      <c r="BP12" s="4">
        <f t="shared" ref="BP12:BP17" si="71">0.5*5</f>
        <v>2.5</v>
      </c>
      <c r="BQ12" s="4">
        <f t="shared" ref="BQ12:BS12" si="64">0.5*10</f>
        <v>5</v>
      </c>
      <c r="BR12" s="4">
        <f t="shared" si="64"/>
        <v>5</v>
      </c>
      <c r="BS12" s="4">
        <f t="shared" si="64"/>
        <v>5</v>
      </c>
      <c r="BT12" s="4">
        <v>111.0</v>
      </c>
      <c r="BU12" s="4">
        <v>11004.0</v>
      </c>
      <c r="BV12" s="4">
        <f t="shared" si="13"/>
        <v>5</v>
      </c>
      <c r="BW12" s="4">
        <f>0.5*5</f>
        <v>2.5</v>
      </c>
      <c r="BX12" s="4">
        <f>0.5*10</f>
        <v>5</v>
      </c>
      <c r="BY12" s="4">
        <f>0.5*5</f>
        <v>2.5</v>
      </c>
      <c r="BZ12" s="4">
        <f t="shared" ref="BZ12:BZ17" si="73">0.5*10</f>
        <v>5</v>
      </c>
      <c r="CA12" s="4">
        <v>301.0</v>
      </c>
      <c r="CB12" s="4">
        <v>14.0</v>
      </c>
      <c r="CC12" s="4">
        <f t="shared" ref="CC12:CC17" si="74">0.5*5</f>
        <v>2.5</v>
      </c>
      <c r="CD12" s="4">
        <v>16.0</v>
      </c>
      <c r="CE12" s="4">
        <f t="shared" ref="CE12:CF12" si="65">0.5*10</f>
        <v>5</v>
      </c>
      <c r="CF12" s="4">
        <f t="shared" si="65"/>
        <v>5</v>
      </c>
      <c r="CG12" s="4">
        <v>407.0</v>
      </c>
      <c r="CH12" s="4">
        <v>11776.0</v>
      </c>
      <c r="CI12" s="4">
        <f t="shared" si="17"/>
        <v>5</v>
      </c>
      <c r="CJ12" s="4"/>
      <c r="CK12" s="4">
        <f>0.5*0.002</f>
        <v>0.001</v>
      </c>
      <c r="CL12" s="4">
        <f>0.5*0.001</f>
        <v>0.0005</v>
      </c>
      <c r="CM12" s="4"/>
      <c r="CN12" s="4"/>
      <c r="CO12" s="4"/>
      <c r="CP12" s="4"/>
      <c r="CQ12" s="4">
        <v>583.33</v>
      </c>
      <c r="CR12" s="4">
        <v>333.33</v>
      </c>
      <c r="CS12" s="4">
        <v>128666.67</v>
      </c>
      <c r="CT12" s="4"/>
      <c r="CU12" s="4"/>
      <c r="CV12" s="4"/>
      <c r="CW12" s="4">
        <v>49333.33</v>
      </c>
      <c r="CX12" s="4"/>
      <c r="CY12" s="4"/>
      <c r="CZ12" s="4"/>
    </row>
    <row r="13">
      <c r="A13" s="4" t="s">
        <v>182</v>
      </c>
      <c r="B13" s="4" t="s">
        <v>183</v>
      </c>
      <c r="C13" s="5" t="s">
        <v>184</v>
      </c>
      <c r="D13" s="5" t="s">
        <v>143</v>
      </c>
      <c r="E13" s="4" t="s">
        <v>178</v>
      </c>
      <c r="F13" s="4" t="s">
        <v>109</v>
      </c>
      <c r="G13" s="4" t="s">
        <v>110</v>
      </c>
      <c r="H13" s="4" t="s">
        <v>185</v>
      </c>
      <c r="I13" s="4" t="s">
        <v>186</v>
      </c>
      <c r="J13" s="4" t="s">
        <v>187</v>
      </c>
      <c r="K13" s="4" t="s">
        <v>188</v>
      </c>
      <c r="L13" s="4">
        <v>-23.1382</v>
      </c>
      <c r="M13" s="4">
        <v>-61.9639</v>
      </c>
      <c r="N13" s="4"/>
      <c r="O13" s="4"/>
      <c r="P13" s="4">
        <v>516.0</v>
      </c>
      <c r="Q13" s="4">
        <v>194.9</v>
      </c>
      <c r="R13" s="4">
        <v>8.38</v>
      </c>
      <c r="S13" s="4">
        <v>-87.01</v>
      </c>
      <c r="T13" s="4">
        <v>1944.0</v>
      </c>
      <c r="U13" s="4">
        <v>1.0</v>
      </c>
      <c r="V13" s="4">
        <v>23.7</v>
      </c>
      <c r="W13" s="4">
        <v>8.09</v>
      </c>
      <c r="X13" s="4">
        <v>97.5</v>
      </c>
      <c r="Y13" s="4">
        <v>189.8</v>
      </c>
      <c r="Z13" s="4">
        <v>1662.0</v>
      </c>
      <c r="AA13" s="4">
        <v>1518.0</v>
      </c>
      <c r="AB13" s="4">
        <v>92.0</v>
      </c>
      <c r="AC13" s="4">
        <f>0.5*1</f>
        <v>0.5</v>
      </c>
      <c r="AD13" s="4">
        <v>485.0</v>
      </c>
      <c r="AE13" s="4"/>
      <c r="AF13" s="4">
        <v>160.0</v>
      </c>
      <c r="AG13" s="4">
        <v>322.0</v>
      </c>
      <c r="AH13" s="4">
        <v>334.0</v>
      </c>
      <c r="AI13" s="4">
        <v>117.0</v>
      </c>
      <c r="AJ13" s="4">
        <v>47.0</v>
      </c>
      <c r="AK13" s="4">
        <v>217.0</v>
      </c>
      <c r="AL13" s="4">
        <v>9.9</v>
      </c>
      <c r="AM13" s="4"/>
      <c r="AN13" s="4"/>
      <c r="AO13" s="4"/>
      <c r="AP13" s="4"/>
      <c r="AQ13" s="4"/>
      <c r="AR13" s="4">
        <f>0.5*0.2</f>
        <v>0.1</v>
      </c>
      <c r="AS13" s="4">
        <f t="shared" ref="AS13:AS16" si="76">0.5*0.05</f>
        <v>0.025</v>
      </c>
      <c r="AT13" s="4">
        <f t="shared" ref="AT13:AT16" si="77">0.5*0.03</f>
        <v>0.015</v>
      </c>
      <c r="AU13" s="4">
        <v>1.0</v>
      </c>
      <c r="AV13" s="4"/>
      <c r="AW13" s="4"/>
      <c r="AX13" s="4">
        <f t="shared" ref="AX13:AY13" si="66">0.5*2</f>
        <v>1</v>
      </c>
      <c r="AY13" s="4">
        <f t="shared" si="66"/>
        <v>1</v>
      </c>
      <c r="AZ13" s="4"/>
      <c r="BA13" s="4"/>
      <c r="BB13" s="4"/>
      <c r="BC13" s="4">
        <v>930.0</v>
      </c>
      <c r="BD13" s="4">
        <v>210.0</v>
      </c>
      <c r="BE13" s="4"/>
      <c r="BF13" s="4">
        <f t="shared" ref="BF13:BI13" si="67">0.5*10</f>
        <v>5</v>
      </c>
      <c r="BG13" s="4">
        <f t="shared" si="67"/>
        <v>5</v>
      </c>
      <c r="BH13" s="4">
        <f t="shared" si="67"/>
        <v>5</v>
      </c>
      <c r="BI13" s="4">
        <f t="shared" si="67"/>
        <v>5</v>
      </c>
      <c r="BJ13" s="4">
        <f t="shared" si="68"/>
        <v>2.5</v>
      </c>
      <c r="BK13" s="4">
        <v>11.0</v>
      </c>
      <c r="BL13" s="4">
        <f t="shared" si="69"/>
        <v>2.5</v>
      </c>
      <c r="BM13" s="4">
        <f t="shared" si="70"/>
        <v>5</v>
      </c>
      <c r="BN13" s="4"/>
      <c r="BO13" s="4">
        <f t="shared" ref="BO13:BO17" si="80">0.5*10</f>
        <v>5</v>
      </c>
      <c r="BP13" s="4">
        <f t="shared" si="71"/>
        <v>2.5</v>
      </c>
      <c r="BQ13" s="4">
        <f t="shared" ref="BQ13:BS13" si="72">0.5*10</f>
        <v>5</v>
      </c>
      <c r="BR13" s="4">
        <f t="shared" si="72"/>
        <v>5</v>
      </c>
      <c r="BS13" s="4">
        <f t="shared" si="72"/>
        <v>5</v>
      </c>
      <c r="BT13" s="4">
        <v>133.0</v>
      </c>
      <c r="BU13" s="4">
        <v>1246.0</v>
      </c>
      <c r="BV13" s="4">
        <f t="shared" si="13"/>
        <v>5</v>
      </c>
      <c r="BW13" s="4">
        <v>13.0</v>
      </c>
      <c r="BX13" s="4">
        <v>177.0</v>
      </c>
      <c r="BY13" s="4">
        <v>7.0</v>
      </c>
      <c r="BZ13" s="4">
        <f t="shared" si="73"/>
        <v>5</v>
      </c>
      <c r="CA13" s="4">
        <v>87.0</v>
      </c>
      <c r="CB13" s="4">
        <f t="shared" ref="CB13:CB17" si="82">0.5*10</f>
        <v>5</v>
      </c>
      <c r="CC13" s="4">
        <f t="shared" si="74"/>
        <v>2.5</v>
      </c>
      <c r="CD13" s="4">
        <v>32.0</v>
      </c>
      <c r="CE13" s="4">
        <f t="shared" ref="CE13:CF13" si="75">0.5*10</f>
        <v>5</v>
      </c>
      <c r="CF13" s="4">
        <f t="shared" si="75"/>
        <v>5</v>
      </c>
      <c r="CG13" s="4">
        <v>14948.0</v>
      </c>
      <c r="CH13" s="4">
        <v>1266.0</v>
      </c>
      <c r="CI13" s="4">
        <f t="shared" si="17"/>
        <v>5</v>
      </c>
      <c r="CJ13" s="4"/>
      <c r="CK13" s="4"/>
      <c r="CL13" s="4"/>
      <c r="CM13" s="4"/>
      <c r="CN13" s="4"/>
      <c r="CO13" s="4"/>
      <c r="CP13" s="4"/>
      <c r="CQ13" s="4">
        <v>240.22</v>
      </c>
      <c r="CR13" s="4"/>
      <c r="CS13" s="4">
        <v>217.39</v>
      </c>
      <c r="CT13" s="4"/>
      <c r="CU13" s="4"/>
      <c r="CV13" s="4">
        <v>141.3</v>
      </c>
      <c r="CW13" s="4">
        <v>161032.61</v>
      </c>
      <c r="CX13" s="4">
        <v>1804.35</v>
      </c>
      <c r="CY13" s="4">
        <v>76.09</v>
      </c>
      <c r="CZ13" s="4"/>
    </row>
    <row r="14">
      <c r="A14" s="4" t="s">
        <v>189</v>
      </c>
      <c r="B14" s="4" t="s">
        <v>190</v>
      </c>
      <c r="C14" s="5" t="s">
        <v>191</v>
      </c>
      <c r="D14" s="5" t="s">
        <v>192</v>
      </c>
      <c r="E14" s="4" t="s">
        <v>178</v>
      </c>
      <c r="F14" s="4" t="s">
        <v>109</v>
      </c>
      <c r="G14" s="4" t="s">
        <v>110</v>
      </c>
      <c r="H14" s="4" t="s">
        <v>185</v>
      </c>
      <c r="I14" s="4" t="s">
        <v>186</v>
      </c>
      <c r="J14" s="4" t="s">
        <v>193</v>
      </c>
      <c r="K14" s="4" t="s">
        <v>194</v>
      </c>
      <c r="L14" s="4">
        <v>-24.3585</v>
      </c>
      <c r="M14" s="4">
        <v>-60.3065</v>
      </c>
      <c r="N14" s="4"/>
      <c r="O14" s="4"/>
      <c r="P14" s="4">
        <v>513.0</v>
      </c>
      <c r="Q14" s="4">
        <v>74.25</v>
      </c>
      <c r="R14" s="4">
        <v>7.28</v>
      </c>
      <c r="S14" s="4">
        <v>-22.0</v>
      </c>
      <c r="T14" s="4">
        <v>1950.0</v>
      </c>
      <c r="U14" s="4">
        <v>1.0</v>
      </c>
      <c r="V14" s="4">
        <v>22.8</v>
      </c>
      <c r="W14" s="4">
        <v>3.09</v>
      </c>
      <c r="X14" s="4">
        <v>36.5</v>
      </c>
      <c r="Y14" s="4">
        <v>3.82</v>
      </c>
      <c r="Z14" s="4">
        <v>1454.0</v>
      </c>
      <c r="AA14" s="4">
        <v>1290.0</v>
      </c>
      <c r="AB14" s="4">
        <v>150.0</v>
      </c>
      <c r="AC14" s="4">
        <v>36.0</v>
      </c>
      <c r="AD14" s="4">
        <v>553.0</v>
      </c>
      <c r="AE14" s="4"/>
      <c r="AF14" s="4">
        <v>302.0</v>
      </c>
      <c r="AG14" s="4">
        <v>267.0</v>
      </c>
      <c r="AH14" s="4">
        <v>361.0</v>
      </c>
      <c r="AI14" s="4">
        <v>179.0</v>
      </c>
      <c r="AJ14" s="4">
        <v>26.0</v>
      </c>
      <c r="AK14" s="4">
        <v>217.0</v>
      </c>
      <c r="AL14" s="4">
        <v>9.9</v>
      </c>
      <c r="AM14" s="4"/>
      <c r="AN14" s="4"/>
      <c r="AO14" s="4"/>
      <c r="AP14" s="4"/>
      <c r="AQ14" s="4"/>
      <c r="AR14" s="4">
        <v>0.6</v>
      </c>
      <c r="AS14" s="4">
        <f t="shared" si="76"/>
        <v>0.025</v>
      </c>
      <c r="AT14" s="4">
        <f t="shared" si="77"/>
        <v>0.015</v>
      </c>
      <c r="AU14" s="4">
        <v>5.0</v>
      </c>
      <c r="AV14" s="4"/>
      <c r="AW14" s="4"/>
      <c r="AX14" s="4">
        <f t="shared" ref="AX14:AY14" si="78">0.5*2</f>
        <v>1</v>
      </c>
      <c r="AY14" s="4">
        <f t="shared" si="78"/>
        <v>1</v>
      </c>
      <c r="AZ14" s="4"/>
      <c r="BA14" s="4"/>
      <c r="BB14" s="4"/>
      <c r="BC14" s="4">
        <v>390.0</v>
      </c>
      <c r="BD14" s="4">
        <v>36.0</v>
      </c>
      <c r="BE14" s="4"/>
      <c r="BF14" s="4">
        <f t="shared" ref="BF14:BI14" si="79">0.5*10</f>
        <v>5</v>
      </c>
      <c r="BG14" s="4">
        <f t="shared" si="79"/>
        <v>5</v>
      </c>
      <c r="BH14" s="4">
        <f t="shared" si="79"/>
        <v>5</v>
      </c>
      <c r="BI14" s="4">
        <f t="shared" si="79"/>
        <v>5</v>
      </c>
      <c r="BJ14" s="4">
        <f t="shared" si="68"/>
        <v>2.5</v>
      </c>
      <c r="BK14" s="4">
        <v>2629.0</v>
      </c>
      <c r="BL14" s="4">
        <f t="shared" si="69"/>
        <v>2.5</v>
      </c>
      <c r="BM14" s="4">
        <f t="shared" si="70"/>
        <v>5</v>
      </c>
      <c r="BN14" s="4"/>
      <c r="BO14" s="4">
        <f t="shared" si="80"/>
        <v>5</v>
      </c>
      <c r="BP14" s="4">
        <f t="shared" si="71"/>
        <v>2.5</v>
      </c>
      <c r="BQ14" s="4">
        <f t="shared" ref="BQ14:BS14" si="81">0.5*10</f>
        <v>5</v>
      </c>
      <c r="BR14" s="4">
        <f t="shared" si="81"/>
        <v>5</v>
      </c>
      <c r="BS14" s="4">
        <f t="shared" si="81"/>
        <v>5</v>
      </c>
      <c r="BT14" s="4">
        <v>160.0</v>
      </c>
      <c r="BU14" s="4">
        <v>839.0</v>
      </c>
      <c r="BV14" s="4">
        <f t="shared" si="13"/>
        <v>5</v>
      </c>
      <c r="BW14" s="4">
        <f t="shared" ref="BW14:BW17" si="86">0.5*5</f>
        <v>2.5</v>
      </c>
      <c r="BX14" s="4">
        <v>2736.0</v>
      </c>
      <c r="BY14" s="4">
        <f t="shared" ref="BY14:BY17" si="87">0.5*5</f>
        <v>2.5</v>
      </c>
      <c r="BZ14" s="4">
        <f t="shared" si="73"/>
        <v>5</v>
      </c>
      <c r="CA14" s="4">
        <v>80.0</v>
      </c>
      <c r="CB14" s="4">
        <f t="shared" si="82"/>
        <v>5</v>
      </c>
      <c r="CC14" s="4">
        <f t="shared" si="74"/>
        <v>2.5</v>
      </c>
      <c r="CD14" s="4">
        <f t="shared" ref="CD14:CF14" si="83">0.5*10</f>
        <v>5</v>
      </c>
      <c r="CE14" s="4">
        <f t="shared" si="83"/>
        <v>5</v>
      </c>
      <c r="CF14" s="4">
        <f t="shared" si="83"/>
        <v>5</v>
      </c>
      <c r="CG14" s="4">
        <v>440.0</v>
      </c>
      <c r="CH14" s="4">
        <v>900.0</v>
      </c>
      <c r="CI14" s="4">
        <f t="shared" si="17"/>
        <v>5</v>
      </c>
      <c r="CJ14" s="4"/>
      <c r="CK14" s="4"/>
      <c r="CL14" s="4"/>
      <c r="CM14" s="4"/>
      <c r="CN14" s="4"/>
      <c r="CO14" s="4"/>
      <c r="CP14" s="4"/>
      <c r="CQ14" s="4"/>
      <c r="CR14" s="4"/>
      <c r="CS14" s="4">
        <v>406.67</v>
      </c>
      <c r="CT14" s="4"/>
      <c r="CU14" s="4"/>
      <c r="CV14" s="4"/>
      <c r="CW14" s="4">
        <v>1866.67</v>
      </c>
      <c r="CX14" s="4">
        <v>713.33</v>
      </c>
      <c r="CY14" s="4"/>
      <c r="CZ14" s="4"/>
    </row>
    <row r="15">
      <c r="A15" s="4" t="s">
        <v>195</v>
      </c>
      <c r="B15" s="4" t="s">
        <v>196</v>
      </c>
      <c r="C15" s="5" t="s">
        <v>191</v>
      </c>
      <c r="D15" s="5" t="s">
        <v>197</v>
      </c>
      <c r="E15" s="4" t="s">
        <v>178</v>
      </c>
      <c r="F15" s="4" t="s">
        <v>109</v>
      </c>
      <c r="G15" s="4" t="s">
        <v>110</v>
      </c>
      <c r="H15" s="4" t="s">
        <v>198</v>
      </c>
      <c r="J15" s="4" t="s">
        <v>199</v>
      </c>
      <c r="K15" s="4" t="s">
        <v>200</v>
      </c>
      <c r="L15" s="4">
        <v>-24.6958</v>
      </c>
      <c r="M15" s="4">
        <v>-59.8184</v>
      </c>
      <c r="N15" s="4"/>
      <c r="O15" s="4"/>
      <c r="P15" s="4">
        <v>300.0</v>
      </c>
      <c r="Q15" s="4">
        <v>230.0</v>
      </c>
      <c r="R15" s="4">
        <v>8.47</v>
      </c>
      <c r="S15" s="4">
        <v>-91.5</v>
      </c>
      <c r="T15" s="4">
        <v>3335.0</v>
      </c>
      <c r="U15" s="4">
        <v>1.7</v>
      </c>
      <c r="V15" s="4">
        <v>24.4</v>
      </c>
      <c r="W15" s="4">
        <v>9.36</v>
      </c>
      <c r="X15" s="4">
        <v>112.8</v>
      </c>
      <c r="Y15" s="4">
        <v>51.5</v>
      </c>
      <c r="Z15" s="4">
        <v>2450.0</v>
      </c>
      <c r="AA15" s="4">
        <v>2182.0</v>
      </c>
      <c r="AB15" s="4">
        <v>210.0</v>
      </c>
      <c r="AC15" s="4">
        <v>28.0</v>
      </c>
      <c r="AD15" s="4">
        <v>524.0</v>
      </c>
      <c r="AE15" s="4"/>
      <c r="AF15" s="4">
        <v>198.0</v>
      </c>
      <c r="AG15" s="4">
        <v>480.0</v>
      </c>
      <c r="AH15" s="4">
        <v>918.0</v>
      </c>
      <c r="AI15" s="4">
        <v>78.0</v>
      </c>
      <c r="AJ15" s="4">
        <v>80.0</v>
      </c>
      <c r="AK15" s="4">
        <v>563.0</v>
      </c>
      <c r="AL15" s="4">
        <v>16.0</v>
      </c>
      <c r="AM15" s="4"/>
      <c r="AN15" s="4"/>
      <c r="AO15" s="4"/>
      <c r="AP15" s="4"/>
      <c r="AQ15" s="4"/>
      <c r="AR15" s="4">
        <f>0.5*0.2</f>
        <v>0.1</v>
      </c>
      <c r="AS15" s="4">
        <f t="shared" si="76"/>
        <v>0.025</v>
      </c>
      <c r="AT15" s="4">
        <f t="shared" si="77"/>
        <v>0.015</v>
      </c>
      <c r="AU15" s="4">
        <v>4.0</v>
      </c>
      <c r="AV15" s="4"/>
      <c r="AW15" s="4"/>
      <c r="AX15" s="4">
        <v>3.0</v>
      </c>
      <c r="AY15" s="4">
        <f t="shared" ref="AY15:AY16" si="89">0.5*2</f>
        <v>1</v>
      </c>
      <c r="AZ15" s="4"/>
      <c r="BA15" s="4"/>
      <c r="BB15" s="4"/>
      <c r="BC15" s="4">
        <v>91.0</v>
      </c>
      <c r="BD15" s="4">
        <v>91.0</v>
      </c>
      <c r="BE15" s="4"/>
      <c r="BF15" s="4">
        <f t="shared" ref="BF15:BI15" si="84">0.5*10</f>
        <v>5</v>
      </c>
      <c r="BG15" s="4">
        <f t="shared" si="84"/>
        <v>5</v>
      </c>
      <c r="BH15" s="4">
        <f t="shared" si="84"/>
        <v>5</v>
      </c>
      <c r="BI15" s="4">
        <f t="shared" si="84"/>
        <v>5</v>
      </c>
      <c r="BJ15" s="4">
        <f t="shared" si="68"/>
        <v>2.5</v>
      </c>
      <c r="BK15" s="4">
        <v>30.0</v>
      </c>
      <c r="BL15" s="4">
        <f t="shared" si="69"/>
        <v>2.5</v>
      </c>
      <c r="BM15" s="4">
        <f t="shared" si="70"/>
        <v>5</v>
      </c>
      <c r="BN15" s="4"/>
      <c r="BO15" s="4">
        <f t="shared" si="80"/>
        <v>5</v>
      </c>
      <c r="BP15" s="4">
        <f t="shared" si="71"/>
        <v>2.5</v>
      </c>
      <c r="BQ15" s="4">
        <f t="shared" ref="BQ15:BS15" si="85">0.5*10</f>
        <v>5</v>
      </c>
      <c r="BR15" s="4">
        <f t="shared" si="85"/>
        <v>5</v>
      </c>
      <c r="BS15" s="4">
        <f t="shared" si="85"/>
        <v>5</v>
      </c>
      <c r="BT15" s="4">
        <v>53.0</v>
      </c>
      <c r="BU15" s="4">
        <v>1449.0</v>
      </c>
      <c r="BV15" s="4">
        <f t="shared" si="13"/>
        <v>5</v>
      </c>
      <c r="BW15" s="4">
        <f t="shared" si="86"/>
        <v>2.5</v>
      </c>
      <c r="BX15" s="4">
        <v>169.0</v>
      </c>
      <c r="BY15" s="4">
        <f t="shared" si="87"/>
        <v>2.5</v>
      </c>
      <c r="BZ15" s="4">
        <f t="shared" si="73"/>
        <v>5</v>
      </c>
      <c r="CA15" s="4">
        <v>97.0</v>
      </c>
      <c r="CB15" s="4">
        <f t="shared" si="82"/>
        <v>5</v>
      </c>
      <c r="CC15" s="4">
        <f t="shared" si="74"/>
        <v>2.5</v>
      </c>
      <c r="CD15" s="4">
        <f t="shared" ref="CD15:CF15" si="88">0.5*10</f>
        <v>5</v>
      </c>
      <c r="CE15" s="4">
        <f t="shared" si="88"/>
        <v>5</v>
      </c>
      <c r="CF15" s="4">
        <f t="shared" si="88"/>
        <v>5</v>
      </c>
      <c r="CG15" s="4">
        <v>2228.0</v>
      </c>
      <c r="CH15" s="4">
        <v>1462.0</v>
      </c>
      <c r="CI15" s="4">
        <f t="shared" si="17"/>
        <v>5</v>
      </c>
      <c r="CJ15" s="4"/>
      <c r="CK15" s="4"/>
      <c r="CL15" s="4"/>
      <c r="CM15" s="4"/>
      <c r="CN15" s="4"/>
      <c r="CO15" s="4"/>
      <c r="CP15" s="4"/>
      <c r="CQ15" s="4"/>
      <c r="CR15" s="4"/>
      <c r="CS15" s="4">
        <v>61.9</v>
      </c>
      <c r="CT15" s="4"/>
      <c r="CU15" s="4"/>
      <c r="CV15" s="4"/>
      <c r="CW15" s="4">
        <v>10357.14</v>
      </c>
      <c r="CX15" s="4">
        <v>661.9</v>
      </c>
      <c r="CY15" s="4"/>
      <c r="CZ15" s="4"/>
    </row>
    <row r="16">
      <c r="A16" s="4" t="s">
        <v>201</v>
      </c>
      <c r="B16" s="4" t="s">
        <v>202</v>
      </c>
      <c r="C16" s="5" t="s">
        <v>191</v>
      </c>
      <c r="D16" s="5" t="s">
        <v>203</v>
      </c>
      <c r="E16" s="4" t="s">
        <v>178</v>
      </c>
      <c r="F16" s="4" t="s">
        <v>109</v>
      </c>
      <c r="G16" s="4" t="s">
        <v>110</v>
      </c>
      <c r="H16" s="4" t="s">
        <v>204</v>
      </c>
      <c r="J16" s="4" t="s">
        <v>205</v>
      </c>
      <c r="K16" s="4" t="s">
        <v>206</v>
      </c>
      <c r="L16" s="4">
        <v>-25.1487</v>
      </c>
      <c r="M16" s="4">
        <v>-59.6793</v>
      </c>
      <c r="N16" s="4"/>
      <c r="O16" s="4"/>
      <c r="P16" s="4">
        <v>498.0</v>
      </c>
      <c r="Q16" s="4">
        <v>134.85</v>
      </c>
      <c r="R16" s="4">
        <v>8.21</v>
      </c>
      <c r="S16" s="4">
        <v>-76.0</v>
      </c>
      <c r="T16" s="4">
        <v>2005.0</v>
      </c>
      <c r="U16" s="4">
        <v>1.0</v>
      </c>
      <c r="V16" s="4">
        <v>23.4</v>
      </c>
      <c r="W16" s="4">
        <v>5.58</v>
      </c>
      <c r="X16" s="4">
        <v>66.0</v>
      </c>
      <c r="Y16" s="4">
        <v>109.0</v>
      </c>
      <c r="Z16" s="4">
        <v>1450.0</v>
      </c>
      <c r="AA16" s="4">
        <v>1280.0</v>
      </c>
      <c r="AB16" s="4">
        <v>126.0</v>
      </c>
      <c r="AC16" s="4">
        <v>34.0</v>
      </c>
      <c r="AD16" s="4">
        <v>350.0</v>
      </c>
      <c r="AE16" s="4"/>
      <c r="AF16" s="4">
        <v>213.0</v>
      </c>
      <c r="AG16" s="4">
        <v>277.0</v>
      </c>
      <c r="AH16" s="4">
        <v>402.0</v>
      </c>
      <c r="AI16" s="4">
        <v>93.0</v>
      </c>
      <c r="AJ16" s="4">
        <v>28.0</v>
      </c>
      <c r="AK16" s="4">
        <v>285.0</v>
      </c>
      <c r="AL16" s="4">
        <v>10.0</v>
      </c>
      <c r="AM16" s="4"/>
      <c r="AN16" s="4"/>
      <c r="AO16" s="4"/>
      <c r="AP16" s="4"/>
      <c r="AQ16" s="4"/>
      <c r="AR16" s="4">
        <v>0.4</v>
      </c>
      <c r="AS16" s="4">
        <f t="shared" si="76"/>
        <v>0.025</v>
      </c>
      <c r="AT16" s="4">
        <f t="shared" si="77"/>
        <v>0.015</v>
      </c>
      <c r="AU16" s="4">
        <v>4.0</v>
      </c>
      <c r="AV16" s="4"/>
      <c r="AW16" s="4"/>
      <c r="AX16" s="4">
        <v>2.0</v>
      </c>
      <c r="AY16" s="4">
        <f t="shared" si="89"/>
        <v>1</v>
      </c>
      <c r="AZ16" s="4"/>
      <c r="BA16" s="4"/>
      <c r="BB16" s="4"/>
      <c r="BC16" s="4">
        <v>930.0</v>
      </c>
      <c r="BD16" s="4">
        <v>430.0</v>
      </c>
      <c r="BE16" s="4"/>
      <c r="BF16" s="4">
        <f t="shared" ref="BF16:BI16" si="90">0.5*10</f>
        <v>5</v>
      </c>
      <c r="BG16" s="4">
        <f t="shared" si="90"/>
        <v>5</v>
      </c>
      <c r="BH16" s="4">
        <f t="shared" si="90"/>
        <v>5</v>
      </c>
      <c r="BI16" s="4">
        <f t="shared" si="90"/>
        <v>5</v>
      </c>
      <c r="BJ16" s="4">
        <f t="shared" si="68"/>
        <v>2.5</v>
      </c>
      <c r="BK16" s="4">
        <v>36.0</v>
      </c>
      <c r="BL16" s="4">
        <f t="shared" si="69"/>
        <v>2.5</v>
      </c>
      <c r="BM16" s="4">
        <f t="shared" si="70"/>
        <v>5</v>
      </c>
      <c r="BN16" s="4"/>
      <c r="BO16" s="4">
        <f t="shared" si="80"/>
        <v>5</v>
      </c>
      <c r="BP16" s="4">
        <f t="shared" si="71"/>
        <v>2.5</v>
      </c>
      <c r="BQ16" s="4">
        <f t="shared" ref="BQ16:BS16" si="91">0.5*10</f>
        <v>5</v>
      </c>
      <c r="BR16" s="4">
        <f t="shared" si="91"/>
        <v>5</v>
      </c>
      <c r="BS16" s="4">
        <f t="shared" si="91"/>
        <v>5</v>
      </c>
      <c r="BT16" s="4">
        <v>57.0</v>
      </c>
      <c r="BU16" s="4">
        <v>870.0</v>
      </c>
      <c r="BV16" s="4">
        <f t="shared" si="13"/>
        <v>5</v>
      </c>
      <c r="BW16" s="4">
        <f t="shared" si="86"/>
        <v>2.5</v>
      </c>
      <c r="BX16" s="4">
        <v>198.0</v>
      </c>
      <c r="BY16" s="4">
        <f t="shared" si="87"/>
        <v>2.5</v>
      </c>
      <c r="BZ16" s="4">
        <f t="shared" si="73"/>
        <v>5</v>
      </c>
      <c r="CA16" s="4">
        <v>123.0</v>
      </c>
      <c r="CB16" s="4">
        <f t="shared" si="82"/>
        <v>5</v>
      </c>
      <c r="CC16" s="4">
        <f t="shared" si="74"/>
        <v>2.5</v>
      </c>
      <c r="CD16" s="4">
        <f t="shared" ref="CD16:CF16" si="92">0.5*10</f>
        <v>5</v>
      </c>
      <c r="CE16" s="4">
        <f t="shared" si="92"/>
        <v>5</v>
      </c>
      <c r="CF16" s="4">
        <f t="shared" si="92"/>
        <v>5</v>
      </c>
      <c r="CG16" s="4">
        <v>5801.0</v>
      </c>
      <c r="CH16" s="4">
        <v>1158.0</v>
      </c>
      <c r="CI16" s="4">
        <f t="shared" si="17"/>
        <v>5</v>
      </c>
      <c r="CJ16" s="4"/>
      <c r="CK16" s="4"/>
      <c r="CL16" s="4"/>
      <c r="CM16" s="4"/>
      <c r="CN16" s="4"/>
      <c r="CO16" s="4"/>
      <c r="CP16" s="4"/>
      <c r="CQ16" s="4"/>
      <c r="CR16" s="4"/>
      <c r="CS16" s="4">
        <v>2285.71</v>
      </c>
      <c r="CT16" s="4"/>
      <c r="CU16" s="4"/>
      <c r="CV16" s="4"/>
      <c r="CW16" s="4">
        <v>45587.3</v>
      </c>
      <c r="CX16" s="4">
        <v>1285.71</v>
      </c>
      <c r="CY16" s="4"/>
      <c r="CZ16" s="4"/>
    </row>
    <row r="17">
      <c r="A17" s="4" t="s">
        <v>207</v>
      </c>
      <c r="B17" s="4" t="s">
        <v>208</v>
      </c>
      <c r="C17" s="5" t="s">
        <v>209</v>
      </c>
      <c r="D17" s="5" t="s">
        <v>210</v>
      </c>
      <c r="E17" s="4" t="s">
        <v>211</v>
      </c>
      <c r="F17" s="4" t="s">
        <v>109</v>
      </c>
      <c r="G17" s="4" t="s">
        <v>110</v>
      </c>
      <c r="H17" s="4" t="s">
        <v>111</v>
      </c>
      <c r="I17" s="4" t="s">
        <v>212</v>
      </c>
      <c r="J17" s="4" t="s">
        <v>213</v>
      </c>
      <c r="K17" s="4" t="s">
        <v>214</v>
      </c>
      <c r="L17" s="4">
        <v>-24.7483</v>
      </c>
      <c r="M17" s="4">
        <v>-58.8331</v>
      </c>
      <c r="N17" s="4"/>
      <c r="O17" s="4"/>
      <c r="P17" s="4">
        <v>19.7245</v>
      </c>
      <c r="Q17" s="4"/>
      <c r="R17" s="4">
        <v>8.55</v>
      </c>
      <c r="S17" s="4">
        <v>-91.5</v>
      </c>
      <c r="T17" s="4">
        <v>50700.0</v>
      </c>
      <c r="U17" s="4">
        <v>33.3</v>
      </c>
      <c r="V17" s="4">
        <v>23.1</v>
      </c>
      <c r="W17" s="4">
        <v>7.66</v>
      </c>
      <c r="X17" s="4">
        <v>109.3</v>
      </c>
      <c r="Y17" s="4">
        <v>2.92</v>
      </c>
      <c r="Z17" s="4">
        <v>32651.6</v>
      </c>
      <c r="AA17" s="4">
        <v>32600.0</v>
      </c>
      <c r="AB17" s="4">
        <v>51.6</v>
      </c>
      <c r="AC17" s="4">
        <v>40.0</v>
      </c>
      <c r="AD17" s="4">
        <v>5800.0</v>
      </c>
      <c r="AE17" s="4">
        <v>90.54</v>
      </c>
      <c r="AF17" s="4">
        <v>638.81</v>
      </c>
      <c r="AG17" s="4">
        <v>19294.0</v>
      </c>
      <c r="AH17" s="4">
        <v>12011.6</v>
      </c>
      <c r="AI17" s="4">
        <v>1120.0</v>
      </c>
      <c r="AJ17" s="4">
        <v>656.6</v>
      </c>
      <c r="AK17" s="4">
        <v>12602.5</v>
      </c>
      <c r="AL17" s="4">
        <v>15.11</v>
      </c>
      <c r="AM17" s="4">
        <v>1160.0</v>
      </c>
      <c r="AN17" s="4">
        <v>705.3</v>
      </c>
      <c r="AO17" s="4">
        <v>13156.4</v>
      </c>
      <c r="AP17" s="4">
        <v>18.14</v>
      </c>
      <c r="AQ17" s="4">
        <v>2.24</v>
      </c>
      <c r="AR17" s="4">
        <v>0.723</v>
      </c>
      <c r="AS17" s="4">
        <v>0.076</v>
      </c>
      <c r="AT17" s="4">
        <v>0.008</v>
      </c>
      <c r="AU17" s="4">
        <v>0.39</v>
      </c>
      <c r="AV17" s="4">
        <v>0.771</v>
      </c>
      <c r="AW17" s="4"/>
      <c r="AX17" s="4">
        <v>4.4</v>
      </c>
      <c r="AY17" s="4">
        <v>1347.67</v>
      </c>
      <c r="AZ17" s="4">
        <v>16380.0</v>
      </c>
      <c r="BA17" s="4">
        <v>250.0</v>
      </c>
      <c r="BB17" s="4"/>
      <c r="BC17" s="4"/>
      <c r="BD17" s="4"/>
      <c r="BE17" s="4">
        <v>176000.0</v>
      </c>
      <c r="BF17" s="4">
        <f t="shared" ref="BF17:BI17" si="93">0.5*10</f>
        <v>5</v>
      </c>
      <c r="BG17" s="4">
        <f t="shared" si="93"/>
        <v>5</v>
      </c>
      <c r="BH17" s="4">
        <f t="shared" si="93"/>
        <v>5</v>
      </c>
      <c r="BI17" s="4">
        <f t="shared" si="93"/>
        <v>5</v>
      </c>
      <c r="BJ17" s="4">
        <f t="shared" si="68"/>
        <v>2.5</v>
      </c>
      <c r="BK17" s="4">
        <v>485.0</v>
      </c>
      <c r="BL17" s="4">
        <f t="shared" si="69"/>
        <v>2.5</v>
      </c>
      <c r="BM17" s="4">
        <f t="shared" si="70"/>
        <v>5</v>
      </c>
      <c r="BN17" s="4"/>
      <c r="BO17" s="4">
        <f t="shared" si="80"/>
        <v>5</v>
      </c>
      <c r="BP17" s="4">
        <f t="shared" si="71"/>
        <v>2.5</v>
      </c>
      <c r="BQ17" s="4">
        <f t="shared" ref="BQ17:BS17" si="94">0.5*10</f>
        <v>5</v>
      </c>
      <c r="BR17" s="4">
        <f t="shared" si="94"/>
        <v>5</v>
      </c>
      <c r="BS17" s="4">
        <f t="shared" si="94"/>
        <v>5</v>
      </c>
      <c r="BT17" s="4">
        <v>51.0</v>
      </c>
      <c r="BU17" s="4">
        <v>8725.0</v>
      </c>
      <c r="BV17" s="4">
        <f t="shared" si="13"/>
        <v>5</v>
      </c>
      <c r="BW17" s="4">
        <f t="shared" si="86"/>
        <v>2.5</v>
      </c>
      <c r="BX17" s="4">
        <v>499.0</v>
      </c>
      <c r="BY17" s="4">
        <f t="shared" si="87"/>
        <v>2.5</v>
      </c>
      <c r="BZ17" s="4">
        <f t="shared" si="73"/>
        <v>5</v>
      </c>
      <c r="CA17" s="4">
        <v>212.0</v>
      </c>
      <c r="CB17" s="4">
        <f t="shared" si="82"/>
        <v>5</v>
      </c>
      <c r="CC17" s="4">
        <f t="shared" si="74"/>
        <v>2.5</v>
      </c>
      <c r="CD17" s="4">
        <f t="shared" ref="CD17:CF17" si="95">0.5*10</f>
        <v>5</v>
      </c>
      <c r="CE17" s="4">
        <f t="shared" si="95"/>
        <v>5</v>
      </c>
      <c r="CF17" s="4">
        <f t="shared" si="95"/>
        <v>5</v>
      </c>
      <c r="CG17" s="4">
        <v>125.0</v>
      </c>
      <c r="CH17" s="4">
        <v>8739.0</v>
      </c>
      <c r="CI17" s="4">
        <f t="shared" si="17"/>
        <v>5</v>
      </c>
      <c r="CJ17" s="4"/>
      <c r="CK17" s="4"/>
      <c r="CL17" s="4">
        <f>0.5*0.001</f>
        <v>0.0005</v>
      </c>
      <c r="CM17" s="4">
        <f>0.5*0.01</f>
        <v>0.005</v>
      </c>
      <c r="CN17" s="4">
        <f>0.5*0.5</f>
        <v>0.25</v>
      </c>
      <c r="CO17" s="4"/>
      <c r="CP17" s="4"/>
      <c r="CQ17" s="4"/>
      <c r="CR17" s="4"/>
      <c r="CS17" s="4">
        <v>271.32</v>
      </c>
      <c r="CT17" s="4"/>
      <c r="CU17" s="4"/>
      <c r="CV17" s="4"/>
      <c r="CW17" s="4">
        <v>1434.11</v>
      </c>
      <c r="CX17" s="4">
        <v>271.32</v>
      </c>
      <c r="CY17" s="4"/>
      <c r="CZ17" s="4"/>
    </row>
    <row r="18">
      <c r="A18" s="4" t="s">
        <v>215</v>
      </c>
      <c r="B18" s="4" t="s">
        <v>216</v>
      </c>
      <c r="C18" s="5" t="s">
        <v>209</v>
      </c>
      <c r="D18" s="5" t="s">
        <v>217</v>
      </c>
      <c r="E18" s="4" t="s">
        <v>211</v>
      </c>
      <c r="F18" s="4" t="s">
        <v>109</v>
      </c>
      <c r="G18" s="4" t="s">
        <v>110</v>
      </c>
      <c r="H18" s="4" t="s">
        <v>218</v>
      </c>
      <c r="I18" s="4" t="s">
        <v>212</v>
      </c>
      <c r="J18" s="4" t="s">
        <v>219</v>
      </c>
      <c r="K18" s="4" t="s">
        <v>220</v>
      </c>
      <c r="L18" s="4">
        <v>-24.4096</v>
      </c>
      <c r="M18" s="4">
        <v>-58.8861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>
      <c r="A19" s="4" t="s">
        <v>221</v>
      </c>
      <c r="B19" s="4" t="s">
        <v>222</v>
      </c>
      <c r="C19" s="5" t="s">
        <v>223</v>
      </c>
      <c r="D19" s="5" t="s">
        <v>224</v>
      </c>
      <c r="E19" s="4" t="s">
        <v>211</v>
      </c>
      <c r="F19" s="4" t="s">
        <v>109</v>
      </c>
      <c r="G19" s="4" t="s">
        <v>110</v>
      </c>
      <c r="H19" s="4" t="s">
        <v>225</v>
      </c>
      <c r="J19" s="4" t="s">
        <v>226</v>
      </c>
      <c r="K19" s="4" t="s">
        <v>227</v>
      </c>
      <c r="L19" s="4">
        <v>-23.5388</v>
      </c>
      <c r="M19" s="4">
        <v>-60.2538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>
      <c r="A20" s="4" t="s">
        <v>228</v>
      </c>
      <c r="B20" s="4" t="s">
        <v>229</v>
      </c>
      <c r="C20" s="5" t="s">
        <v>230</v>
      </c>
      <c r="D20" s="5" t="s">
        <v>231</v>
      </c>
      <c r="E20" s="4" t="s">
        <v>211</v>
      </c>
      <c r="F20" s="4" t="s">
        <v>109</v>
      </c>
      <c r="G20" s="4" t="s">
        <v>110</v>
      </c>
      <c r="H20" s="4" t="s">
        <v>111</v>
      </c>
      <c r="J20" s="4" t="s">
        <v>232</v>
      </c>
      <c r="K20" s="4" t="s">
        <v>233</v>
      </c>
      <c r="L20" s="4">
        <v>-23.1696</v>
      </c>
      <c r="M20" s="4">
        <v>-61.6248</v>
      </c>
      <c r="N20" s="4"/>
      <c r="O20" s="4"/>
      <c r="P20" s="4">
        <v>546.0</v>
      </c>
      <c r="Q20" s="4">
        <v>207.5</v>
      </c>
      <c r="R20" s="4">
        <v>8.34</v>
      </c>
      <c r="S20" s="4">
        <v>-82.5</v>
      </c>
      <c r="T20" s="4">
        <v>1832.0</v>
      </c>
      <c r="U20" s="4">
        <v>0.9</v>
      </c>
      <c r="V20" s="4">
        <v>26.8</v>
      </c>
      <c r="W20" s="4">
        <v>8.14</v>
      </c>
      <c r="X20" s="4">
        <v>104.2</v>
      </c>
      <c r="Y20" s="4">
        <v>737.0</v>
      </c>
      <c r="Z20" s="4">
        <v>1270.6</v>
      </c>
      <c r="AA20" s="4">
        <v>1186.0</v>
      </c>
      <c r="AB20" s="4">
        <v>84.9</v>
      </c>
      <c r="AC20" s="4">
        <v>75.0</v>
      </c>
      <c r="AD20" s="4">
        <v>470.0</v>
      </c>
      <c r="AE20" s="4">
        <v>10.06</v>
      </c>
      <c r="AF20" s="4">
        <v>137.82</v>
      </c>
      <c r="AG20" s="4">
        <v>444.86</v>
      </c>
      <c r="AH20" s="4">
        <v>376.53</v>
      </c>
      <c r="AI20" s="4">
        <v>120.0</v>
      </c>
      <c r="AJ20" s="4">
        <v>38.9</v>
      </c>
      <c r="AK20" s="4">
        <v>230.66</v>
      </c>
      <c r="AL20" s="4">
        <v>9.07</v>
      </c>
      <c r="AM20" s="4">
        <v>120.0</v>
      </c>
      <c r="AN20" s="4">
        <v>41.34</v>
      </c>
      <c r="AO20" s="4">
        <v>257.39</v>
      </c>
      <c r="AP20" s="4">
        <v>9.43</v>
      </c>
      <c r="AQ20" s="4">
        <v>0.25</v>
      </c>
      <c r="AR20" s="4">
        <v>0.065</v>
      </c>
      <c r="AS20" s="4">
        <v>0.165</v>
      </c>
      <c r="AT20" s="4">
        <f>0.5*0.005</f>
        <v>0.0025</v>
      </c>
      <c r="AU20" s="4">
        <v>0.164</v>
      </c>
      <c r="AV20" s="4">
        <v>0.137</v>
      </c>
      <c r="AW20" s="4"/>
      <c r="AX20" s="4">
        <v>12.6</v>
      </c>
      <c r="AY20" s="4">
        <v>46.6</v>
      </c>
      <c r="AZ20" s="4">
        <v>5040.0</v>
      </c>
      <c r="BA20" s="4">
        <v>1890.0</v>
      </c>
      <c r="BB20" s="4"/>
      <c r="BC20" s="4"/>
      <c r="BD20" s="4"/>
      <c r="BE20" s="4">
        <v>277000.0</v>
      </c>
      <c r="BF20" s="4">
        <f t="shared" ref="BF20:BI20" si="96">0.5*10</f>
        <v>5</v>
      </c>
      <c r="BG20" s="4">
        <f t="shared" si="96"/>
        <v>5</v>
      </c>
      <c r="BH20" s="4">
        <f t="shared" si="96"/>
        <v>5</v>
      </c>
      <c r="BI20" s="4">
        <f t="shared" si="96"/>
        <v>5</v>
      </c>
      <c r="BJ20" s="4">
        <f t="shared" ref="BJ20:BJ45" si="100">0.5*5</f>
        <v>2.5</v>
      </c>
      <c r="BK20" s="4">
        <f t="shared" ref="BK20:BK23" si="101">0.5*10</f>
        <v>5</v>
      </c>
      <c r="BL20" s="4">
        <f t="shared" ref="BL20:BL33" si="102">0.5*5</f>
        <v>2.5</v>
      </c>
      <c r="BM20" s="4">
        <f t="shared" ref="BM20:BM39" si="103">0.5*10</f>
        <v>5</v>
      </c>
      <c r="BN20" s="4"/>
      <c r="BO20" s="4">
        <f t="shared" ref="BO20:BO34" si="104">0.5*10</f>
        <v>5</v>
      </c>
      <c r="BP20" s="4">
        <f t="shared" ref="BP20:BP44" si="105">0.5*5</f>
        <v>2.5</v>
      </c>
      <c r="BQ20" s="4">
        <f t="shared" ref="BQ20:BS20" si="97">0.5*10</f>
        <v>5</v>
      </c>
      <c r="BR20" s="4">
        <f t="shared" si="97"/>
        <v>5</v>
      </c>
      <c r="BS20" s="4">
        <f t="shared" si="97"/>
        <v>5</v>
      </c>
      <c r="BT20" s="4">
        <v>166.0</v>
      </c>
      <c r="BU20" s="4">
        <v>1077.0</v>
      </c>
      <c r="BV20" s="4">
        <f t="shared" ref="BV20:BV57" si="107">0.5*10</f>
        <v>5</v>
      </c>
      <c r="BW20" s="4">
        <v>28.0</v>
      </c>
      <c r="BX20" s="4">
        <v>330.0</v>
      </c>
      <c r="BY20" s="4">
        <v>17.0</v>
      </c>
      <c r="BZ20" s="4">
        <v>14.0</v>
      </c>
      <c r="CA20" s="4">
        <v>91.0</v>
      </c>
      <c r="CB20" s="4">
        <f t="shared" ref="CB20:CB21" si="108">0.5*10</f>
        <v>5</v>
      </c>
      <c r="CC20" s="4">
        <f t="shared" ref="CC20:CC39" si="109">0.5*5</f>
        <v>2.5</v>
      </c>
      <c r="CD20" s="4">
        <v>19.0</v>
      </c>
      <c r="CE20" s="4">
        <f t="shared" ref="CE20:CF20" si="98">0.5*10</f>
        <v>5</v>
      </c>
      <c r="CF20" s="4">
        <f t="shared" si="98"/>
        <v>5</v>
      </c>
      <c r="CG20" s="4">
        <v>28456.0</v>
      </c>
      <c r="CH20" s="4">
        <v>1130.0</v>
      </c>
      <c r="CI20" s="4">
        <f t="shared" ref="CI20:CI57" si="111">0.5*10</f>
        <v>5</v>
      </c>
      <c r="CJ20" s="4"/>
      <c r="CK20" s="4"/>
      <c r="CL20" s="4">
        <f t="shared" ref="CL20:CL28" si="112">0.5*0.001</f>
        <v>0.0005</v>
      </c>
      <c r="CM20" s="4">
        <f t="shared" ref="CM20:CM23" si="113">0.5*0.01</f>
        <v>0.005</v>
      </c>
      <c r="CN20" s="4">
        <f t="shared" ref="CN20:CN28" si="114">0.5*0.5</f>
        <v>0.25</v>
      </c>
      <c r="CO20" s="4"/>
      <c r="CP20" s="4"/>
      <c r="CQ20" s="4">
        <v>116.96</v>
      </c>
      <c r="CR20" s="4"/>
      <c r="CS20" s="4">
        <v>624.26</v>
      </c>
      <c r="CT20" s="4"/>
      <c r="CU20" s="4">
        <v>164.9</v>
      </c>
      <c r="CV20" s="4">
        <v>329.8</v>
      </c>
      <c r="CW20" s="4">
        <v>333215.55</v>
      </c>
      <c r="CX20" s="4">
        <v>3886.93</v>
      </c>
      <c r="CY20" s="4">
        <v>200.24</v>
      </c>
      <c r="CZ20" s="4"/>
    </row>
    <row r="21">
      <c r="A21" s="4" t="s">
        <v>234</v>
      </c>
      <c r="B21" s="4" t="s">
        <v>235</v>
      </c>
      <c r="C21" s="5" t="s">
        <v>236</v>
      </c>
      <c r="D21" s="5" t="s">
        <v>210</v>
      </c>
      <c r="E21" s="4" t="s">
        <v>211</v>
      </c>
      <c r="F21" s="4" t="s">
        <v>109</v>
      </c>
      <c r="G21" s="4" t="s">
        <v>110</v>
      </c>
      <c r="H21" s="4" t="s">
        <v>111</v>
      </c>
      <c r="J21" s="4" t="s">
        <v>237</v>
      </c>
      <c r="K21" s="4" t="s">
        <v>238</v>
      </c>
      <c r="L21" s="4">
        <v>-22.8602</v>
      </c>
      <c r="M21" s="4">
        <v>-62.0191</v>
      </c>
      <c r="N21" s="4"/>
      <c r="O21" s="4"/>
      <c r="P21" s="4">
        <v>567.0</v>
      </c>
      <c r="Q21" s="4">
        <v>215.0</v>
      </c>
      <c r="R21" s="4">
        <v>8.23</v>
      </c>
      <c r="S21" s="4">
        <v>-78.0</v>
      </c>
      <c r="T21" s="4">
        <v>1762.0</v>
      </c>
      <c r="U21" s="4">
        <v>0.9</v>
      </c>
      <c r="V21" s="4">
        <v>22.5</v>
      </c>
      <c r="W21" s="4">
        <v>9.02</v>
      </c>
      <c r="X21" s="4">
        <v>106.0</v>
      </c>
      <c r="Y21" s="4">
        <v>555.0</v>
      </c>
      <c r="Z21" s="4">
        <v>1628.0</v>
      </c>
      <c r="AA21" s="4">
        <v>1078.0</v>
      </c>
      <c r="AB21" s="4">
        <v>550.0</v>
      </c>
      <c r="AC21" s="4">
        <v>15.0</v>
      </c>
      <c r="AD21" s="4">
        <v>480.0</v>
      </c>
      <c r="AE21" s="4">
        <v>6.04</v>
      </c>
      <c r="AF21" s="4">
        <v>131.81</v>
      </c>
      <c r="AG21" s="4">
        <v>238.0</v>
      </c>
      <c r="AH21" s="4">
        <v>276.63</v>
      </c>
      <c r="AI21" s="4">
        <v>112.0</v>
      </c>
      <c r="AJ21" s="4">
        <v>38.91</v>
      </c>
      <c r="AK21" s="4">
        <v>153.1</v>
      </c>
      <c r="AL21" s="4">
        <v>5.4</v>
      </c>
      <c r="AM21" s="4">
        <v>120.0</v>
      </c>
      <c r="AN21" s="4">
        <v>43.78</v>
      </c>
      <c r="AO21" s="4">
        <v>166.03</v>
      </c>
      <c r="AP21" s="4">
        <v>6.61</v>
      </c>
      <c r="AQ21" s="4">
        <v>0.47</v>
      </c>
      <c r="AR21" s="4">
        <v>0.129</v>
      </c>
      <c r="AS21" s="4">
        <v>0.404</v>
      </c>
      <c r="AT21" s="4">
        <v>0.007</v>
      </c>
      <c r="AU21" s="4">
        <v>0.367</v>
      </c>
      <c r="AV21" s="4">
        <v>0.088</v>
      </c>
      <c r="AW21" s="4"/>
      <c r="AX21" s="4">
        <v>5.4</v>
      </c>
      <c r="AY21" s="4">
        <v>34.05</v>
      </c>
      <c r="AZ21" s="4">
        <v>24320.0</v>
      </c>
      <c r="BA21" s="4">
        <v>6080.0</v>
      </c>
      <c r="BB21" s="4"/>
      <c r="BC21" s="4"/>
      <c r="BD21" s="4"/>
      <c r="BE21" s="4">
        <v>1472000.0</v>
      </c>
      <c r="BF21" s="4">
        <f t="shared" ref="BF21:BI21" si="99">0.5*10</f>
        <v>5</v>
      </c>
      <c r="BG21" s="4">
        <f t="shared" si="99"/>
        <v>5</v>
      </c>
      <c r="BH21" s="4">
        <f t="shared" si="99"/>
        <v>5</v>
      </c>
      <c r="BI21" s="4">
        <f t="shared" si="99"/>
        <v>5</v>
      </c>
      <c r="BJ21" s="4">
        <f t="shared" si="100"/>
        <v>2.5</v>
      </c>
      <c r="BK21" s="4">
        <f t="shared" si="101"/>
        <v>5</v>
      </c>
      <c r="BL21" s="4">
        <f t="shared" si="102"/>
        <v>2.5</v>
      </c>
      <c r="BM21" s="4">
        <f t="shared" si="103"/>
        <v>5</v>
      </c>
      <c r="BN21" s="4"/>
      <c r="BO21" s="4">
        <f t="shared" si="104"/>
        <v>5</v>
      </c>
      <c r="BP21" s="4">
        <f t="shared" si="105"/>
        <v>2.5</v>
      </c>
      <c r="BQ21" s="4">
        <f t="shared" ref="BQ21:BS21" si="106">0.5*10</f>
        <v>5</v>
      </c>
      <c r="BR21" s="4">
        <f t="shared" si="106"/>
        <v>5</v>
      </c>
      <c r="BS21" s="4">
        <f t="shared" si="106"/>
        <v>5</v>
      </c>
      <c r="BT21" s="4">
        <v>37.0</v>
      </c>
      <c r="BU21" s="4">
        <v>1020.0</v>
      </c>
      <c r="BV21" s="4">
        <f t="shared" si="107"/>
        <v>5</v>
      </c>
      <c r="BW21" s="4">
        <f>0.5*5</f>
        <v>2.5</v>
      </c>
      <c r="BX21" s="4">
        <v>239.0</v>
      </c>
      <c r="BY21" s="4">
        <v>8.0</v>
      </c>
      <c r="BZ21" s="4">
        <f t="shared" ref="BZ21:BZ26" si="117">0.5*10</f>
        <v>5</v>
      </c>
      <c r="CA21" s="4">
        <v>180.0</v>
      </c>
      <c r="CB21" s="4">
        <f t="shared" si="108"/>
        <v>5</v>
      </c>
      <c r="CC21" s="4">
        <f t="shared" si="109"/>
        <v>2.5</v>
      </c>
      <c r="CD21" s="4">
        <f t="shared" ref="CD21:CF21" si="110">0.5*10</f>
        <v>5</v>
      </c>
      <c r="CE21" s="4">
        <f t="shared" si="110"/>
        <v>5</v>
      </c>
      <c r="CF21" s="4">
        <f t="shared" si="110"/>
        <v>5</v>
      </c>
      <c r="CG21" s="4">
        <v>9889.0</v>
      </c>
      <c r="CH21" s="4">
        <v>1614.0</v>
      </c>
      <c r="CI21" s="4">
        <f t="shared" si="111"/>
        <v>5</v>
      </c>
      <c r="CJ21" s="4"/>
      <c r="CK21" s="4"/>
      <c r="CL21" s="4">
        <f t="shared" si="112"/>
        <v>0.0005</v>
      </c>
      <c r="CM21" s="4">
        <f t="shared" si="113"/>
        <v>0.005</v>
      </c>
      <c r="CN21" s="4">
        <f t="shared" si="114"/>
        <v>0.25</v>
      </c>
      <c r="CO21" s="4"/>
      <c r="CP21" s="4"/>
      <c r="CQ21" s="4"/>
      <c r="CR21" s="4"/>
      <c r="CS21" s="4">
        <v>1080.0</v>
      </c>
      <c r="CT21" s="4"/>
      <c r="CU21" s="4"/>
      <c r="CV21" s="4"/>
      <c r="CW21" s="4">
        <v>17912.73</v>
      </c>
      <c r="CX21" s="4">
        <v>434.55</v>
      </c>
      <c r="CY21" s="4">
        <v>14.55</v>
      </c>
      <c r="CZ21" s="4"/>
    </row>
    <row r="22">
      <c r="A22" s="4" t="s">
        <v>239</v>
      </c>
      <c r="B22" s="4" t="s">
        <v>240</v>
      </c>
      <c r="C22" s="5" t="s">
        <v>236</v>
      </c>
      <c r="D22" s="5" t="s">
        <v>197</v>
      </c>
      <c r="E22" s="4" t="s">
        <v>211</v>
      </c>
      <c r="F22" s="4" t="s">
        <v>109</v>
      </c>
      <c r="G22" s="4" t="s">
        <v>110</v>
      </c>
      <c r="H22" s="4" t="s">
        <v>241</v>
      </c>
      <c r="J22" s="4" t="s">
        <v>242</v>
      </c>
      <c r="K22" s="4" t="s">
        <v>243</v>
      </c>
      <c r="L22" s="4">
        <v>-22.7123</v>
      </c>
      <c r="M22" s="4">
        <v>-62.1555</v>
      </c>
      <c r="N22" s="4"/>
      <c r="O22" s="4"/>
      <c r="P22" s="4">
        <v>576.0</v>
      </c>
      <c r="Q22" s="4">
        <v>197.6</v>
      </c>
      <c r="R22" s="4">
        <v>8.23</v>
      </c>
      <c r="S22" s="4">
        <v>-77.0</v>
      </c>
      <c r="T22" s="4">
        <v>1738.0</v>
      </c>
      <c r="U22" s="4">
        <v>0.9</v>
      </c>
      <c r="V22" s="4">
        <v>18.6</v>
      </c>
      <c r="W22" s="4">
        <v>8.9</v>
      </c>
      <c r="X22" s="4">
        <v>96.8</v>
      </c>
      <c r="Y22" s="4">
        <v>365.0</v>
      </c>
      <c r="Z22" s="4">
        <v>1278.2</v>
      </c>
      <c r="AA22" s="4">
        <v>1054.0</v>
      </c>
      <c r="AB22" s="4">
        <v>224.2</v>
      </c>
      <c r="AC22" s="4">
        <v>15.0</v>
      </c>
      <c r="AD22" s="4">
        <v>540.0</v>
      </c>
      <c r="AE22" s="4">
        <v>7.04</v>
      </c>
      <c r="AF22" s="4">
        <v>137.82</v>
      </c>
      <c r="AG22" s="4">
        <v>261.04</v>
      </c>
      <c r="AH22" s="4">
        <v>347.67</v>
      </c>
      <c r="AI22" s="4">
        <v>136.0</v>
      </c>
      <c r="AJ22" s="4">
        <v>26.75</v>
      </c>
      <c r="AK22" s="4">
        <v>179.71</v>
      </c>
      <c r="AL22" s="4">
        <v>5.82</v>
      </c>
      <c r="AM22" s="4">
        <v>148.0</v>
      </c>
      <c r="AN22" s="4">
        <v>41.34</v>
      </c>
      <c r="AO22" s="4">
        <v>184.18</v>
      </c>
      <c r="AP22" s="4">
        <v>9.06</v>
      </c>
      <c r="AQ22" s="4">
        <v>0.32</v>
      </c>
      <c r="AR22" s="4">
        <v>0.087</v>
      </c>
      <c r="AS22" s="4">
        <v>0.42</v>
      </c>
      <c r="AT22" s="4">
        <v>0.006</v>
      </c>
      <c r="AU22" s="4">
        <v>0.173</v>
      </c>
      <c r="AV22" s="4">
        <v>0.092</v>
      </c>
      <c r="AW22" s="4"/>
      <c r="AX22" s="4">
        <v>4.6</v>
      </c>
      <c r="AY22" s="4">
        <v>32.26</v>
      </c>
      <c r="AZ22" s="4">
        <v>13500.0</v>
      </c>
      <c r="BA22" s="4">
        <v>4910.0</v>
      </c>
      <c r="BB22" s="4"/>
      <c r="BC22" s="4"/>
      <c r="BD22" s="4"/>
      <c r="BE22" s="4">
        <v>1228000.0</v>
      </c>
      <c r="BF22" s="4">
        <f t="shared" ref="BF22:BI22" si="115">0.5*10</f>
        <v>5</v>
      </c>
      <c r="BG22" s="4">
        <f t="shared" si="115"/>
        <v>5</v>
      </c>
      <c r="BH22" s="4">
        <f t="shared" si="115"/>
        <v>5</v>
      </c>
      <c r="BI22" s="4">
        <f t="shared" si="115"/>
        <v>5</v>
      </c>
      <c r="BJ22" s="4">
        <f t="shared" si="100"/>
        <v>2.5</v>
      </c>
      <c r="BK22" s="4">
        <f t="shared" si="101"/>
        <v>5</v>
      </c>
      <c r="BL22" s="4">
        <f t="shared" si="102"/>
        <v>2.5</v>
      </c>
      <c r="BM22" s="4">
        <f t="shared" si="103"/>
        <v>5</v>
      </c>
      <c r="BN22" s="4"/>
      <c r="BO22" s="4">
        <f t="shared" si="104"/>
        <v>5</v>
      </c>
      <c r="BP22" s="4">
        <f t="shared" si="105"/>
        <v>2.5</v>
      </c>
      <c r="BQ22" s="4">
        <f t="shared" ref="BQ22:BS22" si="116">0.5*10</f>
        <v>5</v>
      </c>
      <c r="BR22" s="4">
        <f t="shared" si="116"/>
        <v>5</v>
      </c>
      <c r="BS22" s="4">
        <f t="shared" si="116"/>
        <v>5</v>
      </c>
      <c r="BT22" s="4">
        <v>53.0</v>
      </c>
      <c r="BU22" s="4">
        <v>1012.0</v>
      </c>
      <c r="BV22" s="4">
        <f t="shared" si="107"/>
        <v>5</v>
      </c>
      <c r="BW22" s="4">
        <v>22.0</v>
      </c>
      <c r="BX22" s="4">
        <v>234.0</v>
      </c>
      <c r="BY22" s="4">
        <v>12.0</v>
      </c>
      <c r="BZ22" s="4">
        <f t="shared" si="117"/>
        <v>5</v>
      </c>
      <c r="CA22" s="4">
        <v>151.0</v>
      </c>
      <c r="CB22" s="4">
        <v>10.0</v>
      </c>
      <c r="CC22" s="4">
        <f t="shared" si="109"/>
        <v>2.5</v>
      </c>
      <c r="CD22" s="4">
        <v>13.0</v>
      </c>
      <c r="CE22" s="4">
        <f t="shared" ref="CE22:CF22" si="118">0.5*10</f>
        <v>5</v>
      </c>
      <c r="CF22" s="4">
        <f t="shared" si="118"/>
        <v>5</v>
      </c>
      <c r="CG22" s="4">
        <v>18316.0</v>
      </c>
      <c r="CH22" s="4">
        <v>1061.0</v>
      </c>
      <c r="CI22" s="4">
        <f t="shared" si="111"/>
        <v>5</v>
      </c>
      <c r="CJ22" s="4"/>
      <c r="CK22" s="4"/>
      <c r="CL22" s="4">
        <f t="shared" si="112"/>
        <v>0.0005</v>
      </c>
      <c r="CM22" s="4">
        <f t="shared" si="113"/>
        <v>0.005</v>
      </c>
      <c r="CN22" s="4">
        <f t="shared" si="114"/>
        <v>0.25</v>
      </c>
      <c r="CO22" s="4"/>
      <c r="CP22" s="4"/>
      <c r="CQ22" s="4">
        <v>32.02</v>
      </c>
      <c r="CR22" s="4">
        <v>44.6</v>
      </c>
      <c r="CS22" s="4">
        <v>218.55</v>
      </c>
      <c r="CT22" s="4"/>
      <c r="CU22" s="4"/>
      <c r="CV22" s="4">
        <v>98.13</v>
      </c>
      <c r="CW22" s="4">
        <v>81458.52</v>
      </c>
      <c r="CX22" s="4">
        <v>1043.71</v>
      </c>
      <c r="CY22" s="4">
        <v>53.52</v>
      </c>
      <c r="CZ22" s="4"/>
    </row>
    <row r="23">
      <c r="A23" s="4" t="s">
        <v>244</v>
      </c>
      <c r="B23" s="4" t="s">
        <v>245</v>
      </c>
      <c r="C23" s="5" t="s">
        <v>236</v>
      </c>
      <c r="D23" s="5" t="s">
        <v>246</v>
      </c>
      <c r="E23" s="4" t="s">
        <v>211</v>
      </c>
      <c r="F23" s="4" t="s">
        <v>109</v>
      </c>
      <c r="G23" s="4" t="s">
        <v>110</v>
      </c>
      <c r="H23" s="4" t="s">
        <v>185</v>
      </c>
      <c r="I23" s="4" t="s">
        <v>186</v>
      </c>
      <c r="J23" s="4" t="s">
        <v>247</v>
      </c>
      <c r="K23" s="4" t="s">
        <v>248</v>
      </c>
      <c r="L23" s="4">
        <v>-22.6989</v>
      </c>
      <c r="M23" s="4">
        <v>-62.1956</v>
      </c>
      <c r="N23" s="4"/>
      <c r="O23" s="4"/>
      <c r="P23" s="4">
        <v>578.0</v>
      </c>
      <c r="Q23" s="4">
        <v>189.5</v>
      </c>
      <c r="R23" s="4">
        <v>8.33</v>
      </c>
      <c r="S23" s="4">
        <v>-84.0</v>
      </c>
      <c r="T23" s="4">
        <v>1734.0</v>
      </c>
      <c r="U23" s="4">
        <v>0.8</v>
      </c>
      <c r="V23" s="4">
        <v>17.9</v>
      </c>
      <c r="W23" s="4">
        <v>8.63</v>
      </c>
      <c r="X23" s="4">
        <v>92.6</v>
      </c>
      <c r="Y23" s="4">
        <v>337.0</v>
      </c>
      <c r="Z23" s="4">
        <v>1480.9</v>
      </c>
      <c r="AA23" s="4">
        <v>1110.0</v>
      </c>
      <c r="AB23" s="4">
        <v>370.9</v>
      </c>
      <c r="AC23" s="4">
        <v>10.0</v>
      </c>
      <c r="AD23" s="4">
        <v>460.0</v>
      </c>
      <c r="AE23" s="4">
        <v>6.04</v>
      </c>
      <c r="AF23" s="4">
        <v>138.83</v>
      </c>
      <c r="AG23" s="4">
        <v>264.87</v>
      </c>
      <c r="AH23" s="4">
        <v>353.0</v>
      </c>
      <c r="AI23" s="4">
        <v>112.0</v>
      </c>
      <c r="AJ23" s="4">
        <v>41.34</v>
      </c>
      <c r="AK23" s="4">
        <v>170.0</v>
      </c>
      <c r="AL23" s="4">
        <v>4.66</v>
      </c>
      <c r="AM23" s="4">
        <v>116.0</v>
      </c>
      <c r="AN23" s="4">
        <v>41.34</v>
      </c>
      <c r="AO23" s="4">
        <v>183.22</v>
      </c>
      <c r="AP23" s="4">
        <v>5.88</v>
      </c>
      <c r="AQ23" s="4">
        <v>0.47</v>
      </c>
      <c r="AR23" s="4">
        <v>0.135</v>
      </c>
      <c r="AS23" s="4">
        <v>0.358</v>
      </c>
      <c r="AT23" s="4">
        <v>0.01</v>
      </c>
      <c r="AU23" s="4">
        <v>0.142</v>
      </c>
      <c r="AV23" s="4">
        <v>0.221</v>
      </c>
      <c r="AW23" s="4"/>
      <c r="AX23" s="4">
        <v>3.1</v>
      </c>
      <c r="AY23" s="4">
        <v>41.22</v>
      </c>
      <c r="AZ23" s="4">
        <v>126000.0</v>
      </c>
      <c r="BA23" s="4">
        <v>1580.0</v>
      </c>
      <c r="BB23" s="4"/>
      <c r="BC23" s="4"/>
      <c r="BD23" s="4"/>
      <c r="BE23" s="4">
        <v>1024000.0</v>
      </c>
      <c r="BF23" s="4">
        <f t="shared" ref="BF23:BI23" si="119">0.5*10</f>
        <v>5</v>
      </c>
      <c r="BG23" s="4">
        <f t="shared" si="119"/>
        <v>5</v>
      </c>
      <c r="BH23" s="4">
        <f t="shared" si="119"/>
        <v>5</v>
      </c>
      <c r="BI23" s="4">
        <f t="shared" si="119"/>
        <v>5</v>
      </c>
      <c r="BJ23" s="4">
        <f t="shared" si="100"/>
        <v>2.5</v>
      </c>
      <c r="BK23" s="4">
        <f t="shared" si="101"/>
        <v>5</v>
      </c>
      <c r="BL23" s="4">
        <f t="shared" si="102"/>
        <v>2.5</v>
      </c>
      <c r="BM23" s="4">
        <f t="shared" si="103"/>
        <v>5</v>
      </c>
      <c r="BN23" s="4"/>
      <c r="BO23" s="4">
        <f t="shared" si="104"/>
        <v>5</v>
      </c>
      <c r="BP23" s="4">
        <f t="shared" si="105"/>
        <v>2.5</v>
      </c>
      <c r="BQ23" s="4">
        <f t="shared" ref="BQ23:BS23" si="120">0.5*10</f>
        <v>5</v>
      </c>
      <c r="BR23" s="4">
        <f t="shared" si="120"/>
        <v>5</v>
      </c>
      <c r="BS23" s="4">
        <f t="shared" si="120"/>
        <v>5</v>
      </c>
      <c r="BT23" s="4">
        <v>53.0</v>
      </c>
      <c r="BU23" s="4">
        <v>1103.0</v>
      </c>
      <c r="BV23" s="4">
        <f t="shared" si="107"/>
        <v>5</v>
      </c>
      <c r="BW23" s="4">
        <v>15.0</v>
      </c>
      <c r="BX23" s="4">
        <v>185.0</v>
      </c>
      <c r="BY23" s="4">
        <v>9.0</v>
      </c>
      <c r="BZ23" s="4">
        <f t="shared" si="117"/>
        <v>5</v>
      </c>
      <c r="CA23" s="4">
        <v>191.0</v>
      </c>
      <c r="CB23" s="4">
        <f t="shared" ref="CB23:CB28" si="124">0.5*10</f>
        <v>5</v>
      </c>
      <c r="CC23" s="4">
        <f t="shared" si="109"/>
        <v>2.5</v>
      </c>
      <c r="CD23" s="4">
        <v>24.0</v>
      </c>
      <c r="CE23" s="4">
        <f t="shared" ref="CE23:CF23" si="121">0.5*10</f>
        <v>5</v>
      </c>
      <c r="CF23" s="4">
        <f t="shared" si="121"/>
        <v>5</v>
      </c>
      <c r="CG23" s="4">
        <v>12459.0</v>
      </c>
      <c r="CH23" s="4">
        <v>1473.0</v>
      </c>
      <c r="CI23" s="4">
        <f t="shared" si="111"/>
        <v>5</v>
      </c>
      <c r="CJ23" s="4"/>
      <c r="CK23" s="4"/>
      <c r="CL23" s="4">
        <f t="shared" si="112"/>
        <v>0.0005</v>
      </c>
      <c r="CM23" s="4">
        <f t="shared" si="113"/>
        <v>0.005</v>
      </c>
      <c r="CN23" s="4">
        <f t="shared" si="114"/>
        <v>0.25</v>
      </c>
      <c r="CO23" s="4"/>
      <c r="CP23" s="4"/>
      <c r="CQ23" s="4">
        <v>52.14</v>
      </c>
      <c r="CR23" s="4"/>
      <c r="CS23" s="4">
        <v>997.57</v>
      </c>
      <c r="CT23" s="4"/>
      <c r="CU23" s="4"/>
      <c r="CV23" s="4">
        <v>40.44</v>
      </c>
      <c r="CW23" s="4">
        <v>33448.37</v>
      </c>
      <c r="CX23" s="4">
        <v>498.79</v>
      </c>
      <c r="CY23" s="4">
        <v>24.27</v>
      </c>
      <c r="CZ23" s="4"/>
    </row>
    <row r="24">
      <c r="A24" s="4" t="s">
        <v>249</v>
      </c>
      <c r="B24" s="4" t="s">
        <v>250</v>
      </c>
      <c r="C24" s="5" t="s">
        <v>251</v>
      </c>
      <c r="D24" s="5" t="s">
        <v>252</v>
      </c>
      <c r="E24" s="4" t="s">
        <v>211</v>
      </c>
      <c r="F24" s="4" t="s">
        <v>109</v>
      </c>
      <c r="G24" s="4" t="s">
        <v>110</v>
      </c>
      <c r="H24" s="4" t="s">
        <v>204</v>
      </c>
      <c r="J24" s="4" t="s">
        <v>253</v>
      </c>
      <c r="K24" s="4" t="s">
        <v>254</v>
      </c>
      <c r="L24" s="4">
        <v>-23.8932</v>
      </c>
      <c r="M24" s="4">
        <v>-58.4464</v>
      </c>
      <c r="N24" s="4"/>
      <c r="O24" s="4"/>
      <c r="P24" s="4">
        <v>565.0</v>
      </c>
      <c r="Q24" s="4">
        <v>156.1</v>
      </c>
      <c r="R24" s="4">
        <v>8.38</v>
      </c>
      <c r="S24" s="4">
        <v>-85.0</v>
      </c>
      <c r="T24" s="4">
        <v>1782.0</v>
      </c>
      <c r="U24" s="4">
        <v>0.9</v>
      </c>
      <c r="V24" s="4">
        <v>19.5</v>
      </c>
      <c r="W24" s="4">
        <v>7.15</v>
      </c>
      <c r="X24" s="4">
        <v>78.8</v>
      </c>
      <c r="Y24" s="4">
        <v>38.4</v>
      </c>
      <c r="Z24" s="4">
        <v>1095.7</v>
      </c>
      <c r="AA24" s="4">
        <v>1058.0</v>
      </c>
      <c r="AB24" s="4">
        <v>37.7</v>
      </c>
      <c r="AC24" s="4">
        <v>40.0</v>
      </c>
      <c r="AD24" s="4">
        <v>370.0</v>
      </c>
      <c r="AE24" s="4">
        <v>8.05</v>
      </c>
      <c r="AF24" s="4">
        <v>223.33</v>
      </c>
      <c r="AG24" s="4">
        <v>307.1</v>
      </c>
      <c r="AH24" s="4">
        <v>219.93</v>
      </c>
      <c r="AI24" s="4">
        <v>96.0</v>
      </c>
      <c r="AJ24" s="4">
        <v>29.18</v>
      </c>
      <c r="AK24" s="4">
        <v>228.27</v>
      </c>
      <c r="AL24" s="4">
        <v>5.75</v>
      </c>
      <c r="AM24" s="4">
        <v>100.0</v>
      </c>
      <c r="AN24" s="4">
        <v>29.18</v>
      </c>
      <c r="AO24" s="4">
        <v>231.28</v>
      </c>
      <c r="AP24" s="4">
        <v>5.76</v>
      </c>
      <c r="AQ24" s="4">
        <v>2.14</v>
      </c>
      <c r="AR24" s="4">
        <v>0.626</v>
      </c>
      <c r="AS24" s="4">
        <v>0.031</v>
      </c>
      <c r="AT24" s="4">
        <v>0.004</v>
      </c>
      <c r="AU24" s="4">
        <v>0.12</v>
      </c>
      <c r="AV24" s="4">
        <v>2.34</v>
      </c>
      <c r="AW24" s="4"/>
      <c r="AX24" s="4">
        <v>5.2</v>
      </c>
      <c r="AY24" s="4">
        <v>46.6</v>
      </c>
      <c r="AZ24" s="4">
        <v>24640.0</v>
      </c>
      <c r="BA24" s="4">
        <v>9860.0</v>
      </c>
      <c r="BB24" s="4"/>
      <c r="BC24" s="4"/>
      <c r="BD24" s="4"/>
      <c r="BE24" s="4">
        <v>6098000.0</v>
      </c>
      <c r="BF24" s="4">
        <f t="shared" ref="BF24:BI24" si="122">0.5*10</f>
        <v>5</v>
      </c>
      <c r="BG24" s="4">
        <f t="shared" si="122"/>
        <v>5</v>
      </c>
      <c r="BH24" s="4">
        <f t="shared" si="122"/>
        <v>5</v>
      </c>
      <c r="BI24" s="4">
        <f t="shared" si="122"/>
        <v>5</v>
      </c>
      <c r="BJ24" s="4">
        <f t="shared" si="100"/>
        <v>2.5</v>
      </c>
      <c r="BK24" s="4">
        <v>12.0</v>
      </c>
      <c r="BL24" s="4">
        <f t="shared" si="102"/>
        <v>2.5</v>
      </c>
      <c r="BM24" s="4">
        <f t="shared" si="103"/>
        <v>5</v>
      </c>
      <c r="BN24" s="4"/>
      <c r="BO24" s="4">
        <f t="shared" si="104"/>
        <v>5</v>
      </c>
      <c r="BP24" s="4">
        <f t="shared" si="105"/>
        <v>2.5</v>
      </c>
      <c r="BQ24" s="4">
        <f t="shared" ref="BQ24:BS24" si="123">0.5*10</f>
        <v>5</v>
      </c>
      <c r="BR24" s="4">
        <f t="shared" si="123"/>
        <v>5</v>
      </c>
      <c r="BS24" s="4">
        <f t="shared" si="123"/>
        <v>5</v>
      </c>
      <c r="BT24" s="4">
        <v>89.0</v>
      </c>
      <c r="BU24" s="4">
        <v>704.0</v>
      </c>
      <c r="BV24" s="4">
        <f t="shared" si="107"/>
        <v>5</v>
      </c>
      <c r="BW24" s="4">
        <f t="shared" ref="BW24:BW28" si="128">0.5*5</f>
        <v>2.5</v>
      </c>
      <c r="BX24" s="4">
        <v>135.0</v>
      </c>
      <c r="BY24" s="4">
        <f t="shared" ref="BY24:BY28" si="129">0.5*5</f>
        <v>2.5</v>
      </c>
      <c r="BZ24" s="4">
        <f t="shared" si="117"/>
        <v>5</v>
      </c>
      <c r="CA24" s="4">
        <v>70.0</v>
      </c>
      <c r="CB24" s="4">
        <f t="shared" si="124"/>
        <v>5</v>
      </c>
      <c r="CC24" s="4">
        <f t="shared" si="109"/>
        <v>2.5</v>
      </c>
      <c r="CD24" s="4">
        <f t="shared" ref="CD24:CF24" si="125">0.5*10</f>
        <v>5</v>
      </c>
      <c r="CE24" s="4">
        <f t="shared" si="125"/>
        <v>5</v>
      </c>
      <c r="CF24" s="4">
        <f t="shared" si="125"/>
        <v>5</v>
      </c>
      <c r="CG24" s="4">
        <v>1495.0</v>
      </c>
      <c r="CH24" s="4">
        <v>739.0</v>
      </c>
      <c r="CI24" s="4">
        <f t="shared" si="111"/>
        <v>5</v>
      </c>
      <c r="CJ24" s="4"/>
      <c r="CK24" s="4"/>
      <c r="CL24" s="4">
        <f t="shared" si="112"/>
        <v>0.0005</v>
      </c>
      <c r="CM24" s="4">
        <v>0.019</v>
      </c>
      <c r="CN24" s="4">
        <f t="shared" si="114"/>
        <v>0.25</v>
      </c>
      <c r="CO24" s="4"/>
      <c r="CP24" s="4"/>
      <c r="CQ24" s="4"/>
      <c r="CR24" s="4"/>
      <c r="CS24" s="4">
        <v>928.38</v>
      </c>
      <c r="CT24" s="4"/>
      <c r="CU24" s="4"/>
      <c r="CV24" s="4"/>
      <c r="CW24" s="4">
        <v>37294.43</v>
      </c>
      <c r="CX24" s="4">
        <v>3262.6</v>
      </c>
      <c r="CY24" s="4"/>
      <c r="CZ24" s="4"/>
    </row>
    <row r="25">
      <c r="A25" s="4" t="s">
        <v>255</v>
      </c>
      <c r="B25" s="4" t="s">
        <v>256</v>
      </c>
      <c r="C25" s="5" t="s">
        <v>251</v>
      </c>
      <c r="D25" s="5" t="s">
        <v>257</v>
      </c>
      <c r="E25" s="4" t="s">
        <v>211</v>
      </c>
      <c r="F25" s="4" t="s">
        <v>109</v>
      </c>
      <c r="G25" s="4" t="s">
        <v>110</v>
      </c>
      <c r="H25" s="4" t="s">
        <v>218</v>
      </c>
      <c r="J25" s="4" t="s">
        <v>258</v>
      </c>
      <c r="K25" s="4" t="s">
        <v>259</v>
      </c>
      <c r="L25" s="4">
        <v>-25.1072</v>
      </c>
      <c r="M25" s="4">
        <v>-57.5466</v>
      </c>
      <c r="N25" s="4"/>
      <c r="O25" s="4"/>
      <c r="P25" s="4">
        <v>143.3</v>
      </c>
      <c r="Q25" s="4">
        <v>78.3</v>
      </c>
      <c r="R25" s="4">
        <v>6.97</v>
      </c>
      <c r="S25" s="4">
        <v>3.5</v>
      </c>
      <c r="T25" s="4">
        <v>7030.0</v>
      </c>
      <c r="U25" s="4">
        <v>3.9</v>
      </c>
      <c r="V25" s="4">
        <v>19.5</v>
      </c>
      <c r="W25" s="4">
        <v>3.5</v>
      </c>
      <c r="X25" s="4">
        <v>38.9</v>
      </c>
      <c r="Y25" s="4">
        <v>2.91</v>
      </c>
      <c r="Z25" s="4">
        <v>4275.5</v>
      </c>
      <c r="AA25" s="4">
        <v>4270.0</v>
      </c>
      <c r="AB25" s="4">
        <v>5.5</v>
      </c>
      <c r="AC25" s="4">
        <v>50.0</v>
      </c>
      <c r="AD25" s="4">
        <v>1100.0</v>
      </c>
      <c r="AE25" s="4">
        <v>0.0</v>
      </c>
      <c r="AF25" s="4">
        <v>75.95</v>
      </c>
      <c r="AG25" s="4">
        <v>1909.8</v>
      </c>
      <c r="AH25" s="4">
        <v>397.11</v>
      </c>
      <c r="AI25" s="4">
        <v>240.0</v>
      </c>
      <c r="AJ25" s="4">
        <v>92.42</v>
      </c>
      <c r="AK25" s="4">
        <v>1032.9</v>
      </c>
      <c r="AL25" s="4">
        <v>19.68</v>
      </c>
      <c r="AM25" s="4">
        <v>248.0</v>
      </c>
      <c r="AN25" s="4">
        <v>116.73</v>
      </c>
      <c r="AO25" s="4">
        <v>1077.04</v>
      </c>
      <c r="AP25" s="4">
        <v>20.07</v>
      </c>
      <c r="AQ25" s="4">
        <v>0.153</v>
      </c>
      <c r="AR25" s="4">
        <v>0.037</v>
      </c>
      <c r="AS25" s="4">
        <v>0.044</v>
      </c>
      <c r="AT25" s="4">
        <v>0.009</v>
      </c>
      <c r="AU25" s="4">
        <v>0.38</v>
      </c>
      <c r="AV25" s="4">
        <v>2.51</v>
      </c>
      <c r="AW25" s="4"/>
      <c r="AX25" s="4">
        <v>1.1</v>
      </c>
      <c r="AY25" s="4">
        <v>78.85</v>
      </c>
      <c r="AZ25" s="4">
        <v>3263040.0</v>
      </c>
      <c r="BA25" s="4">
        <v>305910.0</v>
      </c>
      <c r="BB25" s="4"/>
      <c r="BC25" s="4"/>
      <c r="BD25" s="4"/>
      <c r="BE25" s="6">
        <v>1.6995E7</v>
      </c>
      <c r="BF25" s="4">
        <f t="shared" ref="BF25:BI25" si="126">0.5*10</f>
        <v>5</v>
      </c>
      <c r="BG25" s="4">
        <f t="shared" si="126"/>
        <v>5</v>
      </c>
      <c r="BH25" s="4">
        <f t="shared" si="126"/>
        <v>5</v>
      </c>
      <c r="BI25" s="4">
        <f t="shared" si="126"/>
        <v>5</v>
      </c>
      <c r="BJ25" s="4">
        <f t="shared" si="100"/>
        <v>2.5</v>
      </c>
      <c r="BK25" s="4">
        <v>184.0</v>
      </c>
      <c r="BL25" s="4">
        <f t="shared" si="102"/>
        <v>2.5</v>
      </c>
      <c r="BM25" s="4">
        <f t="shared" si="103"/>
        <v>5</v>
      </c>
      <c r="BN25" s="4"/>
      <c r="BO25" s="4">
        <f t="shared" si="104"/>
        <v>5</v>
      </c>
      <c r="BP25" s="4">
        <f t="shared" si="105"/>
        <v>2.5</v>
      </c>
      <c r="BQ25" s="4">
        <f t="shared" ref="BQ25:BS25" si="127">0.5*10</f>
        <v>5</v>
      </c>
      <c r="BR25" s="4">
        <f t="shared" si="127"/>
        <v>5</v>
      </c>
      <c r="BS25" s="4">
        <f t="shared" si="127"/>
        <v>5</v>
      </c>
      <c r="BT25" s="4">
        <v>286.0</v>
      </c>
      <c r="BU25" s="4">
        <v>129.0</v>
      </c>
      <c r="BV25" s="4">
        <f t="shared" si="107"/>
        <v>5</v>
      </c>
      <c r="BW25" s="4">
        <f t="shared" si="128"/>
        <v>2.5</v>
      </c>
      <c r="BX25" s="4">
        <v>195.0</v>
      </c>
      <c r="BY25" s="4">
        <f t="shared" si="129"/>
        <v>2.5</v>
      </c>
      <c r="BZ25" s="4">
        <f t="shared" si="117"/>
        <v>5</v>
      </c>
      <c r="CA25" s="4">
        <v>94.0</v>
      </c>
      <c r="CB25" s="4">
        <f t="shared" si="124"/>
        <v>5</v>
      </c>
      <c r="CC25" s="4">
        <f t="shared" si="109"/>
        <v>2.5</v>
      </c>
      <c r="CD25" s="4">
        <f t="shared" ref="CD25:CF25" si="130">0.5*10</f>
        <v>5</v>
      </c>
      <c r="CE25" s="4">
        <f t="shared" si="130"/>
        <v>5</v>
      </c>
      <c r="CF25" s="4">
        <f t="shared" si="130"/>
        <v>5</v>
      </c>
      <c r="CG25" s="4">
        <v>306.0</v>
      </c>
      <c r="CH25" s="4">
        <v>156.0</v>
      </c>
      <c r="CI25" s="4">
        <f t="shared" si="111"/>
        <v>5</v>
      </c>
      <c r="CJ25" s="4"/>
      <c r="CK25" s="4"/>
      <c r="CL25" s="4">
        <f t="shared" si="112"/>
        <v>0.0005</v>
      </c>
      <c r="CM25" s="4">
        <v>0.015</v>
      </c>
      <c r="CN25" s="4">
        <f t="shared" si="114"/>
        <v>0.25</v>
      </c>
      <c r="CO25" s="4"/>
      <c r="CP25" s="4"/>
      <c r="CQ25" s="4"/>
      <c r="CR25" s="4"/>
      <c r="CS25" s="4">
        <v>4909.09</v>
      </c>
      <c r="CT25" s="4"/>
      <c r="CU25" s="4"/>
      <c r="CV25" s="4"/>
      <c r="CW25" s="4">
        <v>3636.36</v>
      </c>
      <c r="CX25" s="4">
        <v>2000.0</v>
      </c>
      <c r="CY25" s="4"/>
      <c r="CZ25" s="4"/>
    </row>
    <row r="26">
      <c r="A26" s="4" t="s">
        <v>260</v>
      </c>
      <c r="B26" s="4" t="s">
        <v>261</v>
      </c>
      <c r="C26" s="5" t="s">
        <v>262</v>
      </c>
      <c r="D26" s="5" t="s">
        <v>263</v>
      </c>
      <c r="E26" s="4" t="s">
        <v>264</v>
      </c>
      <c r="F26" s="4" t="s">
        <v>109</v>
      </c>
      <c r="G26" s="4" t="s">
        <v>110</v>
      </c>
      <c r="H26" s="4" t="s">
        <v>204</v>
      </c>
      <c r="J26" s="4" t="s">
        <v>265</v>
      </c>
      <c r="K26" s="4" t="s">
        <v>266</v>
      </c>
      <c r="L26" s="4">
        <v>-25.7884</v>
      </c>
      <c r="M26" s="4">
        <v>-58.0215</v>
      </c>
      <c r="N26" s="4"/>
      <c r="O26" s="4"/>
      <c r="P26" s="4">
        <v>248.0</v>
      </c>
      <c r="Q26" s="4">
        <v>303.0</v>
      </c>
      <c r="R26" s="4">
        <v>8.4</v>
      </c>
      <c r="S26" s="4">
        <v>-89.0</v>
      </c>
      <c r="T26" s="4">
        <v>4020.0</v>
      </c>
      <c r="U26" s="4">
        <v>2.1</v>
      </c>
      <c r="V26" s="4">
        <v>21.3</v>
      </c>
      <c r="W26" s="4">
        <v>12.98</v>
      </c>
      <c r="X26" s="4">
        <v>147.7</v>
      </c>
      <c r="Y26" s="4">
        <v>10.3</v>
      </c>
      <c r="Z26" s="4">
        <v>2688.4</v>
      </c>
      <c r="AA26" s="4">
        <v>2678.0</v>
      </c>
      <c r="AB26" s="4">
        <v>10.4</v>
      </c>
      <c r="AC26" s="4">
        <v>10.0</v>
      </c>
      <c r="AD26" s="4">
        <v>577.1</v>
      </c>
      <c r="AE26" s="4">
        <v>20.12</v>
      </c>
      <c r="AF26" s="4">
        <v>239.43</v>
      </c>
      <c r="AG26" s="4">
        <v>1244.0</v>
      </c>
      <c r="AH26" s="4">
        <v>30.05</v>
      </c>
      <c r="AI26" s="4">
        <v>118.6</v>
      </c>
      <c r="AJ26" s="4">
        <v>67.2</v>
      </c>
      <c r="AK26" s="4">
        <v>668.37</v>
      </c>
      <c r="AL26" s="4">
        <v>7.79</v>
      </c>
      <c r="AM26" s="4">
        <v>118.6</v>
      </c>
      <c r="AN26" s="4">
        <v>68.4</v>
      </c>
      <c r="AO26" s="4">
        <v>680.06</v>
      </c>
      <c r="AP26" s="4">
        <v>8.39</v>
      </c>
      <c r="AQ26" s="4">
        <v>1.34</v>
      </c>
      <c r="AR26" s="4">
        <v>0.393</v>
      </c>
      <c r="AS26" s="4">
        <v>0.021</v>
      </c>
      <c r="AT26" s="4">
        <v>0.01</v>
      </c>
      <c r="AU26" s="4">
        <v>0.151</v>
      </c>
      <c r="AV26" s="4">
        <v>0.126</v>
      </c>
      <c r="AW26" s="4"/>
      <c r="AX26" s="4">
        <v>5.7</v>
      </c>
      <c r="AY26" s="4">
        <v>49.51</v>
      </c>
      <c r="AZ26" s="4">
        <v>13200.0</v>
      </c>
      <c r="BA26" s="4">
        <v>2000.0</v>
      </c>
      <c r="BB26" s="4"/>
      <c r="BC26" s="4"/>
      <c r="BD26" s="4"/>
      <c r="BE26" s="4">
        <v>275000.0</v>
      </c>
      <c r="BF26" s="4">
        <f t="shared" ref="BF26:BI26" si="131">0.5*10</f>
        <v>5</v>
      </c>
      <c r="BG26" s="4">
        <f t="shared" si="131"/>
        <v>5</v>
      </c>
      <c r="BH26" s="4">
        <f t="shared" si="131"/>
        <v>5</v>
      </c>
      <c r="BI26" s="4">
        <f t="shared" si="131"/>
        <v>5</v>
      </c>
      <c r="BJ26" s="4">
        <f t="shared" si="100"/>
        <v>2.5</v>
      </c>
      <c r="BK26" s="4">
        <v>101.0</v>
      </c>
      <c r="BL26" s="4">
        <f t="shared" si="102"/>
        <v>2.5</v>
      </c>
      <c r="BM26" s="4">
        <f t="shared" si="103"/>
        <v>5</v>
      </c>
      <c r="BN26" s="4"/>
      <c r="BO26" s="4">
        <f t="shared" si="104"/>
        <v>5</v>
      </c>
      <c r="BP26" s="4">
        <f t="shared" si="105"/>
        <v>2.5</v>
      </c>
      <c r="BQ26" s="4">
        <f t="shared" ref="BQ26:BS26" si="132">0.5*10</f>
        <v>5</v>
      </c>
      <c r="BR26" s="4">
        <f t="shared" si="132"/>
        <v>5</v>
      </c>
      <c r="BS26" s="4">
        <f t="shared" si="132"/>
        <v>5</v>
      </c>
      <c r="BT26" s="4">
        <v>114.0</v>
      </c>
      <c r="BU26" s="4">
        <v>1564.0</v>
      </c>
      <c r="BV26" s="4">
        <f t="shared" si="107"/>
        <v>5</v>
      </c>
      <c r="BW26" s="4">
        <f t="shared" si="128"/>
        <v>2.5</v>
      </c>
      <c r="BX26" s="4">
        <v>115.0</v>
      </c>
      <c r="BY26" s="4">
        <f t="shared" si="129"/>
        <v>2.5</v>
      </c>
      <c r="BZ26" s="4">
        <f t="shared" si="117"/>
        <v>5</v>
      </c>
      <c r="CA26" s="4">
        <v>90.0</v>
      </c>
      <c r="CB26" s="4">
        <f t="shared" si="124"/>
        <v>5</v>
      </c>
      <c r="CC26" s="4">
        <f t="shared" si="109"/>
        <v>2.5</v>
      </c>
      <c r="CD26" s="4">
        <f t="shared" ref="CD26:CF26" si="133">0.5*10</f>
        <v>5</v>
      </c>
      <c r="CE26" s="4">
        <f t="shared" si="133"/>
        <v>5</v>
      </c>
      <c r="CF26" s="4">
        <f t="shared" si="133"/>
        <v>5</v>
      </c>
      <c r="CG26" s="4">
        <v>481.0</v>
      </c>
      <c r="CH26" s="4">
        <v>1609.0</v>
      </c>
      <c r="CI26" s="4">
        <f t="shared" si="111"/>
        <v>5</v>
      </c>
      <c r="CJ26" s="4"/>
      <c r="CK26" s="4"/>
      <c r="CL26" s="4">
        <f t="shared" si="112"/>
        <v>0.0005</v>
      </c>
      <c r="CM26" s="4">
        <f t="shared" ref="CM26:CM28" si="137">0.5*0.001</f>
        <v>0.0005</v>
      </c>
      <c r="CN26" s="4">
        <f t="shared" si="114"/>
        <v>0.25</v>
      </c>
      <c r="CO26" s="4"/>
      <c r="CP26" s="4"/>
      <c r="CQ26" s="4"/>
      <c r="CR26" s="4"/>
      <c r="CS26" s="4">
        <v>4326.92</v>
      </c>
      <c r="CT26" s="4"/>
      <c r="CU26" s="4"/>
      <c r="CV26" s="4"/>
      <c r="CW26" s="4">
        <v>35288.46</v>
      </c>
      <c r="CX26" s="4">
        <v>1346.15</v>
      </c>
      <c r="CY26" s="4"/>
      <c r="CZ26" s="4"/>
    </row>
    <row r="27">
      <c r="A27" s="4" t="s">
        <v>267</v>
      </c>
      <c r="B27" s="4" t="s">
        <v>268</v>
      </c>
      <c r="C27" s="5" t="s">
        <v>262</v>
      </c>
      <c r="D27" s="5" t="s">
        <v>269</v>
      </c>
      <c r="E27" s="4" t="s">
        <v>264</v>
      </c>
      <c r="F27" s="4" t="s">
        <v>109</v>
      </c>
      <c r="G27" s="4" t="s">
        <v>110</v>
      </c>
      <c r="H27" s="4" t="s">
        <v>270</v>
      </c>
      <c r="I27" s="4" t="s">
        <v>271</v>
      </c>
      <c r="J27" s="4" t="s">
        <v>272</v>
      </c>
      <c r="K27" s="4" t="s">
        <v>273</v>
      </c>
      <c r="L27" s="4">
        <v>-25.2654</v>
      </c>
      <c r="M27" s="4">
        <v>-57.7288</v>
      </c>
      <c r="N27" s="4"/>
      <c r="O27" s="4"/>
      <c r="P27" s="4">
        <v>383.0</v>
      </c>
      <c r="Q27" s="4">
        <v>156.3</v>
      </c>
      <c r="R27" s="4">
        <v>8.1</v>
      </c>
      <c r="S27" s="4">
        <v>-66.0</v>
      </c>
      <c r="T27" s="4">
        <v>2615.0</v>
      </c>
      <c r="U27" s="4">
        <v>1.3</v>
      </c>
      <c r="V27" s="4">
        <v>20.8</v>
      </c>
      <c r="W27" s="4">
        <v>6.77</v>
      </c>
      <c r="X27" s="4">
        <v>75.8</v>
      </c>
      <c r="Y27" s="4">
        <v>10.3</v>
      </c>
      <c r="Z27" s="4">
        <v>1712.9</v>
      </c>
      <c r="AA27" s="4">
        <v>1700.0</v>
      </c>
      <c r="AB27" s="4">
        <v>12.9</v>
      </c>
      <c r="AC27" s="4">
        <v>5.0</v>
      </c>
      <c r="AD27" s="4">
        <v>460.7</v>
      </c>
      <c r="AE27" s="4">
        <v>14.08</v>
      </c>
      <c r="AF27" s="4">
        <v>239.43</v>
      </c>
      <c r="AG27" s="4">
        <v>440.0</v>
      </c>
      <c r="AH27" s="4">
        <v>19.18</v>
      </c>
      <c r="AI27" s="4">
        <v>97.2</v>
      </c>
      <c r="AJ27" s="4">
        <v>47.2</v>
      </c>
      <c r="AK27" s="4">
        <v>384.59</v>
      </c>
      <c r="AL27" s="4">
        <v>9.41</v>
      </c>
      <c r="AM27" s="4">
        <v>97.2</v>
      </c>
      <c r="AN27" s="4">
        <v>53.0</v>
      </c>
      <c r="AO27" s="4">
        <v>406.97</v>
      </c>
      <c r="AP27" s="4">
        <v>9.43</v>
      </c>
      <c r="AQ27" s="4">
        <v>0.813</v>
      </c>
      <c r="AR27" s="4">
        <v>0.253</v>
      </c>
      <c r="AS27" s="4">
        <v>0.036</v>
      </c>
      <c r="AT27" s="4">
        <v>0.009</v>
      </c>
      <c r="AU27" s="4">
        <v>0.42</v>
      </c>
      <c r="AV27" s="4">
        <v>0.136</v>
      </c>
      <c r="AW27" s="4"/>
      <c r="AX27" s="4">
        <v>4.4</v>
      </c>
      <c r="AY27" s="4">
        <v>29.7</v>
      </c>
      <c r="AZ27" s="4">
        <v>11500.0</v>
      </c>
      <c r="BA27" s="4">
        <v>400.0</v>
      </c>
      <c r="BB27" s="4"/>
      <c r="BC27" s="4"/>
      <c r="BD27" s="4"/>
      <c r="BE27" s="4">
        <v>231000.0</v>
      </c>
      <c r="BF27" s="4">
        <f t="shared" ref="BF27:BI27" si="134">0.5*10</f>
        <v>5</v>
      </c>
      <c r="BG27" s="4">
        <f t="shared" si="134"/>
        <v>5</v>
      </c>
      <c r="BH27" s="4">
        <f t="shared" si="134"/>
        <v>5</v>
      </c>
      <c r="BI27" s="4">
        <f t="shared" si="134"/>
        <v>5</v>
      </c>
      <c r="BJ27" s="4">
        <f t="shared" si="100"/>
        <v>2.5</v>
      </c>
      <c r="BK27" s="4">
        <v>20.0</v>
      </c>
      <c r="BL27" s="4">
        <f t="shared" si="102"/>
        <v>2.5</v>
      </c>
      <c r="BM27" s="4">
        <f t="shared" si="103"/>
        <v>5</v>
      </c>
      <c r="BN27" s="4">
        <v>57.0</v>
      </c>
      <c r="BO27" s="4">
        <f t="shared" si="104"/>
        <v>5</v>
      </c>
      <c r="BP27" s="4">
        <f t="shared" si="105"/>
        <v>2.5</v>
      </c>
      <c r="BQ27" s="4">
        <f t="shared" ref="BQ27:BS27" si="135">0.5*10</f>
        <v>5</v>
      </c>
      <c r="BR27" s="4">
        <f t="shared" si="135"/>
        <v>5</v>
      </c>
      <c r="BS27" s="4">
        <f t="shared" si="135"/>
        <v>5</v>
      </c>
      <c r="BT27" s="4">
        <v>155.0</v>
      </c>
      <c r="BU27" s="4">
        <v>1107.0</v>
      </c>
      <c r="BV27" s="4">
        <f t="shared" si="107"/>
        <v>5</v>
      </c>
      <c r="BW27" s="4">
        <f t="shared" si="128"/>
        <v>2.5</v>
      </c>
      <c r="BX27" s="4">
        <v>61.0</v>
      </c>
      <c r="BY27" s="4">
        <f t="shared" si="129"/>
        <v>2.5</v>
      </c>
      <c r="BZ27" s="4">
        <v>52.0</v>
      </c>
      <c r="CA27" s="4">
        <v>115.0</v>
      </c>
      <c r="CB27" s="4">
        <f t="shared" si="124"/>
        <v>5</v>
      </c>
      <c r="CC27" s="4">
        <f t="shared" si="109"/>
        <v>2.5</v>
      </c>
      <c r="CD27" s="4">
        <f t="shared" ref="CD27:CF27" si="136">0.5*10</f>
        <v>5</v>
      </c>
      <c r="CE27" s="4">
        <f t="shared" si="136"/>
        <v>5</v>
      </c>
      <c r="CF27" s="4">
        <f t="shared" si="136"/>
        <v>5</v>
      </c>
      <c r="CG27" s="4">
        <v>834.0</v>
      </c>
      <c r="CH27" s="4">
        <v>1212.0</v>
      </c>
      <c r="CI27" s="4">
        <f t="shared" si="111"/>
        <v>5</v>
      </c>
      <c r="CJ27" s="4"/>
      <c r="CK27" s="4"/>
      <c r="CL27" s="4">
        <f t="shared" si="112"/>
        <v>0.0005</v>
      </c>
      <c r="CM27" s="4">
        <f t="shared" si="137"/>
        <v>0.0005</v>
      </c>
      <c r="CN27" s="4">
        <f t="shared" si="114"/>
        <v>0.25</v>
      </c>
      <c r="CO27" s="4"/>
      <c r="CP27" s="4">
        <v>4496.12</v>
      </c>
      <c r="CQ27" s="4"/>
      <c r="CR27" s="4"/>
      <c r="CS27" s="4">
        <v>8139.53</v>
      </c>
      <c r="CT27" s="4"/>
      <c r="CU27" s="4">
        <v>4031.01</v>
      </c>
      <c r="CV27" s="4"/>
      <c r="CW27" s="4">
        <v>52635.66</v>
      </c>
      <c r="CX27" s="4">
        <v>3178.29</v>
      </c>
      <c r="CY27" s="4"/>
      <c r="CZ27" s="4"/>
    </row>
    <row r="28">
      <c r="A28" s="4" t="s">
        <v>274</v>
      </c>
      <c r="B28" s="4" t="s">
        <v>275</v>
      </c>
      <c r="C28" s="5" t="s">
        <v>262</v>
      </c>
      <c r="D28" s="5" t="s">
        <v>276</v>
      </c>
      <c r="E28" s="4" t="s">
        <v>264</v>
      </c>
      <c r="F28" s="4" t="s">
        <v>109</v>
      </c>
      <c r="G28" s="4" t="s">
        <v>110</v>
      </c>
      <c r="H28" s="4" t="s">
        <v>111</v>
      </c>
      <c r="I28" s="4" t="s">
        <v>277</v>
      </c>
      <c r="J28" s="4" t="s">
        <v>278</v>
      </c>
      <c r="K28" s="4" t="s">
        <v>279</v>
      </c>
      <c r="L28" s="4">
        <v>-25.2641</v>
      </c>
      <c r="M28" s="4">
        <v>-57.7243</v>
      </c>
      <c r="N28" s="4"/>
      <c r="O28" s="4"/>
      <c r="P28" s="4">
        <v>354.5</v>
      </c>
      <c r="Q28" s="4">
        <v>104.5</v>
      </c>
      <c r="R28" s="4">
        <v>7.67</v>
      </c>
      <c r="S28" s="4">
        <v>-46.0</v>
      </c>
      <c r="T28" s="4">
        <v>2820.0</v>
      </c>
      <c r="U28" s="4">
        <v>1.5</v>
      </c>
      <c r="V28" s="4">
        <v>21.0</v>
      </c>
      <c r="W28" s="4">
        <v>4.51</v>
      </c>
      <c r="X28" s="4">
        <v>50.7</v>
      </c>
      <c r="Y28" s="4">
        <v>4.19</v>
      </c>
      <c r="Z28" s="4">
        <v>1738.2</v>
      </c>
      <c r="AA28" s="4">
        <v>1734.0</v>
      </c>
      <c r="AB28" s="4">
        <v>4.2</v>
      </c>
      <c r="AC28" s="4">
        <v>5.0</v>
      </c>
      <c r="AD28" s="4">
        <v>412.2</v>
      </c>
      <c r="AE28" s="4">
        <v>6.04</v>
      </c>
      <c r="AF28" s="4">
        <v>205.22</v>
      </c>
      <c r="AG28" s="4">
        <v>529.0</v>
      </c>
      <c r="AH28" s="4">
        <v>12.1</v>
      </c>
      <c r="AI28" s="4">
        <v>83.6</v>
      </c>
      <c r="AJ28" s="4">
        <v>46.0</v>
      </c>
      <c r="AK28" s="4">
        <v>419.23</v>
      </c>
      <c r="AL28" s="4">
        <v>8.22</v>
      </c>
      <c r="AM28" s="4">
        <v>83.6</v>
      </c>
      <c r="AN28" s="4">
        <v>49.5</v>
      </c>
      <c r="AO28" s="4">
        <v>444.31</v>
      </c>
      <c r="AP28" s="4">
        <v>8.25</v>
      </c>
      <c r="AQ28" s="4">
        <v>0.75</v>
      </c>
      <c r="AR28" s="4">
        <v>0.232</v>
      </c>
      <c r="AS28" s="4">
        <v>0.053</v>
      </c>
      <c r="AT28" s="4">
        <v>0.012</v>
      </c>
      <c r="AU28" s="4">
        <v>0.434</v>
      </c>
      <c r="AV28" s="4">
        <v>0.18</v>
      </c>
      <c r="AW28" s="4"/>
      <c r="AX28" s="4">
        <v>2.0</v>
      </c>
      <c r="AY28" s="4">
        <v>39.6</v>
      </c>
      <c r="AZ28" s="4">
        <v>22800.0</v>
      </c>
      <c r="BA28" s="4">
        <v>600.0</v>
      </c>
      <c r="BB28" s="4"/>
      <c r="BC28" s="4"/>
      <c r="BD28" s="4"/>
      <c r="BE28" s="4">
        <v>209000.0</v>
      </c>
      <c r="BF28" s="4">
        <f t="shared" ref="BF28:BI28" si="138">0.5*10</f>
        <v>5</v>
      </c>
      <c r="BG28" s="4">
        <f t="shared" si="138"/>
        <v>5</v>
      </c>
      <c r="BH28" s="4">
        <f t="shared" si="138"/>
        <v>5</v>
      </c>
      <c r="BI28" s="4">
        <f t="shared" si="138"/>
        <v>5</v>
      </c>
      <c r="BJ28" s="4">
        <f t="shared" si="100"/>
        <v>2.5</v>
      </c>
      <c r="BK28" s="4">
        <v>20.0</v>
      </c>
      <c r="BL28" s="4">
        <f t="shared" si="102"/>
        <v>2.5</v>
      </c>
      <c r="BM28" s="4">
        <f t="shared" si="103"/>
        <v>5</v>
      </c>
      <c r="BN28" s="4">
        <v>19.0</v>
      </c>
      <c r="BO28" s="4">
        <f t="shared" si="104"/>
        <v>5</v>
      </c>
      <c r="BP28" s="4">
        <f t="shared" si="105"/>
        <v>2.5</v>
      </c>
      <c r="BQ28" s="4">
        <f t="shared" ref="BQ28:BS28" si="139">0.5*10</f>
        <v>5</v>
      </c>
      <c r="BR28" s="4">
        <f t="shared" si="139"/>
        <v>5</v>
      </c>
      <c r="BS28" s="4">
        <f t="shared" si="139"/>
        <v>5</v>
      </c>
      <c r="BT28" s="4">
        <v>43.0</v>
      </c>
      <c r="BU28" s="4">
        <v>924.0</v>
      </c>
      <c r="BV28" s="4">
        <f t="shared" si="107"/>
        <v>5</v>
      </c>
      <c r="BW28" s="4">
        <f t="shared" si="128"/>
        <v>2.5</v>
      </c>
      <c r="BX28" s="4">
        <v>23.0</v>
      </c>
      <c r="BY28" s="4">
        <f t="shared" si="129"/>
        <v>2.5</v>
      </c>
      <c r="BZ28" s="4">
        <f>0.5*10</f>
        <v>5</v>
      </c>
      <c r="CA28" s="4">
        <v>74.0</v>
      </c>
      <c r="CB28" s="4">
        <f t="shared" si="124"/>
        <v>5</v>
      </c>
      <c r="CC28" s="4">
        <f t="shared" si="109"/>
        <v>2.5</v>
      </c>
      <c r="CD28" s="4">
        <f t="shared" ref="CD28:CF28" si="140">0.5*10</f>
        <v>5</v>
      </c>
      <c r="CE28" s="4">
        <f t="shared" si="140"/>
        <v>5</v>
      </c>
      <c r="CF28" s="4">
        <f t="shared" si="140"/>
        <v>5</v>
      </c>
      <c r="CG28" s="4">
        <v>149.0</v>
      </c>
      <c r="CH28" s="4">
        <v>961.0</v>
      </c>
      <c r="CI28" s="4">
        <f t="shared" si="111"/>
        <v>5</v>
      </c>
      <c r="CJ28" s="4"/>
      <c r="CK28" s="4"/>
      <c r="CL28" s="4">
        <f t="shared" si="112"/>
        <v>0.0005</v>
      </c>
      <c r="CM28" s="4">
        <f t="shared" si="137"/>
        <v>0.0005</v>
      </c>
      <c r="CN28" s="4">
        <f t="shared" si="114"/>
        <v>0.25</v>
      </c>
      <c r="CO28" s="4"/>
      <c r="CP28" s="4">
        <v>13095.24</v>
      </c>
      <c r="CQ28" s="4"/>
      <c r="CR28" s="4"/>
      <c r="CS28" s="4">
        <v>8809.52</v>
      </c>
      <c r="CT28" s="4"/>
      <c r="CU28" s="4"/>
      <c r="CV28" s="4"/>
      <c r="CW28" s="4">
        <v>25238.1</v>
      </c>
      <c r="CX28" s="4">
        <v>714.29</v>
      </c>
      <c r="CY28" s="4"/>
      <c r="CZ28" s="4"/>
    </row>
    <row r="29">
      <c r="A29" s="4" t="s">
        <v>168</v>
      </c>
      <c r="B29" s="4" t="s">
        <v>169</v>
      </c>
      <c r="C29" s="5" t="s">
        <v>280</v>
      </c>
      <c r="D29" s="5" t="s">
        <v>281</v>
      </c>
      <c r="E29" s="4" t="s">
        <v>264</v>
      </c>
      <c r="F29" s="4" t="s">
        <v>109</v>
      </c>
      <c r="G29" s="4" t="s">
        <v>110</v>
      </c>
      <c r="H29" s="4" t="s">
        <v>111</v>
      </c>
      <c r="I29" s="4" t="s">
        <v>171</v>
      </c>
      <c r="J29" s="4" t="s">
        <v>282</v>
      </c>
      <c r="K29" s="4" t="s">
        <v>283</v>
      </c>
      <c r="L29" s="4">
        <v>-22.3781</v>
      </c>
      <c r="M29" s="4">
        <v>-62.5186</v>
      </c>
      <c r="N29" s="4"/>
      <c r="O29" s="4">
        <v>24.0</v>
      </c>
      <c r="P29" s="4">
        <v>679.0</v>
      </c>
      <c r="Q29" s="4">
        <v>201.0</v>
      </c>
      <c r="R29" s="4">
        <v>8.23</v>
      </c>
      <c r="S29" s="4">
        <v>-80.1</v>
      </c>
      <c r="T29" s="4">
        <v>1472.0</v>
      </c>
      <c r="U29" s="4">
        <v>0.7</v>
      </c>
      <c r="V29" s="4">
        <v>16.7</v>
      </c>
      <c r="W29" s="4">
        <v>9.38</v>
      </c>
      <c r="X29" s="4">
        <v>98.4</v>
      </c>
      <c r="Y29" s="4">
        <v>647.0</v>
      </c>
      <c r="Z29" s="4">
        <v>3358.0</v>
      </c>
      <c r="AA29" s="4">
        <v>1063.0</v>
      </c>
      <c r="AB29" s="4">
        <v>2266.0</v>
      </c>
      <c r="AC29" s="4">
        <v>5.5</v>
      </c>
      <c r="AD29" s="4">
        <v>477.4</v>
      </c>
      <c r="AE29" s="4">
        <v>18.65</v>
      </c>
      <c r="AF29" s="4">
        <v>107.1</v>
      </c>
      <c r="AG29" s="4">
        <v>201.2</v>
      </c>
      <c r="AH29" s="4">
        <v>303.2</v>
      </c>
      <c r="AI29" s="4">
        <v>111.8</v>
      </c>
      <c r="AJ29" s="4">
        <v>47.5</v>
      </c>
      <c r="AK29" s="4">
        <v>149.0</v>
      </c>
      <c r="AL29" s="4">
        <v>7.6</v>
      </c>
      <c r="AM29" s="4">
        <v>226.0</v>
      </c>
      <c r="AN29" s="4">
        <v>102.5</v>
      </c>
      <c r="AO29" s="4">
        <v>228.0</v>
      </c>
      <c r="AP29" s="4">
        <v>15.3</v>
      </c>
      <c r="AQ29" s="4">
        <v>0.12</v>
      </c>
      <c r="AR29" s="4">
        <v>0.03</v>
      </c>
      <c r="AS29" s="4"/>
      <c r="AT29" s="4"/>
      <c r="AU29" s="4">
        <v>12.2</v>
      </c>
      <c r="AV29" s="4">
        <v>1.23</v>
      </c>
      <c r="AW29" s="4"/>
      <c r="AX29" s="4">
        <v>16.2</v>
      </c>
      <c r="AY29" s="4">
        <v>50.0</v>
      </c>
      <c r="AZ29" s="4"/>
      <c r="BA29" s="4"/>
      <c r="BB29" s="4"/>
      <c r="BC29" s="4">
        <v>2400.0</v>
      </c>
      <c r="BD29" s="4">
        <v>430.0</v>
      </c>
      <c r="BE29" s="4">
        <v>73000.0</v>
      </c>
      <c r="BF29" s="4">
        <f t="shared" ref="BF29:BI29" si="141">0.5*10</f>
        <v>5</v>
      </c>
      <c r="BG29" s="4">
        <f t="shared" si="141"/>
        <v>5</v>
      </c>
      <c r="BH29" s="4">
        <f t="shared" si="141"/>
        <v>5</v>
      </c>
      <c r="BI29" s="4">
        <f t="shared" si="141"/>
        <v>5</v>
      </c>
      <c r="BJ29" s="4">
        <f t="shared" si="100"/>
        <v>2.5</v>
      </c>
      <c r="BK29" s="4">
        <v>27.0</v>
      </c>
      <c r="BL29" s="4">
        <f t="shared" si="102"/>
        <v>2.5</v>
      </c>
      <c r="BM29" s="4">
        <f t="shared" si="103"/>
        <v>5</v>
      </c>
      <c r="BN29" s="4">
        <v>42.0</v>
      </c>
      <c r="BO29" s="4">
        <f t="shared" si="104"/>
        <v>5</v>
      </c>
      <c r="BP29" s="4">
        <f t="shared" si="105"/>
        <v>2.5</v>
      </c>
      <c r="BQ29" s="4">
        <f t="shared" ref="BQ29:BS29" si="142">0.5*10</f>
        <v>5</v>
      </c>
      <c r="BR29" s="4">
        <f t="shared" si="142"/>
        <v>5</v>
      </c>
      <c r="BS29" s="4">
        <f t="shared" si="142"/>
        <v>5</v>
      </c>
      <c r="BT29" s="4">
        <v>69.0</v>
      </c>
      <c r="BU29" s="4">
        <v>856.0</v>
      </c>
      <c r="BV29" s="4">
        <f t="shared" si="107"/>
        <v>5</v>
      </c>
      <c r="BW29" s="4">
        <v>46.0</v>
      </c>
      <c r="BX29" s="4">
        <v>566.0</v>
      </c>
      <c r="BY29" s="4">
        <v>23.0</v>
      </c>
      <c r="BZ29" s="4">
        <v>20.0</v>
      </c>
      <c r="CA29" s="4">
        <v>150.0</v>
      </c>
      <c r="CB29" s="4">
        <v>18.0</v>
      </c>
      <c r="CC29" s="4">
        <f t="shared" si="109"/>
        <v>2.5</v>
      </c>
      <c r="CD29" s="4">
        <f>0.5*10</f>
        <v>5</v>
      </c>
      <c r="CE29" s="4">
        <v>21.0</v>
      </c>
      <c r="CF29" s="4">
        <f>0.5*10</f>
        <v>5</v>
      </c>
      <c r="CG29" s="4">
        <v>32709.0</v>
      </c>
      <c r="CH29" s="4">
        <v>923.0</v>
      </c>
      <c r="CI29" s="4">
        <f t="shared" si="111"/>
        <v>5</v>
      </c>
      <c r="CJ29" s="4"/>
      <c r="CK29" s="4"/>
      <c r="CL29" s="4">
        <f>0.5*1</f>
        <v>0.5</v>
      </c>
      <c r="CM29" s="4">
        <v>0.048</v>
      </c>
      <c r="CN29" s="4">
        <f t="shared" ref="CN29:CN35" si="146">0.5*0.1</f>
        <v>0.05</v>
      </c>
      <c r="CO29" s="4"/>
      <c r="CP29" s="4">
        <v>47.66</v>
      </c>
      <c r="CQ29" s="4"/>
      <c r="CR29" s="4">
        <v>7.94</v>
      </c>
      <c r="CS29" s="4">
        <v>29.57</v>
      </c>
      <c r="CT29" s="4"/>
      <c r="CU29" s="4">
        <v>8.83</v>
      </c>
      <c r="CV29" s="4">
        <v>20.3</v>
      </c>
      <c r="CW29" s="4">
        <v>14404.24</v>
      </c>
      <c r="CX29" s="4">
        <v>237.86</v>
      </c>
      <c r="CY29" s="4">
        <v>10.15</v>
      </c>
      <c r="CZ29" s="4">
        <v>9.27</v>
      </c>
    </row>
    <row r="30">
      <c r="A30" s="4" t="s">
        <v>284</v>
      </c>
      <c r="B30" s="4" t="s">
        <v>285</v>
      </c>
      <c r="C30" s="5" t="s">
        <v>286</v>
      </c>
      <c r="D30" s="5" t="s">
        <v>143</v>
      </c>
      <c r="E30" s="4" t="s">
        <v>264</v>
      </c>
      <c r="F30" s="4" t="s">
        <v>109</v>
      </c>
      <c r="G30" s="4" t="s">
        <v>110</v>
      </c>
      <c r="H30" s="4" t="s">
        <v>287</v>
      </c>
      <c r="I30" s="4" t="s">
        <v>288</v>
      </c>
      <c r="J30" s="4" t="s">
        <v>289</v>
      </c>
      <c r="K30" s="4" t="s">
        <v>290</v>
      </c>
      <c r="L30" s="4">
        <v>-21.1521</v>
      </c>
      <c r="M30" s="4">
        <v>-64.2342</v>
      </c>
      <c r="N30" s="4"/>
      <c r="O30" s="4">
        <v>15.0</v>
      </c>
      <c r="P30" s="4">
        <v>861.0</v>
      </c>
      <c r="Q30" s="4">
        <v>200.5</v>
      </c>
      <c r="R30" s="4">
        <v>8.52</v>
      </c>
      <c r="S30" s="4">
        <v>-95.7</v>
      </c>
      <c r="T30" s="4">
        <v>1162.0</v>
      </c>
      <c r="U30" s="4">
        <v>0.5</v>
      </c>
      <c r="V30" s="4">
        <v>18.6</v>
      </c>
      <c r="W30" s="4">
        <v>90.2</v>
      </c>
      <c r="X30" s="4">
        <v>107.9</v>
      </c>
      <c r="Y30" s="4">
        <v>29.2</v>
      </c>
      <c r="Z30" s="4">
        <v>864.0</v>
      </c>
      <c r="AA30" s="4">
        <v>858.0</v>
      </c>
      <c r="AB30" s="4">
        <v>9.0</v>
      </c>
      <c r="AC30" s="4">
        <v>6.0</v>
      </c>
      <c r="AD30" s="4">
        <v>530.4</v>
      </c>
      <c r="AE30" s="4">
        <v>15.5</v>
      </c>
      <c r="AF30" s="4">
        <v>138.0</v>
      </c>
      <c r="AG30" s="4">
        <v>51.2</v>
      </c>
      <c r="AH30" s="4">
        <v>428.2</v>
      </c>
      <c r="AI30" s="4">
        <v>65.64</v>
      </c>
      <c r="AJ30" s="4">
        <v>59.75</v>
      </c>
      <c r="AK30" s="4">
        <v>64.7</v>
      </c>
      <c r="AL30" s="4">
        <v>7.7</v>
      </c>
      <c r="AM30" s="4">
        <v>74.44</v>
      </c>
      <c r="AN30" s="4">
        <v>60.82</v>
      </c>
      <c r="AO30" s="4">
        <v>68.4</v>
      </c>
      <c r="AP30" s="4">
        <v>7.8</v>
      </c>
      <c r="AQ30" s="4">
        <v>0.18</v>
      </c>
      <c r="AR30" s="4">
        <v>0.09</v>
      </c>
      <c r="AS30" s="4">
        <v>1.61</v>
      </c>
      <c r="AT30" s="4">
        <f t="shared" ref="AT30:AT31" si="147">0.5*0.02</f>
        <v>0.01</v>
      </c>
      <c r="AU30" s="4">
        <f>0.5*0.01</f>
        <v>0.005</v>
      </c>
      <c r="AV30" s="4">
        <v>4.3</v>
      </c>
      <c r="AW30" s="4">
        <f>0.5*2</f>
        <v>1</v>
      </c>
      <c r="AX30" s="4">
        <f>0.5*5</f>
        <v>2.5</v>
      </c>
      <c r="AY30" s="4">
        <f>0.5*2</f>
        <v>1</v>
      </c>
      <c r="AZ30" s="4">
        <v>60.0</v>
      </c>
      <c r="BA30" s="4">
        <v>20.0</v>
      </c>
      <c r="BB30" s="4"/>
      <c r="BC30" s="4"/>
      <c r="BD30" s="4"/>
      <c r="BE30" s="4"/>
      <c r="BF30" s="4">
        <f t="shared" ref="BF30:BI30" si="143">0.5*10</f>
        <v>5</v>
      </c>
      <c r="BG30" s="4">
        <f t="shared" si="143"/>
        <v>5</v>
      </c>
      <c r="BH30" s="4">
        <f t="shared" si="143"/>
        <v>5</v>
      </c>
      <c r="BI30" s="4">
        <f t="shared" si="143"/>
        <v>5</v>
      </c>
      <c r="BJ30" s="4">
        <f t="shared" si="100"/>
        <v>2.5</v>
      </c>
      <c r="BK30" s="4">
        <v>12.0</v>
      </c>
      <c r="BL30" s="4">
        <f t="shared" si="102"/>
        <v>2.5</v>
      </c>
      <c r="BM30" s="4">
        <f t="shared" si="103"/>
        <v>5</v>
      </c>
      <c r="BN30" s="4">
        <v>69.0</v>
      </c>
      <c r="BO30" s="4">
        <f t="shared" si="104"/>
        <v>5</v>
      </c>
      <c r="BP30" s="4">
        <f t="shared" si="105"/>
        <v>2.5</v>
      </c>
      <c r="BQ30" s="4">
        <f t="shared" ref="BQ30:BS30" si="144">0.5*10</f>
        <v>5</v>
      </c>
      <c r="BR30" s="4">
        <f t="shared" si="144"/>
        <v>5</v>
      </c>
      <c r="BS30" s="4">
        <f t="shared" si="144"/>
        <v>5</v>
      </c>
      <c r="BT30" s="4">
        <v>341.0</v>
      </c>
      <c r="BU30" s="4">
        <v>1330.0</v>
      </c>
      <c r="BV30" s="4">
        <f t="shared" si="107"/>
        <v>5</v>
      </c>
      <c r="BW30" s="4">
        <f t="shared" ref="BW30:BW31" si="151">0.5*5</f>
        <v>2.5</v>
      </c>
      <c r="BX30" s="4">
        <v>87.0</v>
      </c>
      <c r="BY30" s="4">
        <f t="shared" ref="BY30:BY31" si="152">0.5*5</f>
        <v>2.5</v>
      </c>
      <c r="BZ30" s="4">
        <f>0.5*10</f>
        <v>5</v>
      </c>
      <c r="CA30" s="4">
        <v>378.0</v>
      </c>
      <c r="CB30" s="4">
        <f>0.5*10</f>
        <v>5</v>
      </c>
      <c r="CC30" s="4">
        <f t="shared" si="109"/>
        <v>2.5</v>
      </c>
      <c r="CD30" s="4">
        <v>29.0</v>
      </c>
      <c r="CE30" s="4">
        <f t="shared" ref="CE30:CF30" si="145">0.5*10</f>
        <v>5</v>
      </c>
      <c r="CF30" s="4">
        <f t="shared" si="145"/>
        <v>5</v>
      </c>
      <c r="CG30" s="4">
        <v>1892.0</v>
      </c>
      <c r="CH30" s="4">
        <v>1331.0</v>
      </c>
      <c r="CI30" s="4">
        <f t="shared" si="111"/>
        <v>5</v>
      </c>
      <c r="CJ30" s="4"/>
      <c r="CK30" s="4">
        <f t="shared" ref="CK30:CK43" si="154">0.5*0.002</f>
        <v>0.001</v>
      </c>
      <c r="CL30" s="4">
        <v>0.001</v>
      </c>
      <c r="CM30" s="4">
        <v>0.047</v>
      </c>
      <c r="CN30" s="4">
        <f t="shared" si="146"/>
        <v>0.05</v>
      </c>
      <c r="CO30" s="4"/>
      <c r="CP30" s="4">
        <v>34333.33</v>
      </c>
      <c r="CQ30" s="4">
        <v>2366.67</v>
      </c>
      <c r="CR30" s="4"/>
      <c r="CS30" s="4">
        <v>111.11</v>
      </c>
      <c r="CT30" s="4"/>
      <c r="CU30" s="4"/>
      <c r="CV30" s="4"/>
      <c r="CW30" s="4">
        <v>172333.33</v>
      </c>
      <c r="CX30" s="4">
        <v>8333.33</v>
      </c>
      <c r="CY30" s="4"/>
      <c r="CZ30" s="4"/>
    </row>
    <row r="31">
      <c r="A31" s="4" t="s">
        <v>291</v>
      </c>
      <c r="B31" s="4" t="s">
        <v>292</v>
      </c>
      <c r="C31" s="5" t="s">
        <v>293</v>
      </c>
      <c r="D31" s="5" t="s">
        <v>294</v>
      </c>
      <c r="E31" s="4" t="s">
        <v>264</v>
      </c>
      <c r="F31" s="4" t="s">
        <v>109</v>
      </c>
      <c r="G31" s="4" t="s">
        <v>110</v>
      </c>
      <c r="H31" s="4" t="s">
        <v>291</v>
      </c>
      <c r="I31" s="4" t="s">
        <v>158</v>
      </c>
      <c r="J31" s="4" t="s">
        <v>295</v>
      </c>
      <c r="K31" s="4" t="s">
        <v>296</v>
      </c>
      <c r="L31" s="4">
        <v>-22.0975</v>
      </c>
      <c r="M31" s="4">
        <v>-65.5861</v>
      </c>
      <c r="N31" s="4">
        <v>0.968</v>
      </c>
      <c r="O31" s="4">
        <v>0.0</v>
      </c>
      <c r="P31" s="4">
        <v>1161.0</v>
      </c>
      <c r="Q31" s="4">
        <v>107.2</v>
      </c>
      <c r="R31" s="4">
        <v>8.82</v>
      </c>
      <c r="S31" s="4">
        <v>-115.7</v>
      </c>
      <c r="T31" s="4">
        <v>859.0</v>
      </c>
      <c r="U31" s="4">
        <v>0.4</v>
      </c>
      <c r="V31" s="4">
        <v>12.9</v>
      </c>
      <c r="W31" s="4">
        <v>5.42</v>
      </c>
      <c r="X31" s="4">
        <v>77.6</v>
      </c>
      <c r="Y31" s="4">
        <v>104.0</v>
      </c>
      <c r="Z31" s="4">
        <v>610.0</v>
      </c>
      <c r="AA31" s="4">
        <v>494.0</v>
      </c>
      <c r="AB31" s="4">
        <v>110.0</v>
      </c>
      <c r="AC31" s="4">
        <v>1.0</v>
      </c>
      <c r="AD31" s="4">
        <v>192.0</v>
      </c>
      <c r="AE31" s="4">
        <v>18.0</v>
      </c>
      <c r="AF31" s="4">
        <v>218.5</v>
      </c>
      <c r="AG31" s="4">
        <v>80.2</v>
      </c>
      <c r="AH31" s="4">
        <v>106.3</v>
      </c>
      <c r="AI31" s="4">
        <v>34.88</v>
      </c>
      <c r="AJ31" s="4">
        <v>16.45</v>
      </c>
      <c r="AK31" s="4">
        <v>66.4</v>
      </c>
      <c r="AL31" s="4">
        <v>14.1</v>
      </c>
      <c r="AM31" s="4">
        <v>40.18</v>
      </c>
      <c r="AN31" s="4">
        <v>16.26</v>
      </c>
      <c r="AO31" s="4">
        <v>67.7</v>
      </c>
      <c r="AP31" s="4">
        <v>14.3</v>
      </c>
      <c r="AQ31" s="4">
        <v>7.21</v>
      </c>
      <c r="AR31" s="4">
        <v>5.3</v>
      </c>
      <c r="AS31" s="4">
        <v>39.64</v>
      </c>
      <c r="AT31" s="4">
        <f t="shared" si="147"/>
        <v>0.01</v>
      </c>
      <c r="AU31" s="4">
        <v>1.64</v>
      </c>
      <c r="AV31" s="4">
        <v>26.0</v>
      </c>
      <c r="AW31" s="4">
        <v>34.0</v>
      </c>
      <c r="AX31" s="4">
        <v>88.0</v>
      </c>
      <c r="AY31" s="4">
        <v>97.0</v>
      </c>
      <c r="AZ31" s="4">
        <f t="shared" ref="AZ31:BA31" si="148">1.5*100000</f>
        <v>150000</v>
      </c>
      <c r="BA31" s="4">
        <f t="shared" si="148"/>
        <v>150000</v>
      </c>
      <c r="BB31" s="4"/>
      <c r="BC31" s="4"/>
      <c r="BD31" s="4"/>
      <c r="BE31" s="4"/>
      <c r="BF31" s="4">
        <f t="shared" ref="BF31:BI31" si="149">0.5*10</f>
        <v>5</v>
      </c>
      <c r="BG31" s="4">
        <f t="shared" si="149"/>
        <v>5</v>
      </c>
      <c r="BH31" s="4">
        <f t="shared" si="149"/>
        <v>5</v>
      </c>
      <c r="BI31" s="4">
        <f t="shared" si="149"/>
        <v>5</v>
      </c>
      <c r="BJ31" s="4">
        <f t="shared" si="100"/>
        <v>2.5</v>
      </c>
      <c r="BK31" s="4">
        <v>45.0</v>
      </c>
      <c r="BL31" s="4">
        <f t="shared" si="102"/>
        <v>2.5</v>
      </c>
      <c r="BM31" s="4">
        <f t="shared" si="103"/>
        <v>5</v>
      </c>
      <c r="BN31" s="4">
        <v>60.0</v>
      </c>
      <c r="BO31" s="4">
        <f t="shared" si="104"/>
        <v>5</v>
      </c>
      <c r="BP31" s="4">
        <f t="shared" si="105"/>
        <v>2.5</v>
      </c>
      <c r="BQ31" s="4">
        <f t="shared" ref="BQ31:BS31" si="150">0.5*10</f>
        <v>5</v>
      </c>
      <c r="BR31" s="4">
        <f t="shared" si="150"/>
        <v>5</v>
      </c>
      <c r="BS31" s="4">
        <f t="shared" si="150"/>
        <v>5</v>
      </c>
      <c r="BT31" s="4">
        <v>93.0</v>
      </c>
      <c r="BU31" s="4">
        <v>757.0</v>
      </c>
      <c r="BV31" s="4">
        <f t="shared" si="107"/>
        <v>5</v>
      </c>
      <c r="BW31" s="4">
        <f t="shared" si="151"/>
        <v>2.5</v>
      </c>
      <c r="BX31" s="4">
        <v>84.0</v>
      </c>
      <c r="BY31" s="4">
        <f t="shared" si="152"/>
        <v>2.5</v>
      </c>
      <c r="BZ31" s="4">
        <v>10.0</v>
      </c>
      <c r="CA31" s="4">
        <v>140.0</v>
      </c>
      <c r="CB31" s="4">
        <v>10.0</v>
      </c>
      <c r="CC31" s="4">
        <f t="shared" si="109"/>
        <v>2.5</v>
      </c>
      <c r="CD31" s="4">
        <f t="shared" ref="CD31:CF31" si="153">0.5*10</f>
        <v>5</v>
      </c>
      <c r="CE31" s="4">
        <f t="shared" si="153"/>
        <v>5</v>
      </c>
      <c r="CF31" s="4">
        <f t="shared" si="153"/>
        <v>5</v>
      </c>
      <c r="CG31" s="4">
        <v>2573.0</v>
      </c>
      <c r="CH31" s="4">
        <v>761.0</v>
      </c>
      <c r="CI31" s="4">
        <f t="shared" si="111"/>
        <v>5</v>
      </c>
      <c r="CJ31" s="4"/>
      <c r="CK31" s="4">
        <f t="shared" si="154"/>
        <v>0.001</v>
      </c>
      <c r="CL31" s="4">
        <v>0.001</v>
      </c>
      <c r="CM31" s="4">
        <v>0.082</v>
      </c>
      <c r="CN31" s="4">
        <f t="shared" si="146"/>
        <v>0.05</v>
      </c>
      <c r="CO31" s="4"/>
      <c r="CP31" s="4">
        <v>727.27</v>
      </c>
      <c r="CQ31" s="4"/>
      <c r="CR31" s="4">
        <v>90.91</v>
      </c>
      <c r="CS31" s="4">
        <v>36.36</v>
      </c>
      <c r="CT31" s="4"/>
      <c r="CU31" s="4">
        <v>90.91</v>
      </c>
      <c r="CV31" s="4"/>
      <c r="CW31" s="4">
        <v>22545.45</v>
      </c>
      <c r="CX31" s="4">
        <v>354.55</v>
      </c>
      <c r="CY31" s="4"/>
      <c r="CZ31" s="4"/>
    </row>
    <row r="32">
      <c r="A32" s="4" t="s">
        <v>297</v>
      </c>
      <c r="B32" s="4" t="s">
        <v>298</v>
      </c>
      <c r="C32" s="5" t="s">
        <v>293</v>
      </c>
      <c r="D32" s="5" t="s">
        <v>299</v>
      </c>
      <c r="E32" s="4" t="s">
        <v>264</v>
      </c>
      <c r="F32" s="4" t="s">
        <v>109</v>
      </c>
      <c r="G32" s="4" t="s">
        <v>110</v>
      </c>
      <c r="H32" s="4" t="s">
        <v>157</v>
      </c>
      <c r="I32" s="4" t="s">
        <v>158</v>
      </c>
      <c r="J32" s="4" t="s">
        <v>300</v>
      </c>
      <c r="K32" s="4" t="s">
        <v>301</v>
      </c>
      <c r="L32" s="4">
        <v>-21.5602</v>
      </c>
      <c r="M32" s="4">
        <v>-65.6477</v>
      </c>
      <c r="N32" s="4">
        <v>1.453</v>
      </c>
      <c r="O32" s="4">
        <v>7.0</v>
      </c>
      <c r="P32" s="4">
        <v>926.0</v>
      </c>
      <c r="Q32" s="4">
        <v>148.8</v>
      </c>
      <c r="R32" s="4">
        <v>8.3</v>
      </c>
      <c r="S32" s="4">
        <v>-82.0</v>
      </c>
      <c r="T32" s="4">
        <v>1080.0</v>
      </c>
      <c r="U32" s="4">
        <v>0.5</v>
      </c>
      <c r="V32" s="4">
        <v>7.8</v>
      </c>
      <c r="W32" s="4">
        <v>8.41</v>
      </c>
      <c r="X32" s="4">
        <v>99.2</v>
      </c>
      <c r="Y32" s="4">
        <v>109.0</v>
      </c>
      <c r="Z32" s="4">
        <v>962.0</v>
      </c>
      <c r="AA32" s="4">
        <v>830.0</v>
      </c>
      <c r="AB32" s="4">
        <v>141.0</v>
      </c>
      <c r="AC32" s="4">
        <v>22.0</v>
      </c>
      <c r="AD32" s="4">
        <v>432.0</v>
      </c>
      <c r="AE32" s="4">
        <f>0.5*0.1</f>
        <v>0.05</v>
      </c>
      <c r="AF32" s="4">
        <v>6.0</v>
      </c>
      <c r="AG32" s="4">
        <v>49.3</v>
      </c>
      <c r="AH32" s="4">
        <v>390.9</v>
      </c>
      <c r="AI32" s="4">
        <v>74.96</v>
      </c>
      <c r="AJ32" s="4">
        <v>42.69</v>
      </c>
      <c r="AK32" s="4">
        <v>69.6</v>
      </c>
      <c r="AL32" s="4">
        <v>6.8</v>
      </c>
      <c r="AM32" s="4">
        <v>77.23</v>
      </c>
      <c r="AN32" s="4">
        <v>45.18</v>
      </c>
      <c r="AO32" s="4">
        <v>71.5</v>
      </c>
      <c r="AP32" s="4">
        <v>6.9</v>
      </c>
      <c r="AQ32" s="4">
        <v>0.18</v>
      </c>
      <c r="AR32" s="4">
        <v>0.15</v>
      </c>
      <c r="AS32" s="4">
        <v>1.34</v>
      </c>
      <c r="AT32" s="4">
        <v>0.07</v>
      </c>
      <c r="AU32" s="4">
        <v>1.77</v>
      </c>
      <c r="AV32" s="4">
        <v>3.6</v>
      </c>
      <c r="AW32" s="4">
        <f t="shared" ref="AW32:AW39" si="158">0.5*2</f>
        <v>1</v>
      </c>
      <c r="AX32" s="4">
        <f>0.5*5</f>
        <v>2.5</v>
      </c>
      <c r="AY32" s="4">
        <f t="shared" ref="AY32:AY39" si="159">0.5*2</f>
        <v>1</v>
      </c>
      <c r="AZ32" s="4">
        <f t="shared" ref="AZ32:AZ33" si="160">1.5*100000</f>
        <v>150000</v>
      </c>
      <c r="BA32" s="4">
        <v>810.0</v>
      </c>
      <c r="BB32" s="4"/>
      <c r="BC32" s="4"/>
      <c r="BD32" s="4"/>
      <c r="BE32" s="4"/>
      <c r="BF32" s="4">
        <f t="shared" ref="BF32:BI32" si="155">0.5*10</f>
        <v>5</v>
      </c>
      <c r="BG32" s="4">
        <f t="shared" si="155"/>
        <v>5</v>
      </c>
      <c r="BH32" s="4">
        <f t="shared" si="155"/>
        <v>5</v>
      </c>
      <c r="BI32" s="4">
        <f t="shared" si="155"/>
        <v>5</v>
      </c>
      <c r="BJ32" s="4">
        <f t="shared" si="100"/>
        <v>2.5</v>
      </c>
      <c r="BK32" s="4">
        <f t="shared" ref="BK32:BK33" si="162">0.5*10</f>
        <v>5</v>
      </c>
      <c r="BL32" s="4">
        <f t="shared" si="102"/>
        <v>2.5</v>
      </c>
      <c r="BM32" s="4">
        <f t="shared" si="103"/>
        <v>5</v>
      </c>
      <c r="BN32" s="4">
        <v>43.0</v>
      </c>
      <c r="BO32" s="4">
        <f t="shared" si="104"/>
        <v>5</v>
      </c>
      <c r="BP32" s="4">
        <f t="shared" si="105"/>
        <v>2.5</v>
      </c>
      <c r="BQ32" s="4">
        <f t="shared" ref="BQ32:BS32" si="156">0.5*10</f>
        <v>5</v>
      </c>
      <c r="BR32" s="4">
        <f t="shared" si="156"/>
        <v>5</v>
      </c>
      <c r="BS32" s="4">
        <f t="shared" si="156"/>
        <v>5</v>
      </c>
      <c r="BT32" s="4">
        <v>57.0</v>
      </c>
      <c r="BU32" s="4">
        <v>2651.0</v>
      </c>
      <c r="BV32" s="4">
        <f t="shared" si="107"/>
        <v>5</v>
      </c>
      <c r="BW32" s="4">
        <v>5.0</v>
      </c>
      <c r="BX32" s="4">
        <v>87.0</v>
      </c>
      <c r="BY32" s="4">
        <v>5.0</v>
      </c>
      <c r="BZ32" s="4">
        <f t="shared" ref="BZ32:BZ33" si="164">0.5*10</f>
        <v>5</v>
      </c>
      <c r="CA32" s="4">
        <v>64.0</v>
      </c>
      <c r="CB32" s="4">
        <f t="shared" ref="CB32:CB33" si="165">0.5*10</f>
        <v>5</v>
      </c>
      <c r="CC32" s="4">
        <f t="shared" si="109"/>
        <v>2.5</v>
      </c>
      <c r="CD32" s="4">
        <f t="shared" ref="CD32:CF32" si="157">0.5*10</f>
        <v>5</v>
      </c>
      <c r="CE32" s="4">
        <f t="shared" si="157"/>
        <v>5</v>
      </c>
      <c r="CF32" s="4">
        <f t="shared" si="157"/>
        <v>5</v>
      </c>
      <c r="CG32" s="4">
        <v>4122.0</v>
      </c>
      <c r="CH32" s="4">
        <v>2669.0</v>
      </c>
      <c r="CI32" s="4">
        <f t="shared" si="111"/>
        <v>5</v>
      </c>
      <c r="CJ32" s="4"/>
      <c r="CK32" s="4">
        <f t="shared" si="154"/>
        <v>0.001</v>
      </c>
      <c r="CL32" s="4">
        <v>0.004</v>
      </c>
      <c r="CM32" s="4">
        <v>0.076</v>
      </c>
      <c r="CN32" s="4">
        <f t="shared" si="146"/>
        <v>0.05</v>
      </c>
      <c r="CO32" s="4"/>
      <c r="CP32" s="4">
        <v>148.94</v>
      </c>
      <c r="CQ32" s="4"/>
      <c r="CR32" s="4"/>
      <c r="CS32" s="4">
        <v>127.66</v>
      </c>
      <c r="CT32" s="4"/>
      <c r="CU32" s="4"/>
      <c r="CV32" s="4">
        <v>35.46</v>
      </c>
      <c r="CW32" s="4">
        <v>28829.79</v>
      </c>
      <c r="CX32" s="4">
        <v>617.02</v>
      </c>
      <c r="CY32" s="4">
        <v>35.46</v>
      </c>
      <c r="CZ32" s="4"/>
    </row>
    <row r="33">
      <c r="A33" s="4" t="s">
        <v>302</v>
      </c>
      <c r="B33" s="4" t="s">
        <v>303</v>
      </c>
      <c r="C33" s="5" t="s">
        <v>304</v>
      </c>
      <c r="D33" s="5" t="s">
        <v>305</v>
      </c>
      <c r="E33" s="4" t="s">
        <v>264</v>
      </c>
      <c r="F33" s="4" t="s">
        <v>109</v>
      </c>
      <c r="G33" s="4" t="s">
        <v>110</v>
      </c>
      <c r="H33" s="4" t="s">
        <v>306</v>
      </c>
      <c r="I33" s="4" t="s">
        <v>158</v>
      </c>
      <c r="J33" s="4" t="s">
        <v>307</v>
      </c>
      <c r="K33" s="4" t="s">
        <v>308</v>
      </c>
      <c r="L33" s="4">
        <v>-21.5046</v>
      </c>
      <c r="M33" s="4">
        <v>-65.7089</v>
      </c>
      <c r="N33" s="4">
        <v>1.228</v>
      </c>
      <c r="O33" s="4">
        <v>3.0</v>
      </c>
      <c r="P33" s="4">
        <v>668.0</v>
      </c>
      <c r="Q33" s="4">
        <v>93.4</v>
      </c>
      <c r="R33" s="4">
        <v>8.0</v>
      </c>
      <c r="S33" s="4">
        <v>-67.8</v>
      </c>
      <c r="T33" s="4">
        <v>1496.0</v>
      </c>
      <c r="U33" s="4">
        <v>0.7</v>
      </c>
      <c r="V33" s="4">
        <v>13.5</v>
      </c>
      <c r="W33" s="4">
        <v>4.66</v>
      </c>
      <c r="X33" s="4">
        <v>63.6</v>
      </c>
      <c r="Y33" s="4">
        <v>22.2</v>
      </c>
      <c r="Z33" s="4">
        <v>1334.0</v>
      </c>
      <c r="AA33" s="4">
        <v>1266.0</v>
      </c>
      <c r="AB33" s="4">
        <v>13.0</v>
      </c>
      <c r="AC33" s="4">
        <v>8.0</v>
      </c>
      <c r="AD33" s="4">
        <v>700.0</v>
      </c>
      <c r="AE33" s="4">
        <v>11.5</v>
      </c>
      <c r="AF33" s="4">
        <v>187.0</v>
      </c>
      <c r="AG33" s="4">
        <v>54.7</v>
      </c>
      <c r="AH33" s="4">
        <v>625.7</v>
      </c>
      <c r="AI33" s="4">
        <v>85.76</v>
      </c>
      <c r="AJ33" s="4">
        <v>92.3</v>
      </c>
      <c r="AK33" s="4">
        <v>72.2</v>
      </c>
      <c r="AL33" s="4">
        <v>8.1</v>
      </c>
      <c r="AM33" s="4">
        <v>99.11</v>
      </c>
      <c r="AN33" s="4">
        <v>93.26</v>
      </c>
      <c r="AO33" s="4">
        <v>73.5</v>
      </c>
      <c r="AP33" s="4">
        <v>8.1</v>
      </c>
      <c r="AQ33" s="4">
        <v>0.92</v>
      </c>
      <c r="AR33" s="4">
        <v>0.89</v>
      </c>
      <c r="AS33" s="4">
        <v>8.51</v>
      </c>
      <c r="AT33" s="4">
        <v>0.07</v>
      </c>
      <c r="AU33" s="4">
        <v>5.33</v>
      </c>
      <c r="AV33" s="4">
        <v>4.3</v>
      </c>
      <c r="AW33" s="4">
        <f t="shared" si="158"/>
        <v>1</v>
      </c>
      <c r="AX33" s="4">
        <v>16.0</v>
      </c>
      <c r="AY33" s="4">
        <f t="shared" si="159"/>
        <v>1</v>
      </c>
      <c r="AZ33" s="4">
        <f t="shared" si="160"/>
        <v>150000</v>
      </c>
      <c r="BA33" s="4">
        <f>1.5*100000</f>
        <v>150000</v>
      </c>
      <c r="BB33" s="4"/>
      <c r="BC33" s="4"/>
      <c r="BD33" s="4"/>
      <c r="BE33" s="4"/>
      <c r="BF33" s="4">
        <f t="shared" ref="BF33:BI33" si="161">0.5*10</f>
        <v>5</v>
      </c>
      <c r="BG33" s="4">
        <f t="shared" si="161"/>
        <v>5</v>
      </c>
      <c r="BH33" s="4">
        <f t="shared" si="161"/>
        <v>5</v>
      </c>
      <c r="BI33" s="4">
        <f t="shared" si="161"/>
        <v>5</v>
      </c>
      <c r="BJ33" s="4">
        <f t="shared" si="100"/>
        <v>2.5</v>
      </c>
      <c r="BK33" s="4">
        <f t="shared" si="162"/>
        <v>5</v>
      </c>
      <c r="BL33" s="4">
        <f t="shared" si="102"/>
        <v>2.5</v>
      </c>
      <c r="BM33" s="4">
        <f t="shared" si="103"/>
        <v>5</v>
      </c>
      <c r="BN33" s="4">
        <v>10.0</v>
      </c>
      <c r="BO33" s="4">
        <f t="shared" si="104"/>
        <v>5</v>
      </c>
      <c r="BP33" s="4">
        <f t="shared" si="105"/>
        <v>2.5</v>
      </c>
      <c r="BQ33" s="4">
        <f t="shared" ref="BQ33:BS33" si="163">0.5*10</f>
        <v>5</v>
      </c>
      <c r="BR33" s="4">
        <f t="shared" si="163"/>
        <v>5</v>
      </c>
      <c r="BS33" s="4">
        <f t="shared" si="163"/>
        <v>5</v>
      </c>
      <c r="BT33" s="4">
        <v>73.0</v>
      </c>
      <c r="BU33" s="4">
        <v>1766.0</v>
      </c>
      <c r="BV33" s="4">
        <f t="shared" si="107"/>
        <v>5</v>
      </c>
      <c r="BW33" s="4">
        <f t="shared" ref="BW33:BW34" si="169">0.5*5</f>
        <v>2.5</v>
      </c>
      <c r="BX33" s="4">
        <v>29.0</v>
      </c>
      <c r="BY33" s="4">
        <f>0.5*5</f>
        <v>2.5</v>
      </c>
      <c r="BZ33" s="4">
        <f t="shared" si="164"/>
        <v>5</v>
      </c>
      <c r="CA33" s="4">
        <v>45.0</v>
      </c>
      <c r="CB33" s="4">
        <f t="shared" si="165"/>
        <v>5</v>
      </c>
      <c r="CC33" s="4">
        <f t="shared" si="109"/>
        <v>2.5</v>
      </c>
      <c r="CD33" s="4">
        <f t="shared" ref="CD33:CF33" si="166">0.5*10</f>
        <v>5</v>
      </c>
      <c r="CE33" s="4">
        <f t="shared" si="166"/>
        <v>5</v>
      </c>
      <c r="CF33" s="4">
        <f t="shared" si="166"/>
        <v>5</v>
      </c>
      <c r="CG33" s="4">
        <v>77.0</v>
      </c>
      <c r="CH33" s="4">
        <v>1773.0</v>
      </c>
      <c r="CI33" s="4">
        <f t="shared" si="111"/>
        <v>5</v>
      </c>
      <c r="CJ33" s="4"/>
      <c r="CK33" s="4">
        <f t="shared" si="154"/>
        <v>0.001</v>
      </c>
      <c r="CL33" s="4">
        <v>0.001</v>
      </c>
      <c r="CM33" s="4">
        <v>0.051</v>
      </c>
      <c r="CN33" s="4">
        <f t="shared" si="146"/>
        <v>0.05</v>
      </c>
      <c r="CO33" s="4"/>
      <c r="CP33" s="4">
        <v>2692.31</v>
      </c>
      <c r="CQ33" s="4"/>
      <c r="CR33" s="4"/>
      <c r="CS33" s="4">
        <v>538.46</v>
      </c>
      <c r="CT33" s="4"/>
      <c r="CU33" s="4"/>
      <c r="CV33" s="4"/>
      <c r="CW33" s="4">
        <v>307.69</v>
      </c>
      <c r="CX33" s="4">
        <v>2230.77</v>
      </c>
      <c r="CY33" s="4"/>
      <c r="CZ33" s="4"/>
    </row>
    <row r="34">
      <c r="A34" s="4" t="s">
        <v>309</v>
      </c>
      <c r="B34" s="4" t="s">
        <v>310</v>
      </c>
      <c r="C34" s="5" t="s">
        <v>304</v>
      </c>
      <c r="D34" s="5" t="s">
        <v>311</v>
      </c>
      <c r="E34" s="4" t="s">
        <v>264</v>
      </c>
      <c r="F34" s="4" t="s">
        <v>109</v>
      </c>
      <c r="G34" s="4" t="s">
        <v>110</v>
      </c>
      <c r="H34" s="4" t="s">
        <v>309</v>
      </c>
      <c r="I34" s="4" t="s">
        <v>151</v>
      </c>
      <c r="J34" s="4" t="s">
        <v>312</v>
      </c>
      <c r="K34" s="4" t="s">
        <v>313</v>
      </c>
      <c r="L34" s="4">
        <v>-20.8213</v>
      </c>
      <c r="M34" s="4">
        <v>-65.6691</v>
      </c>
      <c r="N34" s="4">
        <v>1.529</v>
      </c>
      <c r="O34" s="4">
        <v>5.0</v>
      </c>
      <c r="P34" s="4">
        <v>626.0</v>
      </c>
      <c r="Q34" s="4">
        <v>154.6</v>
      </c>
      <c r="R34" s="4">
        <v>7.93</v>
      </c>
      <c r="S34" s="4">
        <v>-65.3</v>
      </c>
      <c r="T34" s="4">
        <v>1598.0</v>
      </c>
      <c r="U34" s="4">
        <v>0.8</v>
      </c>
      <c r="V34" s="4">
        <v>17.4</v>
      </c>
      <c r="W34" s="4">
        <v>7.12</v>
      </c>
      <c r="X34" s="4">
        <v>102.8</v>
      </c>
      <c r="Y34" s="4">
        <v>94.1</v>
      </c>
      <c r="Z34" s="4">
        <v>1668.0</v>
      </c>
      <c r="AA34" s="4">
        <v>1550.0</v>
      </c>
      <c r="AB34" s="4">
        <v>116.0</v>
      </c>
      <c r="AC34" s="4">
        <v>2.0</v>
      </c>
      <c r="AD34" s="4">
        <v>722.0</v>
      </c>
      <c r="AE34" s="4">
        <v>1.5</v>
      </c>
      <c r="AF34" s="4">
        <v>4.5</v>
      </c>
      <c r="AG34" s="4">
        <v>36.9</v>
      </c>
      <c r="AH34" s="4">
        <v>878.4</v>
      </c>
      <c r="AI34" s="4">
        <v>96.63</v>
      </c>
      <c r="AJ34" s="4">
        <v>115.83</v>
      </c>
      <c r="AK34" s="4">
        <v>60.6</v>
      </c>
      <c r="AL34" s="4">
        <v>7.7</v>
      </c>
      <c r="AM34" s="4">
        <v>98.16</v>
      </c>
      <c r="AN34" s="4">
        <v>117.27</v>
      </c>
      <c r="AO34" s="4">
        <v>60.6</v>
      </c>
      <c r="AP34" s="4">
        <v>7.7</v>
      </c>
      <c r="AQ34" s="4">
        <v>0.25</v>
      </c>
      <c r="AR34" s="4">
        <v>0.18</v>
      </c>
      <c r="AS34" s="4">
        <v>3.13</v>
      </c>
      <c r="AT34" s="4">
        <f t="shared" ref="AT34:AT36" si="171">0.5*0.02</f>
        <v>0.01</v>
      </c>
      <c r="AU34" s="4">
        <v>1.64</v>
      </c>
      <c r="AV34" s="4">
        <v>4.3</v>
      </c>
      <c r="AW34" s="4">
        <f t="shared" si="158"/>
        <v>1</v>
      </c>
      <c r="AX34" s="4">
        <f t="shared" ref="AX34:AX36" si="172">0.5*5</f>
        <v>2.5</v>
      </c>
      <c r="AY34" s="4">
        <f t="shared" si="159"/>
        <v>1</v>
      </c>
      <c r="AZ34" s="4">
        <v>121.0</v>
      </c>
      <c r="BA34" s="4">
        <v>78.0</v>
      </c>
      <c r="BB34" s="4"/>
      <c r="BC34" s="4"/>
      <c r="BD34" s="4"/>
      <c r="BE34" s="4"/>
      <c r="BF34" s="4">
        <f t="shared" ref="BF34:BI34" si="167">0.5*10</f>
        <v>5</v>
      </c>
      <c r="BG34" s="4">
        <f t="shared" si="167"/>
        <v>5</v>
      </c>
      <c r="BH34" s="4">
        <f t="shared" si="167"/>
        <v>5</v>
      </c>
      <c r="BI34" s="4">
        <f t="shared" si="167"/>
        <v>5</v>
      </c>
      <c r="BJ34" s="4">
        <f t="shared" si="100"/>
        <v>2.5</v>
      </c>
      <c r="BK34" s="4">
        <v>721.0</v>
      </c>
      <c r="BL34" s="4">
        <v>67.0</v>
      </c>
      <c r="BM34" s="4">
        <f t="shared" si="103"/>
        <v>5</v>
      </c>
      <c r="BN34" s="4">
        <v>117.0</v>
      </c>
      <c r="BO34" s="4">
        <f t="shared" si="104"/>
        <v>5</v>
      </c>
      <c r="BP34" s="4">
        <f t="shared" si="105"/>
        <v>2.5</v>
      </c>
      <c r="BQ34" s="4">
        <f t="shared" ref="BQ34:BS34" si="168">0.5*10</f>
        <v>5</v>
      </c>
      <c r="BR34" s="4">
        <f t="shared" si="168"/>
        <v>5</v>
      </c>
      <c r="BS34" s="4">
        <f t="shared" si="168"/>
        <v>5</v>
      </c>
      <c r="BT34" s="4">
        <v>64.0</v>
      </c>
      <c r="BU34" s="4">
        <v>1760.0</v>
      </c>
      <c r="BV34" s="4">
        <f t="shared" si="107"/>
        <v>5</v>
      </c>
      <c r="BW34" s="4">
        <f t="shared" si="169"/>
        <v>2.5</v>
      </c>
      <c r="BX34" s="4">
        <v>863.0</v>
      </c>
      <c r="BY34" s="4">
        <v>72.0</v>
      </c>
      <c r="BZ34" s="4">
        <v>27.0</v>
      </c>
      <c r="CA34" s="4">
        <v>225.0</v>
      </c>
      <c r="CB34" s="4">
        <v>13.0</v>
      </c>
      <c r="CC34" s="4">
        <f t="shared" si="109"/>
        <v>2.5</v>
      </c>
      <c r="CD34" s="4">
        <f t="shared" ref="CD34:CF34" si="170">0.5*10</f>
        <v>5</v>
      </c>
      <c r="CE34" s="4">
        <f t="shared" si="170"/>
        <v>5</v>
      </c>
      <c r="CF34" s="4">
        <f t="shared" si="170"/>
        <v>5</v>
      </c>
      <c r="CG34" s="4">
        <v>2904.0</v>
      </c>
      <c r="CH34" s="4">
        <v>1778.0</v>
      </c>
      <c r="CI34" s="4">
        <f t="shared" si="111"/>
        <v>5</v>
      </c>
      <c r="CJ34" s="4"/>
      <c r="CK34" s="4">
        <f t="shared" si="154"/>
        <v>0.001</v>
      </c>
      <c r="CL34" s="4">
        <f>0.5*0.001</f>
        <v>0.0005</v>
      </c>
      <c r="CM34" s="4">
        <v>0.057</v>
      </c>
      <c r="CN34" s="4">
        <f t="shared" si="146"/>
        <v>0.05</v>
      </c>
      <c r="CO34" s="4"/>
      <c r="CP34" s="4">
        <v>931.03</v>
      </c>
      <c r="CQ34" s="4"/>
      <c r="CR34" s="4">
        <v>112.07</v>
      </c>
      <c r="CS34" s="4">
        <v>155.17</v>
      </c>
      <c r="CT34" s="4"/>
      <c r="CU34" s="4">
        <v>232.76</v>
      </c>
      <c r="CV34" s="4"/>
      <c r="CW34" s="4">
        <v>24482.76</v>
      </c>
      <c r="CX34" s="4">
        <v>1224.14</v>
      </c>
      <c r="CY34" s="4">
        <v>43.1</v>
      </c>
      <c r="CZ34" s="4"/>
    </row>
    <row r="35">
      <c r="A35" s="4" t="s">
        <v>150</v>
      </c>
      <c r="B35" s="4" t="s">
        <v>314</v>
      </c>
      <c r="C35" s="5" t="s">
        <v>304</v>
      </c>
      <c r="D35" s="5" t="s">
        <v>315</v>
      </c>
      <c r="E35" s="4" t="s">
        <v>264</v>
      </c>
      <c r="F35" s="4" t="s">
        <v>109</v>
      </c>
      <c r="G35" s="4" t="s">
        <v>110</v>
      </c>
      <c r="H35" s="4" t="s">
        <v>150</v>
      </c>
      <c r="I35" s="4" t="s">
        <v>151</v>
      </c>
      <c r="J35" s="4" t="s">
        <v>316</v>
      </c>
      <c r="K35" s="4" t="s">
        <v>317</v>
      </c>
      <c r="L35" s="4">
        <v>-20.4875</v>
      </c>
      <c r="M35" s="4">
        <v>-65.6175</v>
      </c>
      <c r="N35" s="4">
        <v>1.305</v>
      </c>
      <c r="O35" s="4">
        <v>7.0</v>
      </c>
      <c r="P35" s="4">
        <v>1527.0</v>
      </c>
      <c r="Q35" s="4">
        <v>160.6</v>
      </c>
      <c r="R35" s="4">
        <v>8.31</v>
      </c>
      <c r="S35" s="4">
        <v>-84.2</v>
      </c>
      <c r="T35" s="4">
        <v>654.0</v>
      </c>
      <c r="U35" s="4">
        <v>0.2</v>
      </c>
      <c r="V35" s="4">
        <v>14.7</v>
      </c>
      <c r="W35" s="4">
        <v>7.79</v>
      </c>
      <c r="X35" s="4">
        <v>105.5</v>
      </c>
      <c r="Y35" s="4">
        <v>82.7</v>
      </c>
      <c r="Z35" s="4">
        <v>554.0</v>
      </c>
      <c r="AA35" s="4">
        <v>500.0</v>
      </c>
      <c r="AB35" s="4">
        <v>97.0</v>
      </c>
      <c r="AC35" s="4">
        <v>9.0</v>
      </c>
      <c r="AD35" s="4">
        <v>232.0</v>
      </c>
      <c r="AE35" s="4">
        <v>10.0</v>
      </c>
      <c r="AF35" s="4">
        <v>107.5</v>
      </c>
      <c r="AG35" s="4">
        <v>32.7</v>
      </c>
      <c r="AH35" s="4">
        <v>189.9</v>
      </c>
      <c r="AI35" s="4">
        <v>29.0</v>
      </c>
      <c r="AJ35" s="4">
        <v>28.52</v>
      </c>
      <c r="AK35" s="4">
        <v>43.8</v>
      </c>
      <c r="AL35" s="4">
        <v>6.0</v>
      </c>
      <c r="AM35" s="4">
        <v>33.89</v>
      </c>
      <c r="AN35" s="4">
        <v>28.9</v>
      </c>
      <c r="AO35" s="4">
        <v>43.6</v>
      </c>
      <c r="AP35" s="4">
        <v>6.3</v>
      </c>
      <c r="AQ35" s="4">
        <v>0.43</v>
      </c>
      <c r="AR35" s="4">
        <v>0.25</v>
      </c>
      <c r="AS35" s="4">
        <v>0.66</v>
      </c>
      <c r="AT35" s="4">
        <f t="shared" si="171"/>
        <v>0.01</v>
      </c>
      <c r="AU35" s="4">
        <v>1.4</v>
      </c>
      <c r="AV35" s="4">
        <v>3.6</v>
      </c>
      <c r="AW35" s="4">
        <f t="shared" si="158"/>
        <v>1</v>
      </c>
      <c r="AX35" s="4">
        <f t="shared" si="172"/>
        <v>2.5</v>
      </c>
      <c r="AY35" s="4">
        <f t="shared" si="159"/>
        <v>1</v>
      </c>
      <c r="AZ35" s="4">
        <v>180.0</v>
      </c>
      <c r="BA35" s="4">
        <v>40.0</v>
      </c>
      <c r="BB35" s="4"/>
      <c r="BC35" s="4"/>
      <c r="BD35" s="4"/>
      <c r="BE35" s="4"/>
      <c r="BF35" s="4">
        <f t="shared" ref="BF35:BI35" si="173">0.5*10</f>
        <v>5</v>
      </c>
      <c r="BG35" s="4">
        <f t="shared" si="173"/>
        <v>5</v>
      </c>
      <c r="BH35" s="4">
        <f t="shared" si="173"/>
        <v>5</v>
      </c>
      <c r="BI35" s="4">
        <f t="shared" si="173"/>
        <v>5</v>
      </c>
      <c r="BJ35" s="4">
        <f t="shared" si="100"/>
        <v>2.5</v>
      </c>
      <c r="BK35" s="4">
        <v>24.0</v>
      </c>
      <c r="BL35" s="4">
        <f t="shared" ref="BL35:BL39" si="178">0.5*5</f>
        <v>2.5</v>
      </c>
      <c r="BM35" s="4">
        <f t="shared" si="103"/>
        <v>5</v>
      </c>
      <c r="BN35" s="4">
        <f t="shared" ref="BN35:BO35" si="174">0.5*10</f>
        <v>5</v>
      </c>
      <c r="BO35" s="4">
        <f t="shared" si="174"/>
        <v>5</v>
      </c>
      <c r="BP35" s="4">
        <f t="shared" si="105"/>
        <v>2.5</v>
      </c>
      <c r="BQ35" s="4">
        <f t="shared" ref="BQ35:BS35" si="175">0.5*10</f>
        <v>5</v>
      </c>
      <c r="BR35" s="4">
        <f t="shared" si="175"/>
        <v>5</v>
      </c>
      <c r="BS35" s="4">
        <f t="shared" si="175"/>
        <v>5</v>
      </c>
      <c r="BT35" s="4">
        <v>118.0</v>
      </c>
      <c r="BU35" s="4">
        <v>810.0</v>
      </c>
      <c r="BV35" s="4">
        <f t="shared" si="107"/>
        <v>5</v>
      </c>
      <c r="BW35" s="4">
        <v>7.0</v>
      </c>
      <c r="BX35" s="4">
        <v>101.0</v>
      </c>
      <c r="BY35" s="4">
        <v>6.0</v>
      </c>
      <c r="BZ35" s="4">
        <f t="shared" ref="BZ35:BZ36" si="180">0.5*10</f>
        <v>5</v>
      </c>
      <c r="CA35" s="4">
        <v>90.0</v>
      </c>
      <c r="CB35" s="4">
        <f t="shared" ref="CB35:CB37" si="181">0.5*10</f>
        <v>5</v>
      </c>
      <c r="CC35" s="4">
        <f t="shared" si="109"/>
        <v>2.5</v>
      </c>
      <c r="CD35" s="4">
        <f t="shared" ref="CD35:CF35" si="176">0.5*10</f>
        <v>5</v>
      </c>
      <c r="CE35" s="4">
        <f t="shared" si="176"/>
        <v>5</v>
      </c>
      <c r="CF35" s="4">
        <f t="shared" si="176"/>
        <v>5</v>
      </c>
      <c r="CG35" s="4">
        <v>3552.0</v>
      </c>
      <c r="CH35" s="4">
        <v>892.0</v>
      </c>
      <c r="CI35" s="4">
        <f t="shared" si="111"/>
        <v>5</v>
      </c>
      <c r="CJ35" s="4"/>
      <c r="CK35" s="4">
        <f t="shared" si="154"/>
        <v>0.001</v>
      </c>
      <c r="CL35" s="4">
        <v>0.001</v>
      </c>
      <c r="CM35" s="4">
        <v>0.062</v>
      </c>
      <c r="CN35" s="4">
        <f t="shared" si="146"/>
        <v>0.05</v>
      </c>
      <c r="CO35" s="4"/>
      <c r="CP35" s="4">
        <v>927.84</v>
      </c>
      <c r="CQ35" s="4"/>
      <c r="CR35" s="4"/>
      <c r="CS35" s="4">
        <v>845.36</v>
      </c>
      <c r="CT35" s="4"/>
      <c r="CU35" s="4"/>
      <c r="CV35" s="4">
        <v>72.16</v>
      </c>
      <c r="CW35" s="4">
        <v>35402.06</v>
      </c>
      <c r="CX35" s="4">
        <v>793.81</v>
      </c>
      <c r="CY35" s="4">
        <v>61.86</v>
      </c>
      <c r="CZ35" s="4"/>
    </row>
    <row r="36">
      <c r="A36" s="4" t="s">
        <v>318</v>
      </c>
      <c r="B36" s="4" t="s">
        <v>319</v>
      </c>
      <c r="C36" s="5" t="s">
        <v>320</v>
      </c>
      <c r="D36" s="5" t="s">
        <v>321</v>
      </c>
      <c r="E36" s="4" t="s">
        <v>264</v>
      </c>
      <c r="F36" s="4" t="s">
        <v>109</v>
      </c>
      <c r="G36" s="4" t="s">
        <v>110</v>
      </c>
      <c r="H36" s="4" t="s">
        <v>322</v>
      </c>
      <c r="I36" s="4" t="s">
        <v>119</v>
      </c>
      <c r="J36" s="4" t="s">
        <v>323</v>
      </c>
      <c r="K36" s="4" t="s">
        <v>324</v>
      </c>
      <c r="L36" s="4">
        <v>-19.5977</v>
      </c>
      <c r="M36" s="4">
        <v>-65.7313</v>
      </c>
      <c r="N36" s="4"/>
      <c r="O36" s="4"/>
      <c r="P36" s="4">
        <v>5020.0</v>
      </c>
      <c r="Q36" s="4">
        <v>112.8</v>
      </c>
      <c r="R36" s="4">
        <v>7.61</v>
      </c>
      <c r="S36" s="4">
        <v>-47.9</v>
      </c>
      <c r="T36" s="4">
        <v>199.2</v>
      </c>
      <c r="U36" s="4">
        <v>0.0</v>
      </c>
      <c r="V36" s="4">
        <v>11.9</v>
      </c>
      <c r="W36" s="4">
        <v>5.82</v>
      </c>
      <c r="X36" s="4">
        <v>90.3</v>
      </c>
      <c r="Y36" s="4">
        <v>4.79</v>
      </c>
      <c r="Z36" s="4">
        <v>120.0</v>
      </c>
      <c r="AA36" s="4">
        <v>114.0</v>
      </c>
      <c r="AB36" s="4">
        <v>1.0</v>
      </c>
      <c r="AC36" s="4">
        <v>7.0</v>
      </c>
      <c r="AD36" s="4">
        <v>84.0</v>
      </c>
      <c r="AE36" s="4">
        <v>5.0</v>
      </c>
      <c r="AF36" s="4">
        <v>84.0</v>
      </c>
      <c r="AG36" s="4">
        <v>3.7</v>
      </c>
      <c r="AH36" s="4">
        <v>8.5</v>
      </c>
      <c r="AI36" s="4">
        <v>19.53</v>
      </c>
      <c r="AJ36" s="4">
        <v>2.28</v>
      </c>
      <c r="AK36" s="4">
        <v>5.6</v>
      </c>
      <c r="AL36" s="4">
        <v>3.4</v>
      </c>
      <c r="AM36" s="4">
        <v>26.27</v>
      </c>
      <c r="AN36" s="4">
        <v>2.67</v>
      </c>
      <c r="AO36" s="4">
        <v>6.6</v>
      </c>
      <c r="AP36" s="4">
        <v>4.3</v>
      </c>
      <c r="AQ36" s="4">
        <v>0.09</v>
      </c>
      <c r="AR36" s="4">
        <v>0.06</v>
      </c>
      <c r="AS36" s="4">
        <v>0.19</v>
      </c>
      <c r="AT36" s="4">
        <f t="shared" si="171"/>
        <v>0.01</v>
      </c>
      <c r="AU36" s="4">
        <v>2.5</v>
      </c>
      <c r="AV36" s="4">
        <v>2.9</v>
      </c>
      <c r="AW36" s="4">
        <f t="shared" si="158"/>
        <v>1</v>
      </c>
      <c r="AX36" s="4">
        <f t="shared" si="172"/>
        <v>2.5</v>
      </c>
      <c r="AY36" s="4">
        <f t="shared" si="159"/>
        <v>1</v>
      </c>
      <c r="AZ36" s="4">
        <v>88.0</v>
      </c>
      <c r="BA36" s="4">
        <v>3.0</v>
      </c>
      <c r="BB36" s="4">
        <v>9.0</v>
      </c>
      <c r="BC36" s="4"/>
      <c r="BD36" s="4"/>
      <c r="BE36" s="4"/>
      <c r="BF36" s="4">
        <f t="shared" ref="BF36:BI36" si="177">0.5*10</f>
        <v>5</v>
      </c>
      <c r="BG36" s="4">
        <f t="shared" si="177"/>
        <v>5</v>
      </c>
      <c r="BH36" s="4">
        <f t="shared" si="177"/>
        <v>5</v>
      </c>
      <c r="BI36" s="4">
        <f t="shared" si="177"/>
        <v>5</v>
      </c>
      <c r="BJ36" s="4">
        <f t="shared" si="100"/>
        <v>2.5</v>
      </c>
      <c r="BK36" s="4">
        <v>175.0</v>
      </c>
      <c r="BL36" s="4">
        <f t="shared" si="178"/>
        <v>2.5</v>
      </c>
      <c r="BM36" s="4">
        <f t="shared" si="103"/>
        <v>5</v>
      </c>
      <c r="BN36" s="4">
        <v>42.0</v>
      </c>
      <c r="BO36" s="4">
        <f t="shared" ref="BO36:BO38" si="184">0.5*10</f>
        <v>5</v>
      </c>
      <c r="BP36" s="4">
        <f t="shared" si="105"/>
        <v>2.5</v>
      </c>
      <c r="BQ36" s="4">
        <f t="shared" ref="BQ36:BS36" si="179">0.5*10</f>
        <v>5</v>
      </c>
      <c r="BR36" s="4">
        <f t="shared" si="179"/>
        <v>5</v>
      </c>
      <c r="BS36" s="4">
        <f t="shared" si="179"/>
        <v>5</v>
      </c>
      <c r="BT36" s="4">
        <v>1189.0</v>
      </c>
      <c r="BU36" s="4">
        <v>125.0</v>
      </c>
      <c r="BV36" s="4">
        <f t="shared" si="107"/>
        <v>5</v>
      </c>
      <c r="BW36" s="4">
        <f t="shared" ref="BW36:BW43" si="186">0.5*5</f>
        <v>2.5</v>
      </c>
      <c r="BX36" s="4">
        <v>179.0</v>
      </c>
      <c r="BY36" s="4">
        <f t="shared" ref="BY36:BY37" si="187">0.5*5</f>
        <v>2.5</v>
      </c>
      <c r="BZ36" s="4">
        <f t="shared" si="180"/>
        <v>5</v>
      </c>
      <c r="CA36" s="4">
        <v>619.0</v>
      </c>
      <c r="CB36" s="4">
        <f t="shared" si="181"/>
        <v>5</v>
      </c>
      <c r="CC36" s="4">
        <f t="shared" si="109"/>
        <v>2.5</v>
      </c>
      <c r="CD36" s="4">
        <f t="shared" ref="CD36:CF36" si="182">0.5*10</f>
        <v>5</v>
      </c>
      <c r="CE36" s="4">
        <f t="shared" si="182"/>
        <v>5</v>
      </c>
      <c r="CF36" s="4">
        <f t="shared" si="182"/>
        <v>5</v>
      </c>
      <c r="CG36" s="4">
        <v>2737.0</v>
      </c>
      <c r="CH36" s="4">
        <v>134.0</v>
      </c>
      <c r="CI36" s="4">
        <f t="shared" si="111"/>
        <v>5</v>
      </c>
      <c r="CJ36" s="4"/>
      <c r="CK36" s="4">
        <f t="shared" si="154"/>
        <v>0.001</v>
      </c>
      <c r="CL36" s="4">
        <f>0.5*0.001</f>
        <v>0.0005</v>
      </c>
      <c r="CM36" s="4"/>
      <c r="CN36" s="4"/>
      <c r="CO36" s="4"/>
      <c r="CP36" s="4">
        <v>577000.0</v>
      </c>
      <c r="CQ36" s="4"/>
      <c r="CR36" s="4"/>
      <c r="CS36" s="4">
        <v>9000.0</v>
      </c>
      <c r="CT36" s="4"/>
      <c r="CU36" s="4"/>
      <c r="CV36" s="4"/>
      <c r="CW36" s="4">
        <v>1548000.0</v>
      </c>
      <c r="CX36" s="4">
        <v>4000.0</v>
      </c>
      <c r="CY36" s="4"/>
      <c r="CZ36" s="4"/>
    </row>
    <row r="37">
      <c r="A37" s="4" t="s">
        <v>104</v>
      </c>
      <c r="B37" s="4" t="s">
        <v>105</v>
      </c>
      <c r="C37" s="5" t="s">
        <v>325</v>
      </c>
      <c r="D37" s="5" t="s">
        <v>326</v>
      </c>
      <c r="E37" s="4" t="s">
        <v>264</v>
      </c>
      <c r="F37" s="4" t="s">
        <v>109</v>
      </c>
      <c r="G37" s="4" t="s">
        <v>110</v>
      </c>
      <c r="H37" s="4" t="s">
        <v>111</v>
      </c>
      <c r="I37" s="4" t="s">
        <v>112</v>
      </c>
      <c r="J37" s="4" t="s">
        <v>327</v>
      </c>
      <c r="K37" s="4" t="s">
        <v>328</v>
      </c>
      <c r="L37" s="4">
        <v>-19.4071</v>
      </c>
      <c r="M37" s="4">
        <v>-64.8639</v>
      </c>
      <c r="N37" s="4">
        <v>0.947</v>
      </c>
      <c r="O37" s="4">
        <v>19.0</v>
      </c>
      <c r="P37" s="4">
        <v>812.0</v>
      </c>
      <c r="Q37" s="4">
        <v>190.9</v>
      </c>
      <c r="R37" s="4">
        <v>8.66</v>
      </c>
      <c r="S37" s="4">
        <v>-102.2</v>
      </c>
      <c r="T37" s="4">
        <v>1231.0</v>
      </c>
      <c r="U37" s="4">
        <v>0.6</v>
      </c>
      <c r="V37" s="4">
        <v>16.5</v>
      </c>
      <c r="W37" s="4">
        <v>8.93</v>
      </c>
      <c r="X37" s="4">
        <v>117.0</v>
      </c>
      <c r="Y37" s="4">
        <v>25.0</v>
      </c>
      <c r="Z37" s="4">
        <v>766.0</v>
      </c>
      <c r="AA37" s="4">
        <v>760.0</v>
      </c>
      <c r="AB37" s="4">
        <v>3.0</v>
      </c>
      <c r="AC37" s="4">
        <v>6.0</v>
      </c>
      <c r="AD37" s="4">
        <v>296.0</v>
      </c>
      <c r="AE37" s="4">
        <v>12.0</v>
      </c>
      <c r="AF37" s="4">
        <v>144.0</v>
      </c>
      <c r="AG37" s="4">
        <v>194.0</v>
      </c>
      <c r="AH37" s="4">
        <v>227.6</v>
      </c>
      <c r="AI37" s="4">
        <v>45.55</v>
      </c>
      <c r="AJ37" s="4">
        <v>30.39</v>
      </c>
      <c r="AK37" s="4">
        <v>140.8</v>
      </c>
      <c r="AL37" s="4">
        <v>9.8</v>
      </c>
      <c r="AM37" s="4">
        <v>56.14</v>
      </c>
      <c r="AN37" s="4">
        <v>31.86</v>
      </c>
      <c r="AO37" s="4">
        <v>146.7</v>
      </c>
      <c r="AP37" s="4">
        <v>12.2</v>
      </c>
      <c r="AQ37" s="4">
        <v>0.34</v>
      </c>
      <c r="AR37" s="4">
        <v>0.25</v>
      </c>
      <c r="AS37" s="4">
        <v>0.8</v>
      </c>
      <c r="AT37" s="4">
        <v>0.08</v>
      </c>
      <c r="AU37" s="4">
        <v>2.38</v>
      </c>
      <c r="AV37" s="4">
        <v>4.3</v>
      </c>
      <c r="AW37" s="4">
        <f t="shared" si="158"/>
        <v>1</v>
      </c>
      <c r="AX37" s="4"/>
      <c r="AY37" s="4">
        <f t="shared" si="159"/>
        <v>1</v>
      </c>
      <c r="AZ37" s="4"/>
      <c r="BA37" s="4"/>
      <c r="BB37" s="4"/>
      <c r="BC37" s="4"/>
      <c r="BD37" s="4"/>
      <c r="BE37" s="4"/>
      <c r="BF37" s="4">
        <f t="shared" ref="BF37:BI37" si="183">0.5*10</f>
        <v>5</v>
      </c>
      <c r="BG37" s="4">
        <f t="shared" si="183"/>
        <v>5</v>
      </c>
      <c r="BH37" s="4">
        <f t="shared" si="183"/>
        <v>5</v>
      </c>
      <c r="BI37" s="4">
        <f t="shared" si="183"/>
        <v>5</v>
      </c>
      <c r="BJ37" s="4">
        <f t="shared" si="100"/>
        <v>2.5</v>
      </c>
      <c r="BK37" s="4">
        <v>35.0</v>
      </c>
      <c r="BL37" s="4">
        <f t="shared" si="178"/>
        <v>2.5</v>
      </c>
      <c r="BM37" s="4">
        <f t="shared" si="103"/>
        <v>5</v>
      </c>
      <c r="BN37" s="4">
        <v>176.0</v>
      </c>
      <c r="BO37" s="4">
        <f t="shared" si="184"/>
        <v>5</v>
      </c>
      <c r="BP37" s="4">
        <f t="shared" si="105"/>
        <v>2.5</v>
      </c>
      <c r="BQ37" s="4">
        <f t="shared" ref="BQ37:BS37" si="185">0.5*10</f>
        <v>5</v>
      </c>
      <c r="BR37" s="4">
        <f t="shared" si="185"/>
        <v>5</v>
      </c>
      <c r="BS37" s="4">
        <f t="shared" si="185"/>
        <v>5</v>
      </c>
      <c r="BT37" s="4">
        <v>108.0</v>
      </c>
      <c r="BU37" s="4">
        <v>722.0</v>
      </c>
      <c r="BV37" s="4">
        <f t="shared" si="107"/>
        <v>5</v>
      </c>
      <c r="BW37" s="4">
        <f t="shared" si="186"/>
        <v>2.5</v>
      </c>
      <c r="BX37" s="4">
        <v>125.0</v>
      </c>
      <c r="BY37" s="4">
        <f t="shared" si="187"/>
        <v>2.5</v>
      </c>
      <c r="BZ37" s="4">
        <v>10.0</v>
      </c>
      <c r="CA37" s="4">
        <v>207.0</v>
      </c>
      <c r="CB37" s="4">
        <f t="shared" si="181"/>
        <v>5</v>
      </c>
      <c r="CC37" s="4">
        <f t="shared" si="109"/>
        <v>2.5</v>
      </c>
      <c r="CD37" s="4">
        <f t="shared" ref="CD37:CF37" si="188">0.5*10</f>
        <v>5</v>
      </c>
      <c r="CE37" s="4">
        <f t="shared" si="188"/>
        <v>5</v>
      </c>
      <c r="CF37" s="4">
        <f t="shared" si="188"/>
        <v>5</v>
      </c>
      <c r="CG37" s="4">
        <v>570.0</v>
      </c>
      <c r="CH37" s="4">
        <v>785.0</v>
      </c>
      <c r="CI37" s="4">
        <f t="shared" si="111"/>
        <v>5</v>
      </c>
      <c r="CJ37" s="4"/>
      <c r="CK37" s="4">
        <f t="shared" si="154"/>
        <v>0.001</v>
      </c>
      <c r="CL37" s="4">
        <v>0.001</v>
      </c>
      <c r="CM37" s="4">
        <v>0.055</v>
      </c>
      <c r="CN37" s="4">
        <f t="shared" ref="CN37:CN43" si="192">0.5*0.1</f>
        <v>0.05</v>
      </c>
      <c r="CO37" s="4"/>
      <c r="CP37" s="4">
        <v>10333.33</v>
      </c>
      <c r="CQ37" s="4"/>
      <c r="CR37" s="4"/>
      <c r="CS37" s="4">
        <v>21000.0</v>
      </c>
      <c r="CT37" s="4"/>
      <c r="CU37" s="4">
        <v>3333.33</v>
      </c>
      <c r="CV37" s="4"/>
      <c r="CW37" s="4">
        <v>154000.0</v>
      </c>
      <c r="CX37" s="4">
        <v>30000.0</v>
      </c>
      <c r="CY37" s="4"/>
      <c r="CZ37" s="4"/>
    </row>
    <row r="38">
      <c r="A38" s="4" t="s">
        <v>115</v>
      </c>
      <c r="B38" s="4" t="s">
        <v>116</v>
      </c>
      <c r="C38" s="5" t="s">
        <v>329</v>
      </c>
      <c r="D38" s="5" t="s">
        <v>217</v>
      </c>
      <c r="E38" s="4" t="s">
        <v>264</v>
      </c>
      <c r="F38" s="4" t="s">
        <v>109</v>
      </c>
      <c r="G38" s="4" t="s">
        <v>110</v>
      </c>
      <c r="H38" s="4" t="s">
        <v>111</v>
      </c>
      <c r="I38" s="4" t="s">
        <v>119</v>
      </c>
      <c r="J38" s="4" t="s">
        <v>330</v>
      </c>
      <c r="K38" s="4" t="s">
        <v>331</v>
      </c>
      <c r="L38" s="4">
        <v>-19.1303</v>
      </c>
      <c r="M38" s="4">
        <v>-65.4511</v>
      </c>
      <c r="N38" s="4"/>
      <c r="O38" s="4"/>
      <c r="P38" s="4">
        <v>780.0</v>
      </c>
      <c r="Q38" s="4">
        <v>160.1</v>
      </c>
      <c r="R38" s="4">
        <v>8.37</v>
      </c>
      <c r="S38" s="4">
        <v>-86.6</v>
      </c>
      <c r="T38" s="4">
        <v>1282.0</v>
      </c>
      <c r="U38" s="4">
        <v>0.6</v>
      </c>
      <c r="V38" s="4">
        <v>11.6</v>
      </c>
      <c r="W38" s="4">
        <v>8.29</v>
      </c>
      <c r="X38" s="4">
        <v>104.0</v>
      </c>
      <c r="Y38" s="4">
        <v>63.4</v>
      </c>
      <c r="Z38" s="4">
        <v>802.0</v>
      </c>
      <c r="AA38" s="4">
        <v>756.0</v>
      </c>
      <c r="AB38" s="4">
        <v>40.0</v>
      </c>
      <c r="AC38" s="4">
        <v>7.0</v>
      </c>
      <c r="AD38" s="4">
        <v>240.0</v>
      </c>
      <c r="AE38" s="4">
        <v>8.0</v>
      </c>
      <c r="AF38" s="4">
        <v>116.5</v>
      </c>
      <c r="AG38" s="4">
        <v>235.8</v>
      </c>
      <c r="AH38" s="4">
        <v>180.4</v>
      </c>
      <c r="AI38" s="4">
        <v>47.15</v>
      </c>
      <c r="AJ38" s="4">
        <v>17.15</v>
      </c>
      <c r="AK38" s="4">
        <v>162.3</v>
      </c>
      <c r="AL38" s="4">
        <v>11.5</v>
      </c>
      <c r="AM38" s="4">
        <v>47.2</v>
      </c>
      <c r="AN38" s="4">
        <v>17.88</v>
      </c>
      <c r="AO38" s="4">
        <v>163.0</v>
      </c>
      <c r="AP38" s="4">
        <v>14.2</v>
      </c>
      <c r="AQ38" s="4">
        <v>0.34</v>
      </c>
      <c r="AR38" s="4">
        <v>0.28</v>
      </c>
      <c r="AS38" s="4">
        <v>1.47</v>
      </c>
      <c r="AT38" s="4">
        <v>0.2</v>
      </c>
      <c r="AU38" s="4">
        <v>5.57</v>
      </c>
      <c r="AV38" s="4">
        <v>3.6</v>
      </c>
      <c r="AW38" s="4">
        <f t="shared" si="158"/>
        <v>1</v>
      </c>
      <c r="AX38" s="4"/>
      <c r="AY38" s="4">
        <f t="shared" si="159"/>
        <v>1</v>
      </c>
      <c r="AZ38" s="4"/>
      <c r="BA38" s="4"/>
      <c r="BB38" s="4"/>
      <c r="BC38" s="4"/>
      <c r="BD38" s="4"/>
      <c r="BE38" s="4"/>
      <c r="BF38" s="4">
        <f t="shared" ref="BF38:BI38" si="189">0.5*10</f>
        <v>5</v>
      </c>
      <c r="BG38" s="4">
        <f t="shared" si="189"/>
        <v>5</v>
      </c>
      <c r="BH38" s="4">
        <f t="shared" si="189"/>
        <v>5</v>
      </c>
      <c r="BI38" s="4">
        <f t="shared" si="189"/>
        <v>5</v>
      </c>
      <c r="BJ38" s="4">
        <f t="shared" si="100"/>
        <v>2.5</v>
      </c>
      <c r="BK38" s="4">
        <v>240.0</v>
      </c>
      <c r="BL38" s="4">
        <f t="shared" si="178"/>
        <v>2.5</v>
      </c>
      <c r="BM38" s="4">
        <f t="shared" si="103"/>
        <v>5</v>
      </c>
      <c r="BN38" s="4">
        <v>360.0</v>
      </c>
      <c r="BO38" s="4">
        <f t="shared" si="184"/>
        <v>5</v>
      </c>
      <c r="BP38" s="4">
        <f t="shared" si="105"/>
        <v>2.5</v>
      </c>
      <c r="BQ38" s="4">
        <f t="shared" ref="BQ38:BS38" si="190">0.5*10</f>
        <v>5</v>
      </c>
      <c r="BR38" s="4">
        <f t="shared" si="190"/>
        <v>5</v>
      </c>
      <c r="BS38" s="4">
        <f t="shared" si="190"/>
        <v>5</v>
      </c>
      <c r="BT38" s="4">
        <v>109.0</v>
      </c>
      <c r="BU38" s="4">
        <v>1122.0</v>
      </c>
      <c r="BV38" s="4">
        <f t="shared" si="107"/>
        <v>5</v>
      </c>
      <c r="BW38" s="4">
        <f t="shared" si="186"/>
        <v>2.5</v>
      </c>
      <c r="BX38" s="4">
        <v>366.0</v>
      </c>
      <c r="BY38" s="4">
        <v>5.0</v>
      </c>
      <c r="BZ38" s="4">
        <v>28.0</v>
      </c>
      <c r="CA38" s="4">
        <v>1199.0</v>
      </c>
      <c r="CB38" s="4">
        <v>43.0</v>
      </c>
      <c r="CC38" s="4">
        <f t="shared" si="109"/>
        <v>2.5</v>
      </c>
      <c r="CD38" s="4">
        <v>24.0</v>
      </c>
      <c r="CE38" s="4">
        <f t="shared" ref="CE38:CF38" si="191">0.5*10</f>
        <v>5</v>
      </c>
      <c r="CF38" s="4">
        <f t="shared" si="191"/>
        <v>5</v>
      </c>
      <c r="CG38" s="4">
        <v>3319.0</v>
      </c>
      <c r="CH38" s="4">
        <v>1127.0</v>
      </c>
      <c r="CI38" s="4">
        <f t="shared" si="111"/>
        <v>5</v>
      </c>
      <c r="CJ38" s="4"/>
      <c r="CK38" s="4">
        <f t="shared" si="154"/>
        <v>0.001</v>
      </c>
      <c r="CL38" s="4">
        <v>0.005</v>
      </c>
      <c r="CM38" s="4">
        <v>0.053</v>
      </c>
      <c r="CN38" s="4">
        <f t="shared" si="192"/>
        <v>0.05</v>
      </c>
      <c r="CO38" s="4"/>
      <c r="CP38" s="4">
        <v>20975.0</v>
      </c>
      <c r="CQ38" s="4">
        <v>312.5</v>
      </c>
      <c r="CR38" s="4">
        <v>1075.0</v>
      </c>
      <c r="CS38" s="4">
        <v>125.0</v>
      </c>
      <c r="CT38" s="4"/>
      <c r="CU38" s="4">
        <v>700.0</v>
      </c>
      <c r="CV38" s="4"/>
      <c r="CW38" s="4">
        <v>80250.0</v>
      </c>
      <c r="CX38" s="4">
        <v>3150.0</v>
      </c>
      <c r="CY38" s="4">
        <v>125.0</v>
      </c>
      <c r="CZ38" s="4"/>
    </row>
    <row r="39">
      <c r="A39" s="4" t="s">
        <v>332</v>
      </c>
      <c r="B39" s="4" t="s">
        <v>333</v>
      </c>
      <c r="C39" s="5" t="s">
        <v>334</v>
      </c>
      <c r="D39" s="5" t="s">
        <v>335</v>
      </c>
      <c r="E39" s="4" t="s">
        <v>264</v>
      </c>
      <c r="F39" s="4" t="s">
        <v>109</v>
      </c>
      <c r="G39" s="4" t="s">
        <v>110</v>
      </c>
      <c r="H39" s="4" t="s">
        <v>111</v>
      </c>
      <c r="I39" s="4" t="s">
        <v>112</v>
      </c>
      <c r="J39" s="4" t="s">
        <v>336</v>
      </c>
      <c r="K39" s="4" t="s">
        <v>337</v>
      </c>
      <c r="L39" s="4">
        <v>-19.3139</v>
      </c>
      <c r="M39" s="4">
        <v>-65.2675</v>
      </c>
      <c r="N39" s="4"/>
      <c r="O39" s="4"/>
      <c r="P39" s="4">
        <v>828.0</v>
      </c>
      <c r="Q39" s="4">
        <v>156.8</v>
      </c>
      <c r="R39" s="4">
        <v>8.51</v>
      </c>
      <c r="S39" s="4">
        <v>-94.7</v>
      </c>
      <c r="T39" s="4">
        <v>1208.0</v>
      </c>
      <c r="U39" s="4">
        <v>0.6</v>
      </c>
      <c r="V39" s="4">
        <v>18.0</v>
      </c>
      <c r="W39" s="4">
        <v>7.13</v>
      </c>
      <c r="X39" s="4">
        <v>99.8</v>
      </c>
      <c r="Y39" s="4">
        <v>59.6</v>
      </c>
      <c r="Z39" s="4">
        <v>814.0</v>
      </c>
      <c r="AA39" s="4">
        <v>734.0</v>
      </c>
      <c r="AB39" s="4">
        <v>62.0</v>
      </c>
      <c r="AC39" s="4">
        <v>6.0</v>
      </c>
      <c r="AD39" s="4">
        <v>244.0</v>
      </c>
      <c r="AE39" s="4">
        <v>6.5</v>
      </c>
      <c r="AF39" s="4">
        <v>118.5</v>
      </c>
      <c r="AG39" s="4">
        <v>210.9</v>
      </c>
      <c r="AH39" s="4">
        <v>174.2</v>
      </c>
      <c r="AI39" s="4">
        <v>53.29</v>
      </c>
      <c r="AJ39" s="4">
        <v>18.75</v>
      </c>
      <c r="AK39" s="4">
        <v>141.3</v>
      </c>
      <c r="AL39" s="4">
        <v>8.3</v>
      </c>
      <c r="AM39" s="4">
        <v>54.44</v>
      </c>
      <c r="AN39" s="4">
        <v>19.13</v>
      </c>
      <c r="AO39" s="4">
        <v>144.1</v>
      </c>
      <c r="AP39" s="4">
        <v>9.3</v>
      </c>
      <c r="AQ39" s="4">
        <v>0.18</v>
      </c>
      <c r="AR39" s="4">
        <v>0.18</v>
      </c>
      <c r="AS39" s="4">
        <v>0.76</v>
      </c>
      <c r="AT39" s="4">
        <v>0.16</v>
      </c>
      <c r="AU39" s="4">
        <v>3.73</v>
      </c>
      <c r="AV39" s="4">
        <v>7.1</v>
      </c>
      <c r="AW39" s="4">
        <f t="shared" si="158"/>
        <v>1</v>
      </c>
      <c r="AX39" s="4">
        <f t="shared" ref="AX39:AX43" si="196">0.5*5</f>
        <v>2.5</v>
      </c>
      <c r="AY39" s="4">
        <f t="shared" si="159"/>
        <v>1</v>
      </c>
      <c r="AZ39" s="4">
        <v>40.0</v>
      </c>
      <c r="BA39" s="4">
        <v>8.0</v>
      </c>
      <c r="BB39" s="4">
        <v>0.0</v>
      </c>
      <c r="BC39" s="4"/>
      <c r="BD39" s="4"/>
      <c r="BE39" s="4"/>
      <c r="BF39" s="4">
        <f t="shared" ref="BF39:BI39" si="193">0.5*10</f>
        <v>5</v>
      </c>
      <c r="BG39" s="4">
        <f t="shared" si="193"/>
        <v>5</v>
      </c>
      <c r="BH39" s="4">
        <f t="shared" si="193"/>
        <v>5</v>
      </c>
      <c r="BI39" s="4">
        <f t="shared" si="193"/>
        <v>5</v>
      </c>
      <c r="BJ39" s="4">
        <f t="shared" si="100"/>
        <v>2.5</v>
      </c>
      <c r="BK39" s="4">
        <v>92.0</v>
      </c>
      <c r="BL39" s="4">
        <f t="shared" si="178"/>
        <v>2.5</v>
      </c>
      <c r="BM39" s="4">
        <f t="shared" si="103"/>
        <v>5</v>
      </c>
      <c r="BN39" s="4">
        <v>323.0</v>
      </c>
      <c r="BO39" s="4">
        <v>15.0</v>
      </c>
      <c r="BP39" s="4">
        <f t="shared" si="105"/>
        <v>2.5</v>
      </c>
      <c r="BQ39" s="4">
        <f t="shared" ref="BQ39:BS39" si="194">0.5*10</f>
        <v>5</v>
      </c>
      <c r="BR39" s="4">
        <f t="shared" si="194"/>
        <v>5</v>
      </c>
      <c r="BS39" s="4">
        <f t="shared" si="194"/>
        <v>5</v>
      </c>
      <c r="BT39" s="4">
        <v>1174.0</v>
      </c>
      <c r="BU39" s="4">
        <v>1011.0</v>
      </c>
      <c r="BV39" s="4">
        <f t="shared" si="107"/>
        <v>5</v>
      </c>
      <c r="BW39" s="4">
        <f t="shared" si="186"/>
        <v>2.5</v>
      </c>
      <c r="BX39" s="4">
        <v>251.0</v>
      </c>
      <c r="BY39" s="4">
        <f>0.5*5</f>
        <v>2.5</v>
      </c>
      <c r="BZ39" s="4">
        <v>17.0</v>
      </c>
      <c r="CA39" s="4">
        <v>592.0</v>
      </c>
      <c r="CB39" s="4">
        <v>33.0</v>
      </c>
      <c r="CC39" s="4">
        <f t="shared" si="109"/>
        <v>2.5</v>
      </c>
      <c r="CD39" s="4">
        <v>11.0</v>
      </c>
      <c r="CE39" s="4">
        <f t="shared" ref="CE39:CF39" si="195">0.5*10</f>
        <v>5</v>
      </c>
      <c r="CF39" s="4">
        <f t="shared" si="195"/>
        <v>5</v>
      </c>
      <c r="CG39" s="4">
        <v>2216.0</v>
      </c>
      <c r="CH39" s="4">
        <v>1023.0</v>
      </c>
      <c r="CI39" s="4">
        <f t="shared" si="111"/>
        <v>5</v>
      </c>
      <c r="CJ39" s="4"/>
      <c r="CK39" s="4">
        <f t="shared" si="154"/>
        <v>0.001</v>
      </c>
      <c r="CL39" s="4">
        <f t="shared" ref="CL39:CL41" si="200">0.5*0.001</f>
        <v>0.0005</v>
      </c>
      <c r="CM39" s="4">
        <v>0.074</v>
      </c>
      <c r="CN39" s="4">
        <f t="shared" si="192"/>
        <v>0.05</v>
      </c>
      <c r="CO39" s="4"/>
      <c r="CP39" s="4">
        <v>4338.71</v>
      </c>
      <c r="CQ39" s="4">
        <v>43.55</v>
      </c>
      <c r="CR39" s="4">
        <v>290.32</v>
      </c>
      <c r="CS39" s="4">
        <v>193.55</v>
      </c>
      <c r="CT39" s="4"/>
      <c r="CU39" s="4">
        <v>274.19</v>
      </c>
      <c r="CV39" s="4"/>
      <c r="CW39" s="4">
        <v>16806.45</v>
      </c>
      <c r="CX39" s="4">
        <v>2564.52</v>
      </c>
      <c r="CY39" s="4"/>
      <c r="CZ39" s="4"/>
    </row>
    <row r="40">
      <c r="A40" s="4" t="s">
        <v>122</v>
      </c>
      <c r="B40" s="4" t="s">
        <v>123</v>
      </c>
      <c r="C40" s="5" t="s">
        <v>334</v>
      </c>
      <c r="D40" s="5" t="s">
        <v>338</v>
      </c>
      <c r="E40" s="4" t="s">
        <v>264</v>
      </c>
      <c r="F40" s="4" t="s">
        <v>109</v>
      </c>
      <c r="G40" s="4" t="s">
        <v>110</v>
      </c>
      <c r="H40" s="4" t="s">
        <v>126</v>
      </c>
      <c r="I40" s="4" t="s">
        <v>119</v>
      </c>
      <c r="J40" s="4" t="s">
        <v>339</v>
      </c>
      <c r="K40" s="4" t="s">
        <v>340</v>
      </c>
      <c r="L40" s="4">
        <v>-19.3214</v>
      </c>
      <c r="M40" s="4">
        <v>-65.5519</v>
      </c>
      <c r="N40" s="4">
        <v>0.236</v>
      </c>
      <c r="O40" s="4">
        <v>0.0</v>
      </c>
      <c r="P40" s="4">
        <v>3840.0</v>
      </c>
      <c r="Q40" s="4">
        <v>137.1</v>
      </c>
      <c r="R40" s="4">
        <v>4.29</v>
      </c>
      <c r="S40" s="4">
        <v>124.6</v>
      </c>
      <c r="T40" s="4">
        <v>261.0</v>
      </c>
      <c r="U40" s="4">
        <v>0.0</v>
      </c>
      <c r="V40" s="4">
        <v>6.2</v>
      </c>
      <c r="W40" s="4">
        <v>8.06</v>
      </c>
      <c r="X40" s="4">
        <v>100.3</v>
      </c>
      <c r="Y40" s="4">
        <v>53.4</v>
      </c>
      <c r="Z40" s="4">
        <v>210.0</v>
      </c>
      <c r="AA40" s="4">
        <v>176.0</v>
      </c>
      <c r="AB40" s="4">
        <v>16.0</v>
      </c>
      <c r="AC40" s="4">
        <v>14.0</v>
      </c>
      <c r="AD40" s="4">
        <v>88.0</v>
      </c>
      <c r="AE40" s="4">
        <f>0.5*0.1</f>
        <v>0.05</v>
      </c>
      <c r="AF40" s="4">
        <v>2.5</v>
      </c>
      <c r="AG40" s="4">
        <v>2.6</v>
      </c>
      <c r="AH40" s="4">
        <v>111.2</v>
      </c>
      <c r="AI40" s="4">
        <v>15.34</v>
      </c>
      <c r="AJ40" s="4">
        <v>10.7</v>
      </c>
      <c r="AK40" s="4">
        <v>1.1</v>
      </c>
      <c r="AL40" s="4">
        <v>1.2</v>
      </c>
      <c r="AM40" s="4">
        <v>15.43</v>
      </c>
      <c r="AN40" s="4">
        <v>10.9</v>
      </c>
      <c r="AO40" s="4">
        <v>1.7</v>
      </c>
      <c r="AP40" s="4">
        <v>1.3</v>
      </c>
      <c r="AQ40" s="4">
        <v>0.34</v>
      </c>
      <c r="AR40" s="4">
        <v>0.34</v>
      </c>
      <c r="AS40" s="4">
        <v>1.47</v>
      </c>
      <c r="AT40" s="4">
        <f t="shared" ref="AT40:AT41" si="201">0.5*0.02</f>
        <v>0.01</v>
      </c>
      <c r="AU40" s="4">
        <v>1.03</v>
      </c>
      <c r="AV40" s="4">
        <v>5.7</v>
      </c>
      <c r="AW40" s="4">
        <v>19.0</v>
      </c>
      <c r="AX40" s="4">
        <f t="shared" si="196"/>
        <v>2.5</v>
      </c>
      <c r="AY40" s="4">
        <v>45.0</v>
      </c>
      <c r="AZ40" s="4">
        <v>0.0</v>
      </c>
      <c r="BA40" s="4">
        <v>0.0</v>
      </c>
      <c r="BB40" s="4">
        <v>20.0</v>
      </c>
      <c r="BC40" s="4"/>
      <c r="BD40" s="4"/>
      <c r="BE40" s="4"/>
      <c r="BF40" s="4">
        <f t="shared" ref="BF40:BI40" si="197">0.5*10</f>
        <v>5</v>
      </c>
      <c r="BG40" s="4">
        <f t="shared" si="197"/>
        <v>5</v>
      </c>
      <c r="BH40" s="4">
        <f t="shared" si="197"/>
        <v>5</v>
      </c>
      <c r="BI40" s="4">
        <f t="shared" si="197"/>
        <v>5</v>
      </c>
      <c r="BJ40" s="4">
        <f t="shared" si="100"/>
        <v>2.5</v>
      </c>
      <c r="BK40" s="4">
        <v>3166.0</v>
      </c>
      <c r="BL40" s="4">
        <v>17.0</v>
      </c>
      <c r="BM40" s="4">
        <v>291.0</v>
      </c>
      <c r="BN40" s="4">
        <v>864.0</v>
      </c>
      <c r="BO40" s="4">
        <f t="shared" ref="BO40:BO41" si="203">0.5*10</f>
        <v>5</v>
      </c>
      <c r="BP40" s="4">
        <f t="shared" si="105"/>
        <v>2.5</v>
      </c>
      <c r="BQ40" s="4">
        <f t="shared" ref="BQ40:BS40" si="198">0.5*10</f>
        <v>5</v>
      </c>
      <c r="BR40" s="4">
        <f t="shared" si="198"/>
        <v>5</v>
      </c>
      <c r="BS40" s="4">
        <f t="shared" si="198"/>
        <v>5</v>
      </c>
      <c r="BT40" s="4">
        <v>616.0</v>
      </c>
      <c r="BU40" s="4">
        <v>35.0</v>
      </c>
      <c r="BV40" s="4">
        <f t="shared" si="107"/>
        <v>5</v>
      </c>
      <c r="BW40" s="4">
        <f t="shared" si="186"/>
        <v>2.5</v>
      </c>
      <c r="BX40" s="4">
        <v>3175.0</v>
      </c>
      <c r="BY40" s="4">
        <v>16.0</v>
      </c>
      <c r="BZ40" s="4">
        <v>293.0</v>
      </c>
      <c r="CA40" s="4">
        <v>899.0</v>
      </c>
      <c r="CB40" s="4">
        <f t="shared" ref="CB40:CB41" si="205">0.5*10</f>
        <v>5</v>
      </c>
      <c r="CC40" s="4">
        <v>5.0</v>
      </c>
      <c r="CD40" s="4">
        <f t="shared" ref="CD40:CF40" si="199">0.5*10</f>
        <v>5</v>
      </c>
      <c r="CE40" s="4">
        <f t="shared" si="199"/>
        <v>5</v>
      </c>
      <c r="CF40" s="4">
        <f t="shared" si="199"/>
        <v>5</v>
      </c>
      <c r="CG40" s="4">
        <v>10611.0</v>
      </c>
      <c r="CH40" s="4">
        <v>53.0</v>
      </c>
      <c r="CI40" s="4">
        <f t="shared" si="111"/>
        <v>5</v>
      </c>
      <c r="CJ40" s="4"/>
      <c r="CK40" s="4">
        <f t="shared" si="154"/>
        <v>0.001</v>
      </c>
      <c r="CL40" s="4">
        <f t="shared" si="200"/>
        <v>0.0005</v>
      </c>
      <c r="CM40" s="4">
        <v>0.045</v>
      </c>
      <c r="CN40" s="4">
        <f t="shared" si="192"/>
        <v>0.05</v>
      </c>
      <c r="CO40" s="4"/>
      <c r="CP40" s="4">
        <v>2187.5</v>
      </c>
      <c r="CQ40" s="4"/>
      <c r="CR40" s="4"/>
      <c r="CS40" s="4">
        <v>1125.0</v>
      </c>
      <c r="CT40" s="4">
        <v>312.5</v>
      </c>
      <c r="CU40" s="4">
        <v>125.0</v>
      </c>
      <c r="CV40" s="4"/>
      <c r="CW40" s="4">
        <v>624687.5</v>
      </c>
      <c r="CX40" s="4">
        <v>562.5</v>
      </c>
      <c r="CY40" s="4"/>
      <c r="CZ40" s="4"/>
    </row>
    <row r="41">
      <c r="A41" s="4" t="s">
        <v>134</v>
      </c>
      <c r="B41" s="4" t="s">
        <v>135</v>
      </c>
      <c r="C41" s="5" t="s">
        <v>341</v>
      </c>
      <c r="D41" s="5" t="s">
        <v>342</v>
      </c>
      <c r="E41" s="4" t="s">
        <v>264</v>
      </c>
      <c r="F41" s="4" t="s">
        <v>109</v>
      </c>
      <c r="G41" s="4" t="s">
        <v>110</v>
      </c>
      <c r="H41" s="4" t="s">
        <v>138</v>
      </c>
      <c r="J41" s="4" t="s">
        <v>343</v>
      </c>
      <c r="K41" s="4" t="s">
        <v>344</v>
      </c>
      <c r="L41" s="4">
        <v>-19.1442</v>
      </c>
      <c r="M41" s="4">
        <v>-65.5661</v>
      </c>
      <c r="N41" s="4">
        <v>1.516</v>
      </c>
      <c r="O41" s="4">
        <v>1.0</v>
      </c>
      <c r="P41" s="4">
        <v>2050.0</v>
      </c>
      <c r="Q41" s="4">
        <v>148.4</v>
      </c>
      <c r="R41" s="4">
        <v>8.49</v>
      </c>
      <c r="S41" s="4">
        <v>-94.3</v>
      </c>
      <c r="T41" s="4">
        <v>488.0</v>
      </c>
      <c r="U41" s="4">
        <v>0.2</v>
      </c>
      <c r="V41" s="4">
        <v>19.1</v>
      </c>
      <c r="W41" s="4">
        <v>6.61</v>
      </c>
      <c r="X41" s="4">
        <v>100.2</v>
      </c>
      <c r="Y41" s="4">
        <v>69.1</v>
      </c>
      <c r="Z41" s="4">
        <v>360.0</v>
      </c>
      <c r="AA41" s="4">
        <v>348.0</v>
      </c>
      <c r="AB41" s="4">
        <v>27.0</v>
      </c>
      <c r="AC41" s="4">
        <v>11.0</v>
      </c>
      <c r="AD41" s="4">
        <v>232.0</v>
      </c>
      <c r="AE41" s="4">
        <v>6.5</v>
      </c>
      <c r="AF41" s="4">
        <v>127.5</v>
      </c>
      <c r="AG41" s="4">
        <v>3.8</v>
      </c>
      <c r="AH41" s="4">
        <v>145.0</v>
      </c>
      <c r="AI41" s="4">
        <v>29.04</v>
      </c>
      <c r="AJ41" s="4">
        <v>29.09</v>
      </c>
      <c r="AK41" s="4">
        <v>10.6</v>
      </c>
      <c r="AL41" s="4">
        <v>4.8</v>
      </c>
      <c r="AM41" s="4">
        <v>35.47</v>
      </c>
      <c r="AN41" s="4">
        <v>31.22</v>
      </c>
      <c r="AO41" s="4">
        <v>11.3</v>
      </c>
      <c r="AP41" s="4">
        <v>4.7</v>
      </c>
      <c r="AQ41" s="4">
        <v>0.25</v>
      </c>
      <c r="AR41" s="4">
        <v>0.21</v>
      </c>
      <c r="AS41" s="4">
        <v>0.44</v>
      </c>
      <c r="AT41" s="4">
        <f t="shared" si="201"/>
        <v>0.01</v>
      </c>
      <c r="AU41" s="4">
        <f>0.5*0.01</f>
        <v>0.005</v>
      </c>
      <c r="AV41" s="4">
        <v>11.3</v>
      </c>
      <c r="AW41" s="4">
        <f t="shared" ref="AW41:AW43" si="207">0.5*2</f>
        <v>1</v>
      </c>
      <c r="AX41" s="4">
        <f t="shared" si="196"/>
        <v>2.5</v>
      </c>
      <c r="AY41" s="4">
        <f t="shared" ref="AY41:AY43" si="208">0.5*2</f>
        <v>1</v>
      </c>
      <c r="AZ41" s="4">
        <v>10.0</v>
      </c>
      <c r="BA41" s="4">
        <v>0.0</v>
      </c>
      <c r="BB41" s="4">
        <v>4.0</v>
      </c>
      <c r="BC41" s="4"/>
      <c r="BD41" s="4"/>
      <c r="BE41" s="4"/>
      <c r="BF41" s="4">
        <f t="shared" ref="BF41:BI41" si="202">0.5*10</f>
        <v>5</v>
      </c>
      <c r="BG41" s="4">
        <f t="shared" si="202"/>
        <v>5</v>
      </c>
      <c r="BH41" s="4">
        <f t="shared" si="202"/>
        <v>5</v>
      </c>
      <c r="BI41" s="4">
        <f t="shared" si="202"/>
        <v>5</v>
      </c>
      <c r="BJ41" s="4">
        <f t="shared" si="100"/>
        <v>2.5</v>
      </c>
      <c r="BK41" s="4">
        <v>443.0</v>
      </c>
      <c r="BL41" s="4">
        <f t="shared" ref="BL41:BL44" si="210">0.5*5</f>
        <v>2.5</v>
      </c>
      <c r="BM41" s="4">
        <f t="shared" ref="BM41:BM43" si="211">0.5*10</f>
        <v>5</v>
      </c>
      <c r="BN41" s="4">
        <v>124.0</v>
      </c>
      <c r="BO41" s="4">
        <f t="shared" si="203"/>
        <v>5</v>
      </c>
      <c r="BP41" s="4">
        <f t="shared" si="105"/>
        <v>2.5</v>
      </c>
      <c r="BQ41" s="4">
        <f t="shared" ref="BQ41:BS41" si="204">0.5*10</f>
        <v>5</v>
      </c>
      <c r="BR41" s="4">
        <f t="shared" si="204"/>
        <v>5</v>
      </c>
      <c r="BS41" s="4">
        <f t="shared" si="204"/>
        <v>5</v>
      </c>
      <c r="BT41" s="4">
        <v>57.0</v>
      </c>
      <c r="BU41" s="4">
        <v>100.0</v>
      </c>
      <c r="BV41" s="4">
        <f t="shared" si="107"/>
        <v>5</v>
      </c>
      <c r="BW41" s="4">
        <f t="shared" si="186"/>
        <v>2.5</v>
      </c>
      <c r="BX41" s="4">
        <v>625.0</v>
      </c>
      <c r="BY41" s="4">
        <f t="shared" ref="BY41:BY44" si="213">0.5*5</f>
        <v>2.5</v>
      </c>
      <c r="BZ41" s="4">
        <v>62.0</v>
      </c>
      <c r="CA41" s="4">
        <v>331.0</v>
      </c>
      <c r="CB41" s="4">
        <f t="shared" si="205"/>
        <v>5</v>
      </c>
      <c r="CC41" s="4">
        <f t="shared" ref="CC41:CC43" si="214">0.5*5</f>
        <v>2.5</v>
      </c>
      <c r="CD41" s="4">
        <f t="shared" ref="CD41:CF41" si="206">0.5*10</f>
        <v>5</v>
      </c>
      <c r="CE41" s="4">
        <f t="shared" si="206"/>
        <v>5</v>
      </c>
      <c r="CF41" s="4">
        <f t="shared" si="206"/>
        <v>5</v>
      </c>
      <c r="CG41" s="4">
        <v>4459.0</v>
      </c>
      <c r="CH41" s="4">
        <v>110.0</v>
      </c>
      <c r="CI41" s="4">
        <f t="shared" si="111"/>
        <v>5</v>
      </c>
      <c r="CJ41" s="4"/>
      <c r="CK41" s="4">
        <f t="shared" si="154"/>
        <v>0.001</v>
      </c>
      <c r="CL41" s="4">
        <f t="shared" si="200"/>
        <v>0.0005</v>
      </c>
      <c r="CM41" s="4">
        <v>0.09</v>
      </c>
      <c r="CN41" s="4">
        <f t="shared" si="192"/>
        <v>0.05</v>
      </c>
      <c r="CO41" s="4"/>
      <c r="CP41" s="4">
        <v>7666.67</v>
      </c>
      <c r="CQ41" s="4"/>
      <c r="CR41" s="4"/>
      <c r="CS41" s="4">
        <v>370.37</v>
      </c>
      <c r="CT41" s="4"/>
      <c r="CU41" s="4">
        <v>2296.3</v>
      </c>
      <c r="CV41" s="4"/>
      <c r="CW41" s="4">
        <v>163037.04</v>
      </c>
      <c r="CX41" s="4">
        <v>6740.74</v>
      </c>
      <c r="CY41" s="4"/>
      <c r="CZ41" s="4"/>
    </row>
    <row r="42">
      <c r="A42" s="4" t="s">
        <v>141</v>
      </c>
      <c r="B42" s="4" t="s">
        <v>142</v>
      </c>
      <c r="C42" s="5" t="s">
        <v>341</v>
      </c>
      <c r="D42" s="5" t="s">
        <v>345</v>
      </c>
      <c r="E42" s="4" t="s">
        <v>264</v>
      </c>
      <c r="F42" s="4" t="s">
        <v>109</v>
      </c>
      <c r="G42" s="4" t="s">
        <v>110</v>
      </c>
      <c r="H42" s="4" t="s">
        <v>111</v>
      </c>
      <c r="J42" s="4" t="s">
        <v>346</v>
      </c>
      <c r="K42" s="4" t="s">
        <v>347</v>
      </c>
      <c r="L42" s="4">
        <v>-19.1322</v>
      </c>
      <c r="M42" s="4">
        <v>-65.5722</v>
      </c>
      <c r="N42" s="4">
        <v>1.71</v>
      </c>
      <c r="O42" s="4">
        <v>12.0</v>
      </c>
      <c r="P42" s="4">
        <v>1145.0</v>
      </c>
      <c r="Q42" s="4">
        <v>158.9</v>
      </c>
      <c r="R42" s="4">
        <v>8.32</v>
      </c>
      <c r="S42" s="4">
        <v>-83.9</v>
      </c>
      <c r="T42" s="4">
        <v>874.0</v>
      </c>
      <c r="U42" s="4">
        <v>0.4</v>
      </c>
      <c r="V42" s="4">
        <v>12.0</v>
      </c>
      <c r="W42" s="4">
        <v>8.15</v>
      </c>
      <c r="X42" s="4">
        <v>105.3</v>
      </c>
      <c r="Y42" s="4">
        <v>57.8</v>
      </c>
      <c r="Z42" s="4">
        <v>618.0</v>
      </c>
      <c r="AA42" s="4">
        <v>562.0</v>
      </c>
      <c r="AB42" s="4">
        <v>59.0</v>
      </c>
      <c r="AC42" s="4">
        <v>1.0</v>
      </c>
      <c r="AD42" s="4">
        <v>176.0</v>
      </c>
      <c r="AE42" s="4">
        <v>2.5</v>
      </c>
      <c r="AF42" s="4">
        <v>111.5</v>
      </c>
      <c r="AG42" s="4">
        <v>134.6</v>
      </c>
      <c r="AH42" s="4">
        <v>119.4</v>
      </c>
      <c r="AI42" s="4">
        <v>34.48</v>
      </c>
      <c r="AJ42" s="4">
        <v>14.18</v>
      </c>
      <c r="AK42" s="4">
        <v>98.0</v>
      </c>
      <c r="AL42" s="4">
        <v>9.2</v>
      </c>
      <c r="AM42" s="4">
        <v>43.12</v>
      </c>
      <c r="AN42" s="4">
        <v>14.72</v>
      </c>
      <c r="AO42" s="4">
        <v>99.2</v>
      </c>
      <c r="AP42" s="4">
        <v>9.0</v>
      </c>
      <c r="AQ42" s="4">
        <v>0.52</v>
      </c>
      <c r="AR42" s="4">
        <v>0.46</v>
      </c>
      <c r="AS42" s="4">
        <v>0.91</v>
      </c>
      <c r="AT42" s="4">
        <v>0.48</v>
      </c>
      <c r="AU42" s="4">
        <v>7.66</v>
      </c>
      <c r="AV42" s="4">
        <v>8.5</v>
      </c>
      <c r="AW42" s="4">
        <f t="shared" si="207"/>
        <v>1</v>
      </c>
      <c r="AX42" s="4">
        <f t="shared" si="196"/>
        <v>2.5</v>
      </c>
      <c r="AY42" s="4">
        <f t="shared" si="208"/>
        <v>1</v>
      </c>
      <c r="AZ42" s="4">
        <v>220.0</v>
      </c>
      <c r="BA42" s="4">
        <v>180.0</v>
      </c>
      <c r="BB42" s="4">
        <v>80.0</v>
      </c>
      <c r="BC42" s="4"/>
      <c r="BD42" s="4"/>
      <c r="BE42" s="4"/>
      <c r="BF42" s="4">
        <f t="shared" ref="BF42:BI42" si="209">0.5*10</f>
        <v>5</v>
      </c>
      <c r="BG42" s="4">
        <f t="shared" si="209"/>
        <v>5</v>
      </c>
      <c r="BH42" s="4">
        <f t="shared" si="209"/>
        <v>5</v>
      </c>
      <c r="BI42" s="4">
        <f t="shared" si="209"/>
        <v>5</v>
      </c>
      <c r="BJ42" s="4">
        <f t="shared" si="100"/>
        <v>2.5</v>
      </c>
      <c r="BK42" s="4">
        <v>236.0</v>
      </c>
      <c r="BL42" s="4">
        <f t="shared" si="210"/>
        <v>2.5</v>
      </c>
      <c r="BM42" s="4">
        <f t="shared" si="211"/>
        <v>5</v>
      </c>
      <c r="BN42" s="4">
        <v>295.0</v>
      </c>
      <c r="BO42" s="4">
        <v>11.0</v>
      </c>
      <c r="BP42" s="4">
        <f t="shared" si="105"/>
        <v>2.5</v>
      </c>
      <c r="BQ42" s="4">
        <f t="shared" ref="BQ42:BS42" si="212">0.5*10</f>
        <v>5</v>
      </c>
      <c r="BR42" s="4">
        <f t="shared" si="212"/>
        <v>5</v>
      </c>
      <c r="BS42" s="4">
        <f t="shared" si="212"/>
        <v>5</v>
      </c>
      <c r="BT42" s="4">
        <v>1276.0</v>
      </c>
      <c r="BU42" s="4">
        <v>1220.0</v>
      </c>
      <c r="BV42" s="4">
        <f t="shared" si="107"/>
        <v>5</v>
      </c>
      <c r="BW42" s="4">
        <f t="shared" si="186"/>
        <v>2.5</v>
      </c>
      <c r="BX42" s="4">
        <v>326.0</v>
      </c>
      <c r="BY42" s="4">
        <f t="shared" si="213"/>
        <v>2.5</v>
      </c>
      <c r="BZ42" s="4">
        <v>18.0</v>
      </c>
      <c r="CA42" s="4">
        <v>778.0</v>
      </c>
      <c r="CB42" s="4">
        <v>34.0</v>
      </c>
      <c r="CC42" s="4">
        <f t="shared" si="214"/>
        <v>2.5</v>
      </c>
      <c r="CD42" s="4">
        <f t="shared" ref="CD42:CF42" si="215">0.5*10</f>
        <v>5</v>
      </c>
      <c r="CE42" s="4">
        <f t="shared" si="215"/>
        <v>5</v>
      </c>
      <c r="CF42" s="4">
        <f t="shared" si="215"/>
        <v>5</v>
      </c>
      <c r="CG42" s="4">
        <v>1601.0</v>
      </c>
      <c r="CH42" s="4">
        <v>1225.0</v>
      </c>
      <c r="CI42" s="4">
        <f t="shared" si="111"/>
        <v>5</v>
      </c>
      <c r="CJ42" s="4"/>
      <c r="CK42" s="4">
        <f t="shared" si="154"/>
        <v>0.001</v>
      </c>
      <c r="CL42" s="4">
        <v>0.004</v>
      </c>
      <c r="CM42" s="4">
        <v>0.084</v>
      </c>
      <c r="CN42" s="4">
        <f t="shared" si="192"/>
        <v>0.05</v>
      </c>
      <c r="CO42" s="4"/>
      <c r="CP42" s="4">
        <v>8186.44</v>
      </c>
      <c r="CQ42" s="4"/>
      <c r="CR42" s="4">
        <v>389.83</v>
      </c>
      <c r="CS42" s="4">
        <v>84.75</v>
      </c>
      <c r="CT42" s="4"/>
      <c r="CU42" s="4">
        <v>305.08</v>
      </c>
      <c r="CV42" s="4"/>
      <c r="CW42" s="4">
        <v>5508.47</v>
      </c>
      <c r="CX42" s="4">
        <v>1525.42</v>
      </c>
      <c r="CY42" s="4"/>
      <c r="CZ42" s="4"/>
    </row>
    <row r="43">
      <c r="A43" s="4" t="s">
        <v>348</v>
      </c>
      <c r="B43" s="4" t="s">
        <v>349</v>
      </c>
      <c r="C43" s="5" t="s">
        <v>350</v>
      </c>
      <c r="D43" s="5" t="s">
        <v>351</v>
      </c>
      <c r="E43" s="4" t="s">
        <v>264</v>
      </c>
      <c r="F43" s="4" t="s">
        <v>109</v>
      </c>
      <c r="G43" s="4" t="s">
        <v>110</v>
      </c>
      <c r="H43" s="4" t="s">
        <v>111</v>
      </c>
      <c r="I43" s="4" t="s">
        <v>119</v>
      </c>
      <c r="J43" s="4" t="s">
        <v>352</v>
      </c>
      <c r="K43" s="4" t="s">
        <v>353</v>
      </c>
      <c r="L43" s="4">
        <v>-19.3977</v>
      </c>
      <c r="M43" s="4">
        <v>-65.9078</v>
      </c>
      <c r="N43" s="4">
        <v>1.157</v>
      </c>
      <c r="O43" s="4">
        <v>5.0</v>
      </c>
      <c r="P43" s="4">
        <v>1457.0</v>
      </c>
      <c r="Q43" s="4">
        <v>142.5</v>
      </c>
      <c r="R43" s="4">
        <v>8.28</v>
      </c>
      <c r="S43" s="4">
        <v>-84.0</v>
      </c>
      <c r="T43" s="4">
        <v>686.0</v>
      </c>
      <c r="U43" s="4">
        <v>0.3</v>
      </c>
      <c r="V43" s="4">
        <v>12.8</v>
      </c>
      <c r="W43" s="4">
        <v>7.21</v>
      </c>
      <c r="X43" s="4">
        <v>102.1</v>
      </c>
      <c r="Y43" s="4">
        <v>30.1</v>
      </c>
      <c r="Z43" s="4">
        <v>414.0</v>
      </c>
      <c r="AA43" s="4">
        <v>410.0</v>
      </c>
      <c r="AB43" s="4">
        <v>15.0</v>
      </c>
      <c r="AC43" s="4">
        <v>4.0</v>
      </c>
      <c r="AD43" s="4">
        <v>84.0</v>
      </c>
      <c r="AE43" s="4">
        <v>1.5</v>
      </c>
      <c r="AF43" s="4">
        <v>54.5</v>
      </c>
      <c r="AG43" s="4">
        <v>144.9</v>
      </c>
      <c r="AH43" s="4">
        <v>53.5</v>
      </c>
      <c r="AI43" s="4">
        <v>20.03</v>
      </c>
      <c r="AJ43" s="4">
        <v>3.94</v>
      </c>
      <c r="AK43" s="4">
        <v>93.0</v>
      </c>
      <c r="AL43" s="4">
        <v>5.8</v>
      </c>
      <c r="AM43" s="4">
        <v>20.4</v>
      </c>
      <c r="AN43" s="4">
        <v>4.19</v>
      </c>
      <c r="AO43" s="4">
        <v>96.7</v>
      </c>
      <c r="AP43" s="4">
        <v>5.9</v>
      </c>
      <c r="AQ43" s="4">
        <v>0.25</v>
      </c>
      <c r="AR43" s="4">
        <v>0.25</v>
      </c>
      <c r="AS43" s="4">
        <v>0.17</v>
      </c>
      <c r="AT43" s="4">
        <f>0.5*0.02</f>
        <v>0.01</v>
      </c>
      <c r="AU43" s="4">
        <v>1.57</v>
      </c>
      <c r="AV43" s="4">
        <v>11.3</v>
      </c>
      <c r="AW43" s="4">
        <f t="shared" si="207"/>
        <v>1</v>
      </c>
      <c r="AX43" s="4">
        <f t="shared" si="196"/>
        <v>2.5</v>
      </c>
      <c r="AY43" s="4">
        <f t="shared" si="208"/>
        <v>1</v>
      </c>
      <c r="AZ43" s="4">
        <v>40.0</v>
      </c>
      <c r="BA43" s="4">
        <v>2.0</v>
      </c>
      <c r="BB43" s="4">
        <v>2.0</v>
      </c>
      <c r="BC43" s="4"/>
      <c r="BD43" s="4"/>
      <c r="BE43" s="4"/>
      <c r="BF43" s="4">
        <f t="shared" ref="BF43:BI43" si="216">0.5*10</f>
        <v>5</v>
      </c>
      <c r="BG43" s="4">
        <f t="shared" si="216"/>
        <v>5</v>
      </c>
      <c r="BH43" s="4">
        <f t="shared" si="216"/>
        <v>5</v>
      </c>
      <c r="BI43" s="4">
        <f t="shared" si="216"/>
        <v>5</v>
      </c>
      <c r="BJ43" s="4">
        <f t="shared" si="100"/>
        <v>2.5</v>
      </c>
      <c r="BK43" s="4">
        <f>0.5*10</f>
        <v>5</v>
      </c>
      <c r="BL43" s="4">
        <f t="shared" si="210"/>
        <v>2.5</v>
      </c>
      <c r="BM43" s="4">
        <f t="shared" si="211"/>
        <v>5</v>
      </c>
      <c r="BN43" s="4">
        <v>58.0</v>
      </c>
      <c r="BO43" s="4">
        <f>0.5*10</f>
        <v>5</v>
      </c>
      <c r="BP43" s="4">
        <f t="shared" si="105"/>
        <v>2.5</v>
      </c>
      <c r="BQ43" s="4">
        <f t="shared" ref="BQ43:BS43" si="217">0.5*10</f>
        <v>5</v>
      </c>
      <c r="BR43" s="4">
        <f t="shared" si="217"/>
        <v>5</v>
      </c>
      <c r="BS43" s="4">
        <f t="shared" si="217"/>
        <v>5</v>
      </c>
      <c r="BT43" s="4">
        <v>350.0</v>
      </c>
      <c r="BU43" s="4">
        <v>812.0</v>
      </c>
      <c r="BV43" s="4">
        <f t="shared" si="107"/>
        <v>5</v>
      </c>
      <c r="BW43" s="4">
        <f t="shared" si="186"/>
        <v>2.5</v>
      </c>
      <c r="BX43" s="4">
        <v>56.0</v>
      </c>
      <c r="BY43" s="4">
        <f t="shared" si="213"/>
        <v>2.5</v>
      </c>
      <c r="BZ43" s="4">
        <v>17.0</v>
      </c>
      <c r="CA43" s="4">
        <v>162.0</v>
      </c>
      <c r="CB43" s="4">
        <f>0.5*10</f>
        <v>5</v>
      </c>
      <c r="CC43" s="4">
        <f t="shared" si="214"/>
        <v>2.5</v>
      </c>
      <c r="CD43" s="4">
        <f t="shared" ref="CD43:CF43" si="218">0.5*10</f>
        <v>5</v>
      </c>
      <c r="CE43" s="4">
        <f t="shared" si="218"/>
        <v>5</v>
      </c>
      <c r="CF43" s="4">
        <f t="shared" si="218"/>
        <v>5</v>
      </c>
      <c r="CG43" s="4">
        <v>382.0</v>
      </c>
      <c r="CH43" s="4">
        <v>889.0</v>
      </c>
      <c r="CI43" s="4">
        <f t="shared" si="111"/>
        <v>5</v>
      </c>
      <c r="CJ43" s="4"/>
      <c r="CK43" s="4">
        <f t="shared" si="154"/>
        <v>0.001</v>
      </c>
      <c r="CL43" s="4">
        <v>0.001</v>
      </c>
      <c r="CM43" s="4">
        <v>0.087</v>
      </c>
      <c r="CN43" s="4">
        <f t="shared" si="192"/>
        <v>0.05</v>
      </c>
      <c r="CO43" s="4"/>
      <c r="CP43" s="4">
        <v>6933.33</v>
      </c>
      <c r="CQ43" s="4"/>
      <c r="CR43" s="4"/>
      <c r="CS43" s="4">
        <v>5133.33</v>
      </c>
      <c r="CT43" s="4"/>
      <c r="CU43" s="4">
        <v>1133.33</v>
      </c>
      <c r="CV43" s="4"/>
      <c r="CW43" s="4">
        <v>2133.33</v>
      </c>
      <c r="CX43" s="4">
        <v>3733.33</v>
      </c>
      <c r="CY43" s="4"/>
      <c r="CZ43" s="4"/>
    </row>
    <row r="44">
      <c r="A44" s="4" t="s">
        <v>129</v>
      </c>
      <c r="B44" s="4" t="s">
        <v>130</v>
      </c>
      <c r="C44" s="5" t="s">
        <v>350</v>
      </c>
      <c r="D44" s="5" t="s">
        <v>107</v>
      </c>
      <c r="E44" s="4" t="s">
        <v>264</v>
      </c>
      <c r="F44" s="4" t="s">
        <v>109</v>
      </c>
      <c r="G44" s="4" t="s">
        <v>110</v>
      </c>
      <c r="H44" s="4" t="s">
        <v>129</v>
      </c>
      <c r="I44" s="4" t="s">
        <v>119</v>
      </c>
      <c r="J44" s="4" t="s">
        <v>354</v>
      </c>
      <c r="K44" s="4" t="s">
        <v>355</v>
      </c>
      <c r="L44" s="4">
        <v>-19.4719</v>
      </c>
      <c r="M44" s="4">
        <v>-65.7943</v>
      </c>
      <c r="N44" s="4">
        <v>0.84</v>
      </c>
      <c r="O44" s="4">
        <v>2.0</v>
      </c>
      <c r="P44" s="4">
        <v>1261.0</v>
      </c>
      <c r="Q44" s="4">
        <v>128.6</v>
      </c>
      <c r="R44" s="4">
        <v>7.83</v>
      </c>
      <c r="S44" s="4">
        <v>-62.0</v>
      </c>
      <c r="T44" s="4">
        <v>792.0</v>
      </c>
      <c r="U44" s="4">
        <v>0.3</v>
      </c>
      <c r="V44" s="4">
        <v>6.9</v>
      </c>
      <c r="W44" s="4">
        <v>7.44</v>
      </c>
      <c r="X44" s="4">
        <v>90.8</v>
      </c>
      <c r="Y44" s="4">
        <v>91.2</v>
      </c>
      <c r="Z44" s="4">
        <v>592.0</v>
      </c>
      <c r="AA44" s="4">
        <v>524.0</v>
      </c>
      <c r="AB44" s="4">
        <v>74.0</v>
      </c>
      <c r="AC44" s="4">
        <v>35.0</v>
      </c>
      <c r="AD44" s="4">
        <v>220.0</v>
      </c>
      <c r="AE44" s="4">
        <f t="shared" ref="AE44:AE45" si="222">0.5*0.1</f>
        <v>0.05</v>
      </c>
      <c r="AF44" s="4">
        <v>89.0</v>
      </c>
      <c r="AG44" s="4">
        <v>51.9</v>
      </c>
      <c r="AH44" s="4">
        <v>239.7</v>
      </c>
      <c r="AI44" s="4">
        <v>52.85</v>
      </c>
      <c r="AJ44" s="4">
        <v>8.2</v>
      </c>
      <c r="AK44" s="4">
        <v>45.5</v>
      </c>
      <c r="AL44" s="4">
        <v>11.5</v>
      </c>
      <c r="AM44" s="4">
        <v>54.26</v>
      </c>
      <c r="AN44" s="4">
        <v>8.61</v>
      </c>
      <c r="AO44" s="4">
        <v>46.6</v>
      </c>
      <c r="AP44" s="4">
        <v>11.9</v>
      </c>
      <c r="AQ44" s="4">
        <v>0.52</v>
      </c>
      <c r="AR44" s="4">
        <v>0.43</v>
      </c>
      <c r="AS44" s="4">
        <v>22.89</v>
      </c>
      <c r="AT44" s="4">
        <v>0.08</v>
      </c>
      <c r="AU44" s="4">
        <v>22.58</v>
      </c>
      <c r="AV44" s="4">
        <v>14.1</v>
      </c>
      <c r="AW44" s="4">
        <v>14.0</v>
      </c>
      <c r="AX44" s="4">
        <v>23.0</v>
      </c>
      <c r="AY44" s="4">
        <v>28.0</v>
      </c>
      <c r="AZ44" s="4">
        <v>780.0</v>
      </c>
      <c r="BA44" s="4">
        <v>620.0</v>
      </c>
      <c r="BB44" s="4">
        <v>0.0</v>
      </c>
      <c r="BC44" s="4"/>
      <c r="BD44" s="4"/>
      <c r="BE44" s="4"/>
      <c r="BF44" s="4">
        <f t="shared" ref="BF44:BI44" si="219">0.5*10</f>
        <v>5</v>
      </c>
      <c r="BG44" s="4">
        <f t="shared" si="219"/>
        <v>5</v>
      </c>
      <c r="BH44" s="4">
        <f t="shared" si="219"/>
        <v>5</v>
      </c>
      <c r="BI44" s="4">
        <f t="shared" si="219"/>
        <v>5</v>
      </c>
      <c r="BJ44" s="4">
        <f t="shared" si="100"/>
        <v>2.5</v>
      </c>
      <c r="BK44" s="4">
        <v>660.0</v>
      </c>
      <c r="BL44" s="4">
        <f t="shared" si="210"/>
        <v>2.5</v>
      </c>
      <c r="BM44" s="4">
        <v>23.0</v>
      </c>
      <c r="BN44" s="4">
        <v>1366.0</v>
      </c>
      <c r="BO44" s="4">
        <v>23.0</v>
      </c>
      <c r="BP44" s="4">
        <f t="shared" si="105"/>
        <v>2.5</v>
      </c>
      <c r="BQ44" s="4">
        <f t="shared" ref="BQ44:BS44" si="220">0.5*10</f>
        <v>5</v>
      </c>
      <c r="BR44" s="4">
        <f t="shared" si="220"/>
        <v>5</v>
      </c>
      <c r="BS44" s="4">
        <f t="shared" si="220"/>
        <v>5</v>
      </c>
      <c r="BT44" s="4">
        <v>237.0</v>
      </c>
      <c r="BU44" s="4">
        <v>219.0</v>
      </c>
      <c r="BV44" s="4">
        <f t="shared" si="107"/>
        <v>5</v>
      </c>
      <c r="BW44" s="4">
        <v>6.0</v>
      </c>
      <c r="BX44" s="4">
        <v>807.0</v>
      </c>
      <c r="BY44" s="4">
        <f t="shared" si="213"/>
        <v>2.5</v>
      </c>
      <c r="BZ44" s="4">
        <v>83.0</v>
      </c>
      <c r="CA44" s="4">
        <v>3501.0</v>
      </c>
      <c r="CB44" s="4">
        <v>110.0</v>
      </c>
      <c r="CC44" s="4">
        <v>12.0</v>
      </c>
      <c r="CD44" s="4">
        <v>52.0</v>
      </c>
      <c r="CE44" s="4">
        <f t="shared" ref="CE44:CF44" si="221">0.5*10</f>
        <v>5</v>
      </c>
      <c r="CF44" s="4">
        <f t="shared" si="221"/>
        <v>5</v>
      </c>
      <c r="CG44" s="4">
        <v>7452.0</v>
      </c>
      <c r="CH44" s="4">
        <v>233.0</v>
      </c>
      <c r="CI44" s="4">
        <f t="shared" si="111"/>
        <v>5</v>
      </c>
      <c r="CJ44" s="4"/>
      <c r="CK44" s="4">
        <v>0.127</v>
      </c>
      <c r="CL44" s="4">
        <v>0.005</v>
      </c>
      <c r="CM44" s="4">
        <v>0.046</v>
      </c>
      <c r="CN44" s="4"/>
      <c r="CO44" s="4"/>
      <c r="CP44" s="4">
        <v>28851.35</v>
      </c>
      <c r="CQ44" s="4">
        <v>547.3</v>
      </c>
      <c r="CR44" s="4">
        <v>1175.68</v>
      </c>
      <c r="CS44" s="4">
        <v>189.19</v>
      </c>
      <c r="CT44" s="4">
        <v>162.16</v>
      </c>
      <c r="CU44" s="4">
        <v>810.81</v>
      </c>
      <c r="CV44" s="4">
        <v>81.08</v>
      </c>
      <c r="CW44" s="4">
        <v>97500.0</v>
      </c>
      <c r="CX44" s="4">
        <v>1986.49</v>
      </c>
      <c r="CY44" s="4"/>
      <c r="CZ44" s="4"/>
    </row>
    <row r="45">
      <c r="A45" s="4" t="s">
        <v>356</v>
      </c>
      <c r="B45" s="4" t="s">
        <v>357</v>
      </c>
      <c r="C45" s="5" t="s">
        <v>350</v>
      </c>
      <c r="D45" s="5" t="s">
        <v>358</v>
      </c>
      <c r="E45" s="4" t="s">
        <v>264</v>
      </c>
      <c r="F45" s="4" t="s">
        <v>109</v>
      </c>
      <c r="G45" s="4" t="s">
        <v>110</v>
      </c>
      <c r="H45" s="4" t="s">
        <v>359</v>
      </c>
      <c r="I45" s="4" t="s">
        <v>119</v>
      </c>
      <c r="J45" s="4" t="s">
        <v>360</v>
      </c>
      <c r="K45" s="4" t="s">
        <v>361</v>
      </c>
      <c r="L45" s="4">
        <v>-19.5782</v>
      </c>
      <c r="M45" s="4">
        <v>-65.8034</v>
      </c>
      <c r="N45" s="4">
        <v>1.184</v>
      </c>
      <c r="O45" s="4">
        <v>1.0</v>
      </c>
      <c r="P45" s="4">
        <v>842.0</v>
      </c>
      <c r="Q45" s="4">
        <v>135.3</v>
      </c>
      <c r="R45" s="4">
        <v>7.61</v>
      </c>
      <c r="S45" s="4">
        <v>-49.0</v>
      </c>
      <c r="T45" s="4">
        <v>1186.0</v>
      </c>
      <c r="U45" s="4">
        <v>0.5</v>
      </c>
      <c r="V45" s="4">
        <v>3.1</v>
      </c>
      <c r="W45" s="4">
        <v>8.62</v>
      </c>
      <c r="X45" s="4">
        <v>97.8</v>
      </c>
      <c r="Y45" s="4">
        <v>183.0</v>
      </c>
      <c r="Z45" s="4">
        <v>918.0</v>
      </c>
      <c r="AA45" s="4">
        <v>712.0</v>
      </c>
      <c r="AB45" s="4">
        <v>181.0</v>
      </c>
      <c r="AC45" s="4">
        <v>68.0</v>
      </c>
      <c r="AD45" s="4">
        <v>280.0</v>
      </c>
      <c r="AE45" s="4">
        <f t="shared" si="222"/>
        <v>0.05</v>
      </c>
      <c r="AF45" s="4">
        <v>144.5</v>
      </c>
      <c r="AG45" s="4">
        <v>76.5</v>
      </c>
      <c r="AH45" s="4">
        <v>346.2</v>
      </c>
      <c r="AI45" s="4">
        <v>72.12</v>
      </c>
      <c r="AJ45" s="4">
        <v>12.41</v>
      </c>
      <c r="AK45" s="4">
        <v>68.4</v>
      </c>
      <c r="AL45" s="4">
        <v>28.0</v>
      </c>
      <c r="AM45" s="4">
        <v>75.65</v>
      </c>
      <c r="AN45" s="4">
        <v>13.83</v>
      </c>
      <c r="AO45" s="4">
        <v>70.2</v>
      </c>
      <c r="AP45" s="4">
        <v>28.2</v>
      </c>
      <c r="AQ45" s="4">
        <v>0.58</v>
      </c>
      <c r="AR45" s="4">
        <v>0.46</v>
      </c>
      <c r="AS45" s="4">
        <v>44.75</v>
      </c>
      <c r="AT45" s="4">
        <f t="shared" ref="AT45:AT47" si="226">0.5*0.02</f>
        <v>0.01</v>
      </c>
      <c r="AU45" s="4">
        <v>65.04</v>
      </c>
      <c r="AV45" s="4">
        <v>12.0</v>
      </c>
      <c r="AW45" s="4">
        <v>31.0</v>
      </c>
      <c r="AX45" s="4">
        <v>69.0</v>
      </c>
      <c r="AY45" s="4">
        <v>89.0</v>
      </c>
      <c r="AZ45" s="4">
        <v>810.0</v>
      </c>
      <c r="BA45" s="4">
        <v>720.0</v>
      </c>
      <c r="BB45" s="4">
        <v>14.0</v>
      </c>
      <c r="BC45" s="4"/>
      <c r="BD45" s="4"/>
      <c r="BE45" s="4"/>
      <c r="BF45" s="4">
        <f t="shared" ref="BF45:BI45" si="223">0.5*10</f>
        <v>5</v>
      </c>
      <c r="BG45" s="4">
        <f t="shared" si="223"/>
        <v>5</v>
      </c>
      <c r="BH45" s="4">
        <f t="shared" si="223"/>
        <v>5</v>
      </c>
      <c r="BI45" s="4">
        <f t="shared" si="223"/>
        <v>5</v>
      </c>
      <c r="BJ45" s="4">
        <f t="shared" si="100"/>
        <v>2.5</v>
      </c>
      <c r="BK45" s="4">
        <v>1493.0</v>
      </c>
      <c r="BL45" s="4">
        <v>18.0</v>
      </c>
      <c r="BM45" s="4">
        <v>45.0</v>
      </c>
      <c r="BN45" s="4">
        <v>3521.0</v>
      </c>
      <c r="BO45" s="4">
        <f t="shared" ref="BO45:BO49" si="228">0.5*10</f>
        <v>5</v>
      </c>
      <c r="BP45" s="4">
        <v>11.0</v>
      </c>
      <c r="BQ45" s="4">
        <f t="shared" ref="BQ45:BS45" si="224">0.5*10</f>
        <v>5</v>
      </c>
      <c r="BR45" s="4">
        <f t="shared" si="224"/>
        <v>5</v>
      </c>
      <c r="BS45" s="4">
        <f t="shared" si="224"/>
        <v>5</v>
      </c>
      <c r="BT45" s="4">
        <v>1401.0</v>
      </c>
      <c r="BU45" s="4">
        <v>281.0</v>
      </c>
      <c r="BV45" s="4">
        <f t="shared" si="107"/>
        <v>5</v>
      </c>
      <c r="BW45" s="4">
        <f>0.5*5</f>
        <v>2.5</v>
      </c>
      <c r="BX45" s="4">
        <v>1771.0</v>
      </c>
      <c r="BY45" s="4">
        <v>21.0</v>
      </c>
      <c r="BZ45" s="4">
        <v>258.0</v>
      </c>
      <c r="CA45" s="4">
        <v>9774.0</v>
      </c>
      <c r="CB45" s="4">
        <v>151.0</v>
      </c>
      <c r="CC45" s="4">
        <v>33.0</v>
      </c>
      <c r="CD45" s="4">
        <v>17.0</v>
      </c>
      <c r="CE45" s="4">
        <f t="shared" ref="CE45:CF45" si="225">0.5*10</f>
        <v>5</v>
      </c>
      <c r="CF45" s="4">
        <f t="shared" si="225"/>
        <v>5</v>
      </c>
      <c r="CG45" s="4">
        <v>17795.0</v>
      </c>
      <c r="CH45" s="4">
        <v>322.0</v>
      </c>
      <c r="CI45" s="4">
        <f t="shared" si="111"/>
        <v>5</v>
      </c>
      <c r="CJ45" s="4"/>
      <c r="CK45" s="4">
        <v>0.133</v>
      </c>
      <c r="CL45" s="4">
        <v>0.012</v>
      </c>
      <c r="CM45" s="4">
        <v>0.081</v>
      </c>
      <c r="CN45" s="4">
        <f t="shared" ref="CN45:CN50" si="231">0.5*0.1</f>
        <v>0.05</v>
      </c>
      <c r="CO45" s="4"/>
      <c r="CP45" s="4">
        <v>34546.96</v>
      </c>
      <c r="CQ45" s="4"/>
      <c r="CR45" s="4">
        <v>834.25</v>
      </c>
      <c r="CS45" s="4">
        <v>226.52</v>
      </c>
      <c r="CT45" s="4">
        <v>121.55</v>
      </c>
      <c r="CU45" s="4">
        <v>1176.8</v>
      </c>
      <c r="CV45" s="4"/>
      <c r="CW45" s="4">
        <v>90574.59</v>
      </c>
      <c r="CX45" s="4">
        <v>1535.91</v>
      </c>
      <c r="CY45" s="4">
        <v>16.57</v>
      </c>
      <c r="CZ45" s="4"/>
    </row>
    <row r="46">
      <c r="A46" s="4" t="s">
        <v>146</v>
      </c>
      <c r="B46" s="4" t="s">
        <v>147</v>
      </c>
      <c r="C46" s="5" t="s">
        <v>362</v>
      </c>
      <c r="D46" s="5" t="s">
        <v>363</v>
      </c>
      <c r="E46" s="4" t="s">
        <v>264</v>
      </c>
      <c r="F46" s="4" t="s">
        <v>109</v>
      </c>
      <c r="G46" s="4" t="s">
        <v>110</v>
      </c>
      <c r="H46" s="4" t="s">
        <v>150</v>
      </c>
      <c r="I46" s="4" t="s">
        <v>151</v>
      </c>
      <c r="J46" s="4" t="s">
        <v>364</v>
      </c>
      <c r="K46" s="4" t="s">
        <v>365</v>
      </c>
      <c r="L46" s="4">
        <v>-20.7423</v>
      </c>
      <c r="M46" s="4">
        <v>-65.2409</v>
      </c>
      <c r="N46" s="4">
        <v>0.69</v>
      </c>
      <c r="O46" s="4">
        <v>8.0</v>
      </c>
      <c r="P46" s="4">
        <v>854.0</v>
      </c>
      <c r="Q46" s="4">
        <v>161.5</v>
      </c>
      <c r="R46" s="4">
        <v>8.39</v>
      </c>
      <c r="S46" s="4">
        <v>-87.9</v>
      </c>
      <c r="T46" s="4">
        <v>1171.0</v>
      </c>
      <c r="U46" s="4">
        <v>0.5</v>
      </c>
      <c r="V46" s="4">
        <v>13.9</v>
      </c>
      <c r="W46" s="4">
        <v>7.97</v>
      </c>
      <c r="X46" s="4">
        <v>103.2</v>
      </c>
      <c r="Y46" s="4">
        <v>95.3</v>
      </c>
      <c r="Z46" s="4">
        <v>1060.0</v>
      </c>
      <c r="AA46" s="4">
        <v>988.0</v>
      </c>
      <c r="AB46" s="4">
        <v>60.0</v>
      </c>
      <c r="AC46" s="4">
        <v>2.0</v>
      </c>
      <c r="AD46" s="4">
        <v>516.0</v>
      </c>
      <c r="AE46" s="4">
        <v>2.5</v>
      </c>
      <c r="AF46" s="4">
        <v>106.0</v>
      </c>
      <c r="AG46" s="4">
        <v>40.7</v>
      </c>
      <c r="AH46" s="4">
        <v>481.4</v>
      </c>
      <c r="AI46" s="4">
        <v>58.19</v>
      </c>
      <c r="AJ46" s="4">
        <v>74.54</v>
      </c>
      <c r="AK46" s="4">
        <v>5.75</v>
      </c>
      <c r="AL46" s="4">
        <v>7.36</v>
      </c>
      <c r="AM46" s="4">
        <v>58.68</v>
      </c>
      <c r="AN46" s="4">
        <v>75.25</v>
      </c>
      <c r="AO46" s="4">
        <v>5.99</v>
      </c>
      <c r="AP46" s="4">
        <v>7.4</v>
      </c>
      <c r="AQ46" s="4">
        <v>0.8</v>
      </c>
      <c r="AR46" s="4">
        <v>0.8</v>
      </c>
      <c r="AS46" s="4">
        <v>2.07</v>
      </c>
      <c r="AT46" s="4">
        <f t="shared" si="226"/>
        <v>0.01</v>
      </c>
      <c r="AU46" s="4">
        <v>0.66</v>
      </c>
      <c r="AV46" s="4">
        <v>4.3</v>
      </c>
      <c r="AW46" s="4">
        <f t="shared" ref="AW46:AW47" si="232">0.5*2</f>
        <v>1</v>
      </c>
      <c r="AX46" s="4">
        <f t="shared" ref="AX46:AX47" si="233">0.5*5</f>
        <v>2.5</v>
      </c>
      <c r="AY46" s="4">
        <f t="shared" ref="AY46:AY47" si="234">0.5*2</f>
        <v>1</v>
      </c>
      <c r="AZ46" s="4">
        <v>600.0</v>
      </c>
      <c r="BA46" s="4">
        <v>450.0</v>
      </c>
      <c r="BB46" s="4">
        <v>0.0</v>
      </c>
      <c r="BC46" s="4"/>
      <c r="BD46" s="4"/>
      <c r="BE46" s="4"/>
      <c r="BF46" s="4">
        <f t="shared" ref="BF46:BI46" si="227">0.5*10</f>
        <v>5</v>
      </c>
      <c r="BG46" s="4">
        <f t="shared" si="227"/>
        <v>5</v>
      </c>
      <c r="BH46" s="4">
        <f t="shared" si="227"/>
        <v>5</v>
      </c>
      <c r="BI46" s="4">
        <f t="shared" si="227"/>
        <v>5</v>
      </c>
      <c r="BJ46" s="4">
        <v>5.0</v>
      </c>
      <c r="BK46" s="4">
        <v>22.0</v>
      </c>
      <c r="BL46" s="4">
        <v>6.0</v>
      </c>
      <c r="BM46" s="4">
        <f t="shared" ref="BM46:BM49" si="236">0.5*10</f>
        <v>5</v>
      </c>
      <c r="BN46" s="4">
        <v>136.0</v>
      </c>
      <c r="BO46" s="4">
        <f t="shared" si="228"/>
        <v>5</v>
      </c>
      <c r="BP46" s="4">
        <f t="shared" ref="BP46:BP49" si="237">0.5*5</f>
        <v>2.5</v>
      </c>
      <c r="BQ46" s="4">
        <f t="shared" ref="BQ46:BS46" si="229">0.5*10</f>
        <v>5</v>
      </c>
      <c r="BR46" s="4">
        <f t="shared" si="229"/>
        <v>5</v>
      </c>
      <c r="BS46" s="4">
        <f t="shared" si="229"/>
        <v>5</v>
      </c>
      <c r="BT46" s="4">
        <v>805.0</v>
      </c>
      <c r="BU46" s="4">
        <v>1200.0</v>
      </c>
      <c r="BV46" s="4">
        <f t="shared" si="107"/>
        <v>5</v>
      </c>
      <c r="BW46" s="4">
        <v>5.0</v>
      </c>
      <c r="BX46" s="4">
        <v>179.0</v>
      </c>
      <c r="BY46" s="4">
        <v>11.0</v>
      </c>
      <c r="BZ46" s="4">
        <f t="shared" ref="BZ46:BZ49" si="239">0.5*10</f>
        <v>5</v>
      </c>
      <c r="CA46" s="4">
        <v>329.0</v>
      </c>
      <c r="CB46" s="4">
        <f t="shared" ref="CB46:CB49" si="240">0.5*10</f>
        <v>5</v>
      </c>
      <c r="CC46" s="4">
        <f t="shared" ref="CC46:CC49" si="241">0.5*5</f>
        <v>2.5</v>
      </c>
      <c r="CD46" s="4">
        <v>11.0</v>
      </c>
      <c r="CE46" s="4">
        <f t="shared" ref="CE46:CF46" si="230">0.5*10</f>
        <v>5</v>
      </c>
      <c r="CF46" s="4">
        <f t="shared" si="230"/>
        <v>5</v>
      </c>
      <c r="CG46" s="4">
        <v>3493.0</v>
      </c>
      <c r="CH46" s="4">
        <v>1189.0</v>
      </c>
      <c r="CI46" s="4">
        <f t="shared" si="111"/>
        <v>5</v>
      </c>
      <c r="CJ46" s="4"/>
      <c r="CK46" s="4">
        <f t="shared" ref="CK46:CK47" si="243">0.5*0.002</f>
        <v>0.001</v>
      </c>
      <c r="CL46" s="4">
        <v>0.003</v>
      </c>
      <c r="CM46" s="4">
        <v>0.076</v>
      </c>
      <c r="CN46" s="4">
        <f t="shared" si="231"/>
        <v>0.05</v>
      </c>
      <c r="CO46" s="4"/>
      <c r="CP46" s="4">
        <v>3216.67</v>
      </c>
      <c r="CQ46" s="4">
        <v>60.67</v>
      </c>
      <c r="CR46" s="4"/>
      <c r="CS46" s="4"/>
      <c r="CT46" s="4"/>
      <c r="CU46" s="4"/>
      <c r="CV46" s="4">
        <v>0.0</v>
      </c>
      <c r="CW46" s="4">
        <v>44800.0</v>
      </c>
      <c r="CX46" s="4">
        <v>2616.67</v>
      </c>
      <c r="CY46" s="4">
        <v>83.33</v>
      </c>
      <c r="CZ46" s="4"/>
    </row>
    <row r="47">
      <c r="A47" s="4" t="s">
        <v>154</v>
      </c>
      <c r="B47" s="4" t="s">
        <v>155</v>
      </c>
      <c r="C47" s="5" t="s">
        <v>362</v>
      </c>
      <c r="D47" s="5" t="s">
        <v>366</v>
      </c>
      <c r="E47" s="4" t="s">
        <v>264</v>
      </c>
      <c r="F47" s="4" t="s">
        <v>109</v>
      </c>
      <c r="G47" s="4" t="s">
        <v>110</v>
      </c>
      <c r="H47" s="4" t="s">
        <v>157</v>
      </c>
      <c r="I47" s="4" t="s">
        <v>158</v>
      </c>
      <c r="J47" s="4" t="s">
        <v>367</v>
      </c>
      <c r="K47" s="4" t="s">
        <v>368</v>
      </c>
      <c r="L47" s="4">
        <v>-21.239</v>
      </c>
      <c r="M47" s="4">
        <v>-65.2095</v>
      </c>
      <c r="N47" s="4">
        <v>0.557</v>
      </c>
      <c r="O47" s="4">
        <v>5.0</v>
      </c>
      <c r="P47" s="4">
        <v>800.0</v>
      </c>
      <c r="Q47" s="4">
        <v>179.3</v>
      </c>
      <c r="R47" s="4">
        <v>8.53</v>
      </c>
      <c r="S47" s="4">
        <v>-94.7</v>
      </c>
      <c r="T47" s="4">
        <v>1251.0</v>
      </c>
      <c r="U47" s="4">
        <v>0.6</v>
      </c>
      <c r="V47" s="4">
        <v>13.8</v>
      </c>
      <c r="W47" s="4">
        <v>8.89</v>
      </c>
      <c r="X47" s="4">
        <v>114.0</v>
      </c>
      <c r="Y47" s="4">
        <v>80.7</v>
      </c>
      <c r="Z47" s="4">
        <v>1070.0</v>
      </c>
      <c r="AA47" s="4">
        <v>1010.0</v>
      </c>
      <c r="AB47" s="4">
        <v>66.0</v>
      </c>
      <c r="AC47" s="4">
        <f>0.5*0.05</f>
        <v>0.025</v>
      </c>
      <c r="AD47" s="4">
        <v>512.0</v>
      </c>
      <c r="AE47" s="4">
        <v>7.0</v>
      </c>
      <c r="AF47" s="4">
        <v>167.0</v>
      </c>
      <c r="AG47" s="4">
        <v>60.1</v>
      </c>
      <c r="AH47" s="4">
        <v>516.0</v>
      </c>
      <c r="AI47" s="4">
        <v>84.11</v>
      </c>
      <c r="AJ47" s="4">
        <v>56.26</v>
      </c>
      <c r="AK47" s="4">
        <v>80.65</v>
      </c>
      <c r="AL47" s="4">
        <v>7.08</v>
      </c>
      <c r="AM47" s="4">
        <v>91.04</v>
      </c>
      <c r="AN47" s="4">
        <v>56.61</v>
      </c>
      <c r="AO47" s="4">
        <v>81.88</v>
      </c>
      <c r="AP47" s="4">
        <v>7.31</v>
      </c>
      <c r="AQ47" s="4">
        <v>1.04</v>
      </c>
      <c r="AR47" s="4">
        <v>0.86</v>
      </c>
      <c r="AS47" s="4">
        <v>1.34</v>
      </c>
      <c r="AT47" s="4">
        <f t="shared" si="226"/>
        <v>0.01</v>
      </c>
      <c r="AU47" s="4">
        <v>0.78</v>
      </c>
      <c r="AV47" s="4">
        <v>2.9</v>
      </c>
      <c r="AW47" s="4">
        <f t="shared" si="232"/>
        <v>1</v>
      </c>
      <c r="AX47" s="4">
        <f t="shared" si="233"/>
        <v>2.5</v>
      </c>
      <c r="AY47" s="4">
        <f t="shared" si="234"/>
        <v>1</v>
      </c>
      <c r="AZ47" s="4">
        <v>62.0</v>
      </c>
      <c r="BA47" s="4">
        <v>20.0</v>
      </c>
      <c r="BB47" s="4">
        <v>41.0</v>
      </c>
      <c r="BC47" s="4"/>
      <c r="BD47" s="4"/>
      <c r="BE47" s="4"/>
      <c r="BF47" s="4">
        <f t="shared" ref="BF47:BI47" si="235">0.5*10</f>
        <v>5</v>
      </c>
      <c r="BG47" s="4">
        <f t="shared" si="235"/>
        <v>5</v>
      </c>
      <c r="BH47" s="4">
        <f t="shared" si="235"/>
        <v>5</v>
      </c>
      <c r="BI47" s="4">
        <f t="shared" si="235"/>
        <v>5</v>
      </c>
      <c r="BJ47" s="4">
        <f t="shared" ref="BJ47:BJ57" si="245">0.5*5</f>
        <v>2.5</v>
      </c>
      <c r="BK47" s="4">
        <v>15.0</v>
      </c>
      <c r="BL47" s="4">
        <f t="shared" ref="BL47:BL49" si="246">0.5*5</f>
        <v>2.5</v>
      </c>
      <c r="BM47" s="4">
        <f t="shared" si="236"/>
        <v>5</v>
      </c>
      <c r="BN47" s="4">
        <v>46.0</v>
      </c>
      <c r="BO47" s="4">
        <f t="shared" si="228"/>
        <v>5</v>
      </c>
      <c r="BP47" s="4">
        <f t="shared" si="237"/>
        <v>2.5</v>
      </c>
      <c r="BQ47" s="4">
        <f t="shared" ref="BQ47:BS47" si="238">0.5*10</f>
        <v>5</v>
      </c>
      <c r="BR47" s="4">
        <f t="shared" si="238"/>
        <v>5</v>
      </c>
      <c r="BS47" s="4">
        <f t="shared" si="238"/>
        <v>5</v>
      </c>
      <c r="BT47" s="4">
        <v>139.0</v>
      </c>
      <c r="BU47" s="4">
        <v>2430.0</v>
      </c>
      <c r="BV47" s="4">
        <f t="shared" si="107"/>
        <v>5</v>
      </c>
      <c r="BW47" s="4">
        <f t="shared" ref="BW47:BW50" si="248">0.5*5</f>
        <v>2.5</v>
      </c>
      <c r="BX47" s="4">
        <v>79.0</v>
      </c>
      <c r="BY47" s="4">
        <f t="shared" ref="BY47:BY49" si="249">0.5*5</f>
        <v>2.5</v>
      </c>
      <c r="BZ47" s="4">
        <f t="shared" si="239"/>
        <v>5</v>
      </c>
      <c r="CA47" s="4">
        <v>426.0</v>
      </c>
      <c r="CB47" s="4">
        <f t="shared" si="240"/>
        <v>5</v>
      </c>
      <c r="CC47" s="4">
        <f t="shared" si="241"/>
        <v>2.5</v>
      </c>
      <c r="CD47" s="4">
        <f t="shared" ref="CD47:CF47" si="242">0.5*10</f>
        <v>5</v>
      </c>
      <c r="CE47" s="4">
        <f t="shared" si="242"/>
        <v>5</v>
      </c>
      <c r="CF47" s="4">
        <f t="shared" si="242"/>
        <v>5</v>
      </c>
      <c r="CG47" s="4">
        <v>2383.0</v>
      </c>
      <c r="CH47" s="4">
        <v>2450.0</v>
      </c>
      <c r="CI47" s="4">
        <f t="shared" si="111"/>
        <v>5</v>
      </c>
      <c r="CJ47" s="4"/>
      <c r="CK47" s="4">
        <f t="shared" si="243"/>
        <v>0.001</v>
      </c>
      <c r="CL47" s="4">
        <v>0.002</v>
      </c>
      <c r="CM47" s="4">
        <v>0.078</v>
      </c>
      <c r="CN47" s="4">
        <f t="shared" si="231"/>
        <v>0.05</v>
      </c>
      <c r="CO47" s="4"/>
      <c r="CP47" s="4">
        <v>5757.58</v>
      </c>
      <c r="CQ47" s="4"/>
      <c r="CR47" s="4"/>
      <c r="CS47" s="4">
        <v>303.03</v>
      </c>
      <c r="CT47" s="4"/>
      <c r="CU47" s="4"/>
      <c r="CV47" s="4"/>
      <c r="CW47" s="4">
        <v>34000.0</v>
      </c>
      <c r="CX47" s="4">
        <v>969.7</v>
      </c>
      <c r="CY47" s="4"/>
      <c r="CZ47" s="4"/>
    </row>
    <row r="48">
      <c r="A48" s="4" t="s">
        <v>369</v>
      </c>
      <c r="B48" s="4" t="s">
        <v>370</v>
      </c>
      <c r="C48" s="5" t="s">
        <v>371</v>
      </c>
      <c r="D48" s="5" t="s">
        <v>372</v>
      </c>
      <c r="E48" s="4" t="s">
        <v>264</v>
      </c>
      <c r="F48" s="4" t="s">
        <v>109</v>
      </c>
      <c r="G48" s="4" t="s">
        <v>110</v>
      </c>
      <c r="H48" s="4" t="s">
        <v>111</v>
      </c>
      <c r="I48" s="4" t="s">
        <v>165</v>
      </c>
      <c r="J48" s="4" t="s">
        <v>373</v>
      </c>
      <c r="K48" s="4" t="s">
        <v>374</v>
      </c>
      <c r="L48" s="4">
        <v>-20.9139</v>
      </c>
      <c r="M48" s="4">
        <v>-64.1105</v>
      </c>
      <c r="N48" s="4"/>
      <c r="O48" s="4">
        <v>38.0</v>
      </c>
      <c r="P48" s="4">
        <v>806.0</v>
      </c>
      <c r="Q48" s="4">
        <v>218.0</v>
      </c>
      <c r="R48" s="4">
        <v>8.71</v>
      </c>
      <c r="S48" s="4">
        <v>-106.0</v>
      </c>
      <c r="T48" s="4">
        <v>1240.0</v>
      </c>
      <c r="U48" s="4">
        <v>0.6</v>
      </c>
      <c r="V48" s="4">
        <v>20.6</v>
      </c>
      <c r="W48" s="4">
        <v>9.43</v>
      </c>
      <c r="X48" s="4">
        <v>114.1</v>
      </c>
      <c r="Y48" s="4">
        <v>26.0</v>
      </c>
      <c r="Z48" s="4">
        <v>911.0</v>
      </c>
      <c r="AA48" s="4">
        <v>887.0</v>
      </c>
      <c r="AB48" s="4">
        <v>24.0</v>
      </c>
      <c r="AC48" s="4">
        <v>83.5</v>
      </c>
      <c r="AD48" s="4">
        <v>446.8</v>
      </c>
      <c r="AE48" s="4">
        <v>20.3</v>
      </c>
      <c r="AF48" s="4">
        <v>77.8</v>
      </c>
      <c r="AG48" s="4">
        <v>142.32</v>
      </c>
      <c r="AH48" s="4">
        <v>336.4</v>
      </c>
      <c r="AI48" s="4">
        <v>96.7</v>
      </c>
      <c r="AJ48" s="4">
        <v>49.2</v>
      </c>
      <c r="AK48" s="4">
        <v>112.0</v>
      </c>
      <c r="AL48" s="4">
        <v>8.5</v>
      </c>
      <c r="AM48" s="4">
        <v>98.7</v>
      </c>
      <c r="AN48" s="4">
        <v>51.4</v>
      </c>
      <c r="AO48" s="4">
        <v>126.0</v>
      </c>
      <c r="AP48" s="4">
        <v>8.7</v>
      </c>
      <c r="AQ48" s="4">
        <v>0.18</v>
      </c>
      <c r="AR48" s="4">
        <v>0.09</v>
      </c>
      <c r="AS48" s="4">
        <v>0.26</v>
      </c>
      <c r="AT48" s="4">
        <v>5.6</v>
      </c>
      <c r="AU48" s="4">
        <v>25.9</v>
      </c>
      <c r="AV48" s="4">
        <v>0.19</v>
      </c>
      <c r="AW48" s="4"/>
      <c r="AX48" s="4">
        <v>10.6</v>
      </c>
      <c r="AY48" s="4">
        <v>44.0</v>
      </c>
      <c r="AZ48" s="4"/>
      <c r="BA48" s="4"/>
      <c r="BB48" s="4"/>
      <c r="BC48" s="4">
        <v>9300.0</v>
      </c>
      <c r="BD48" s="4">
        <v>70.0</v>
      </c>
      <c r="BE48" s="4">
        <v>86000.0</v>
      </c>
      <c r="BF48" s="4">
        <f t="shared" ref="BF48:BI48" si="244">0.5*10</f>
        <v>5</v>
      </c>
      <c r="BG48" s="4">
        <f t="shared" si="244"/>
        <v>5</v>
      </c>
      <c r="BH48" s="4">
        <f t="shared" si="244"/>
        <v>5</v>
      </c>
      <c r="BI48" s="4">
        <f t="shared" si="244"/>
        <v>5</v>
      </c>
      <c r="BJ48" s="4">
        <f t="shared" si="245"/>
        <v>2.5</v>
      </c>
      <c r="BK48" s="4">
        <f t="shared" ref="BK48:BK49" si="252">0.5*10</f>
        <v>5</v>
      </c>
      <c r="BL48" s="4">
        <f t="shared" si="246"/>
        <v>2.5</v>
      </c>
      <c r="BM48" s="4">
        <f t="shared" si="236"/>
        <v>5</v>
      </c>
      <c r="BN48" s="4">
        <v>41.0</v>
      </c>
      <c r="BO48" s="4">
        <f t="shared" si="228"/>
        <v>5</v>
      </c>
      <c r="BP48" s="4">
        <f t="shared" si="237"/>
        <v>2.5</v>
      </c>
      <c r="BQ48" s="4">
        <f t="shared" ref="BQ48:BS48" si="247">0.5*10</f>
        <v>5</v>
      </c>
      <c r="BR48" s="4">
        <f t="shared" si="247"/>
        <v>5</v>
      </c>
      <c r="BS48" s="4">
        <f t="shared" si="247"/>
        <v>5</v>
      </c>
      <c r="BT48" s="4">
        <v>70.0</v>
      </c>
      <c r="BU48" s="4">
        <v>839.0</v>
      </c>
      <c r="BV48" s="4">
        <f t="shared" si="107"/>
        <v>5</v>
      </c>
      <c r="BW48" s="4">
        <f t="shared" si="248"/>
        <v>2.5</v>
      </c>
      <c r="BX48" s="4">
        <v>72.0</v>
      </c>
      <c r="BY48" s="4">
        <f t="shared" si="249"/>
        <v>2.5</v>
      </c>
      <c r="BZ48" s="4">
        <f t="shared" si="239"/>
        <v>5</v>
      </c>
      <c r="CA48" s="4">
        <v>472.0</v>
      </c>
      <c r="CB48" s="4">
        <f t="shared" si="240"/>
        <v>5</v>
      </c>
      <c r="CC48" s="4">
        <f t="shared" si="241"/>
        <v>2.5</v>
      </c>
      <c r="CD48" s="4">
        <f t="shared" ref="CD48:CF48" si="250">0.5*10</f>
        <v>5</v>
      </c>
      <c r="CE48" s="4">
        <f t="shared" si="250"/>
        <v>5</v>
      </c>
      <c r="CF48" s="4">
        <f t="shared" si="250"/>
        <v>5</v>
      </c>
      <c r="CG48" s="4">
        <v>765.0</v>
      </c>
      <c r="CH48" s="4">
        <v>865.0</v>
      </c>
      <c r="CI48" s="4">
        <f t="shared" si="111"/>
        <v>5</v>
      </c>
      <c r="CJ48" s="4"/>
      <c r="CK48" s="4"/>
      <c r="CL48" s="4">
        <f t="shared" ref="CL48:CL49" si="255">0.5*1</f>
        <v>0.5</v>
      </c>
      <c r="CM48" s="4">
        <v>0.048</v>
      </c>
      <c r="CN48" s="4">
        <f t="shared" si="231"/>
        <v>0.05</v>
      </c>
      <c r="CO48" s="4"/>
      <c r="CP48" s="4">
        <v>17958.33</v>
      </c>
      <c r="CQ48" s="4"/>
      <c r="CR48" s="4"/>
      <c r="CS48" s="4">
        <v>1083.33</v>
      </c>
      <c r="CT48" s="4"/>
      <c r="CU48" s="4"/>
      <c r="CV48" s="4"/>
      <c r="CW48" s="4">
        <v>28958.33</v>
      </c>
      <c r="CX48" s="4">
        <v>3000.0</v>
      </c>
      <c r="CY48" s="4"/>
      <c r="CZ48" s="4"/>
    </row>
    <row r="49">
      <c r="A49" s="4" t="s">
        <v>161</v>
      </c>
      <c r="B49" s="4" t="s">
        <v>162</v>
      </c>
      <c r="C49" s="5" t="s">
        <v>371</v>
      </c>
      <c r="D49" s="5" t="s">
        <v>375</v>
      </c>
      <c r="E49" s="4" t="s">
        <v>264</v>
      </c>
      <c r="F49" s="4" t="s">
        <v>109</v>
      </c>
      <c r="G49" s="4" t="s">
        <v>110</v>
      </c>
      <c r="H49" s="4" t="s">
        <v>111</v>
      </c>
      <c r="I49" s="4" t="s">
        <v>165</v>
      </c>
      <c r="J49" s="4" t="s">
        <v>376</v>
      </c>
      <c r="K49" s="4" t="s">
        <v>377</v>
      </c>
      <c r="L49" s="4">
        <v>-21.2579</v>
      </c>
      <c r="M49" s="4">
        <v>-63.5121</v>
      </c>
      <c r="N49" s="4"/>
      <c r="O49" s="4">
        <v>44.0</v>
      </c>
      <c r="P49" s="4">
        <v>710.0</v>
      </c>
      <c r="Q49" s="4">
        <v>200.6</v>
      </c>
      <c r="R49" s="4">
        <v>8.58</v>
      </c>
      <c r="S49" s="4">
        <v>-99.2</v>
      </c>
      <c r="T49" s="4">
        <v>1408.0</v>
      </c>
      <c r="U49" s="4">
        <v>0.7</v>
      </c>
      <c r="V49" s="4">
        <v>20.6</v>
      </c>
      <c r="W49" s="4">
        <v>8.7</v>
      </c>
      <c r="X49" s="4">
        <v>101.3</v>
      </c>
      <c r="Y49" s="4">
        <v>25.6</v>
      </c>
      <c r="Z49" s="4">
        <v>972.0</v>
      </c>
      <c r="AA49" s="4">
        <v>954.0</v>
      </c>
      <c r="AB49" s="4">
        <v>18.0</v>
      </c>
      <c r="AC49" s="4">
        <v>98.0</v>
      </c>
      <c r="AD49" s="4">
        <v>469.3</v>
      </c>
      <c r="AE49" s="4">
        <v>25.1</v>
      </c>
      <c r="AF49" s="4">
        <v>112.7</v>
      </c>
      <c r="AG49" s="4">
        <v>176.2</v>
      </c>
      <c r="AH49" s="4">
        <v>362.0</v>
      </c>
      <c r="AI49" s="4">
        <v>104.7</v>
      </c>
      <c r="AJ49" s="4">
        <v>49.8</v>
      </c>
      <c r="AK49" s="4">
        <v>137.0</v>
      </c>
      <c r="AL49" s="4">
        <v>8.0</v>
      </c>
      <c r="AM49" s="4">
        <v>106.7</v>
      </c>
      <c r="AN49" s="4">
        <v>53.1</v>
      </c>
      <c r="AO49" s="4">
        <v>161.0</v>
      </c>
      <c r="AP49" s="4">
        <v>8.9</v>
      </c>
      <c r="AQ49" s="4">
        <v>0.18</v>
      </c>
      <c r="AR49" s="4">
        <v>0.06</v>
      </c>
      <c r="AS49" s="4"/>
      <c r="AT49" s="4">
        <v>3.8</v>
      </c>
      <c r="AU49" s="4">
        <v>12.1</v>
      </c>
      <c r="AV49" s="4">
        <v>0.18</v>
      </c>
      <c r="AW49" s="4"/>
      <c r="AX49" s="4">
        <v>17.7</v>
      </c>
      <c r="AY49" s="4">
        <v>47.5</v>
      </c>
      <c r="AZ49" s="4"/>
      <c r="BA49" s="4"/>
      <c r="BB49" s="4"/>
      <c r="BC49" s="4">
        <v>23000.0</v>
      </c>
      <c r="BD49" s="4">
        <v>930.0</v>
      </c>
      <c r="BE49" s="4">
        <v>61000.0</v>
      </c>
      <c r="BF49" s="4">
        <v>29.0</v>
      </c>
      <c r="BG49" s="4">
        <f t="shared" ref="BG49:BI49" si="251">0.5*10</f>
        <v>5</v>
      </c>
      <c r="BH49" s="4">
        <f t="shared" si="251"/>
        <v>5</v>
      </c>
      <c r="BI49" s="4">
        <f t="shared" si="251"/>
        <v>5</v>
      </c>
      <c r="BJ49" s="4">
        <f t="shared" si="245"/>
        <v>2.5</v>
      </c>
      <c r="BK49" s="4">
        <f t="shared" si="252"/>
        <v>5</v>
      </c>
      <c r="BL49" s="4">
        <f t="shared" si="246"/>
        <v>2.5</v>
      </c>
      <c r="BM49" s="4">
        <f t="shared" si="236"/>
        <v>5</v>
      </c>
      <c r="BN49" s="4">
        <v>32.0</v>
      </c>
      <c r="BO49" s="4">
        <f t="shared" si="228"/>
        <v>5</v>
      </c>
      <c r="BP49" s="4">
        <f t="shared" si="237"/>
        <v>2.5</v>
      </c>
      <c r="BQ49" s="4">
        <f t="shared" ref="BQ49:BS49" si="253">0.5*10</f>
        <v>5</v>
      </c>
      <c r="BR49" s="4">
        <f t="shared" si="253"/>
        <v>5</v>
      </c>
      <c r="BS49" s="4">
        <f t="shared" si="253"/>
        <v>5</v>
      </c>
      <c r="BT49" s="4">
        <v>51.0</v>
      </c>
      <c r="BU49" s="4">
        <v>847.0</v>
      </c>
      <c r="BV49" s="4">
        <f t="shared" si="107"/>
        <v>5</v>
      </c>
      <c r="BW49" s="4">
        <f t="shared" si="248"/>
        <v>2.5</v>
      </c>
      <c r="BX49" s="4">
        <v>60.0</v>
      </c>
      <c r="BY49" s="4">
        <f t="shared" si="249"/>
        <v>2.5</v>
      </c>
      <c r="BZ49" s="4">
        <f t="shared" si="239"/>
        <v>5</v>
      </c>
      <c r="CA49" s="4">
        <v>81.0</v>
      </c>
      <c r="CB49" s="4">
        <f t="shared" si="240"/>
        <v>5</v>
      </c>
      <c r="CC49" s="4">
        <f t="shared" si="241"/>
        <v>2.5</v>
      </c>
      <c r="CD49" s="4">
        <f t="shared" ref="CD49:CF49" si="254">0.5*10</f>
        <v>5</v>
      </c>
      <c r="CE49" s="4">
        <f t="shared" si="254"/>
        <v>5</v>
      </c>
      <c r="CF49" s="4">
        <f t="shared" si="254"/>
        <v>5</v>
      </c>
      <c r="CG49" s="4">
        <v>709.0</v>
      </c>
      <c r="CH49" s="4">
        <v>911.0</v>
      </c>
      <c r="CI49" s="4">
        <f t="shared" si="111"/>
        <v>5</v>
      </c>
      <c r="CJ49" s="4"/>
      <c r="CK49" s="4"/>
      <c r="CL49" s="4">
        <f t="shared" si="255"/>
        <v>0.5</v>
      </c>
      <c r="CM49" s="4">
        <v>0.068</v>
      </c>
      <c r="CN49" s="4">
        <f t="shared" si="231"/>
        <v>0.05</v>
      </c>
      <c r="CO49" s="4"/>
      <c r="CP49" s="4">
        <v>2722.22</v>
      </c>
      <c r="CQ49" s="4"/>
      <c r="CR49" s="4"/>
      <c r="CS49" s="4">
        <v>3555.56</v>
      </c>
      <c r="CT49" s="4"/>
      <c r="CU49" s="4"/>
      <c r="CV49" s="4"/>
      <c r="CW49" s="4">
        <v>36555.56</v>
      </c>
      <c r="CX49" s="4">
        <v>3333.33</v>
      </c>
      <c r="CY49" s="4"/>
      <c r="CZ49" s="4"/>
    </row>
    <row r="50">
      <c r="A50" s="4" t="s">
        <v>129</v>
      </c>
      <c r="B50" s="4" t="s">
        <v>130</v>
      </c>
      <c r="C50" s="5" t="s">
        <v>378</v>
      </c>
      <c r="D50" s="5" t="s">
        <v>379</v>
      </c>
      <c r="E50" s="4" t="s">
        <v>380</v>
      </c>
      <c r="F50" s="4" t="s">
        <v>109</v>
      </c>
      <c r="G50" s="4" t="s">
        <v>110</v>
      </c>
      <c r="H50" s="4" t="s">
        <v>129</v>
      </c>
      <c r="I50" s="4" t="s">
        <v>119</v>
      </c>
      <c r="J50" s="4" t="s">
        <v>381</v>
      </c>
      <c r="K50" s="4" t="s">
        <v>382</v>
      </c>
      <c r="L50" s="4">
        <v>-19.4719</v>
      </c>
      <c r="M50" s="4">
        <v>-65.7944</v>
      </c>
      <c r="N50" s="4">
        <v>0.535</v>
      </c>
      <c r="O50" s="4">
        <v>2.0</v>
      </c>
      <c r="P50" s="4">
        <v>1604.0</v>
      </c>
      <c r="Q50" s="4">
        <v>128.0</v>
      </c>
      <c r="R50" s="4">
        <v>7.45</v>
      </c>
      <c r="S50" s="4">
        <v>-33.3</v>
      </c>
      <c r="T50" s="4">
        <v>623.0</v>
      </c>
      <c r="U50" s="4">
        <v>0.2</v>
      </c>
      <c r="V50" s="4">
        <v>12.5</v>
      </c>
      <c r="W50" s="4">
        <v>6.5</v>
      </c>
      <c r="X50" s="4">
        <v>91.5</v>
      </c>
      <c r="Y50" s="4">
        <v>118.0</v>
      </c>
      <c r="Z50" s="4">
        <v>434.0</v>
      </c>
      <c r="AA50" s="4">
        <v>390.0</v>
      </c>
      <c r="AB50" s="4">
        <v>55.0</v>
      </c>
      <c r="AC50" s="4"/>
      <c r="AD50" s="4">
        <v>148.4</v>
      </c>
      <c r="AE50" s="4">
        <f t="shared" ref="AE50:AE51" si="259">0.5*0.1</f>
        <v>0.05</v>
      </c>
      <c r="AF50" s="4">
        <v>85.0</v>
      </c>
      <c r="AG50" s="4">
        <v>36.18</v>
      </c>
      <c r="AH50" s="4">
        <v>199.1</v>
      </c>
      <c r="AI50" s="4">
        <v>44.64</v>
      </c>
      <c r="AJ50" s="4">
        <v>6.23</v>
      </c>
      <c r="AK50" s="4">
        <v>27.6</v>
      </c>
      <c r="AL50" s="4">
        <v>9.6</v>
      </c>
      <c r="AM50" s="4">
        <v>46.38</v>
      </c>
      <c r="AN50" s="4">
        <v>7.92</v>
      </c>
      <c r="AO50" s="4">
        <v>38.87</v>
      </c>
      <c r="AP50" s="4">
        <v>10.2</v>
      </c>
      <c r="AQ50" s="4"/>
      <c r="AR50" s="4"/>
      <c r="AS50" s="4"/>
      <c r="AT50" s="4"/>
      <c r="AU50" s="4">
        <v>2.26</v>
      </c>
      <c r="AV50" s="4"/>
      <c r="AW50" s="4"/>
      <c r="AX50" s="4">
        <v>10.0</v>
      </c>
      <c r="AY50" s="4">
        <v>14.0</v>
      </c>
      <c r="AZ50" s="4"/>
      <c r="BA50" s="4"/>
      <c r="BB50" s="4"/>
      <c r="BC50" s="4"/>
      <c r="BD50" s="4"/>
      <c r="BE50" s="4"/>
      <c r="BF50" s="4">
        <f t="shared" ref="BF50:BI50" si="256">0.5*10</f>
        <v>5</v>
      </c>
      <c r="BG50" s="4">
        <f t="shared" si="256"/>
        <v>5</v>
      </c>
      <c r="BH50" s="4">
        <f t="shared" si="256"/>
        <v>5</v>
      </c>
      <c r="BI50" s="4">
        <f t="shared" si="256"/>
        <v>5</v>
      </c>
      <c r="BJ50" s="4">
        <f t="shared" si="245"/>
        <v>2.5</v>
      </c>
      <c r="BK50" s="4">
        <v>818.0</v>
      </c>
      <c r="BL50" s="4">
        <v>10.0</v>
      </c>
      <c r="BM50" s="4">
        <v>46.0</v>
      </c>
      <c r="BN50" s="4">
        <v>4138.0</v>
      </c>
      <c r="BO50" s="4">
        <v>35.0</v>
      </c>
      <c r="BP50" s="4">
        <v>14.0</v>
      </c>
      <c r="BQ50" s="4">
        <f t="shared" ref="BQ50:BS50" si="257">0.5*10</f>
        <v>5</v>
      </c>
      <c r="BR50" s="4">
        <f t="shared" si="257"/>
        <v>5</v>
      </c>
      <c r="BS50" s="4">
        <f t="shared" si="257"/>
        <v>5</v>
      </c>
      <c r="BT50" s="4">
        <v>1873.0</v>
      </c>
      <c r="BU50" s="4">
        <v>208.0</v>
      </c>
      <c r="BV50" s="4">
        <f t="shared" si="107"/>
        <v>5</v>
      </c>
      <c r="BW50" s="4">
        <f t="shared" si="248"/>
        <v>2.5</v>
      </c>
      <c r="BX50" s="4">
        <v>874.0</v>
      </c>
      <c r="BY50" s="4">
        <v>11.0</v>
      </c>
      <c r="BZ50" s="4">
        <v>113.0</v>
      </c>
      <c r="CA50" s="4">
        <v>7119.0</v>
      </c>
      <c r="CB50" s="4">
        <v>113.0</v>
      </c>
      <c r="CC50" s="4">
        <v>21.0</v>
      </c>
      <c r="CD50" s="4">
        <v>20.0</v>
      </c>
      <c r="CE50" s="4">
        <f t="shared" ref="CE50:CF50" si="258">0.5*10</f>
        <v>5</v>
      </c>
      <c r="CF50" s="4">
        <f t="shared" si="258"/>
        <v>5</v>
      </c>
      <c r="CG50" s="4">
        <v>9798.0</v>
      </c>
      <c r="CH50" s="4">
        <v>262.0</v>
      </c>
      <c r="CI50" s="4">
        <f t="shared" si="111"/>
        <v>5</v>
      </c>
      <c r="CJ50" s="4"/>
      <c r="CK50" s="4"/>
      <c r="CL50" s="4">
        <v>0.002</v>
      </c>
      <c r="CM50" s="4"/>
      <c r="CN50" s="4">
        <f t="shared" si="231"/>
        <v>0.05</v>
      </c>
      <c r="CO50" s="4"/>
      <c r="CP50" s="4">
        <v>54200.0</v>
      </c>
      <c r="CQ50" s="4">
        <v>189.09</v>
      </c>
      <c r="CR50" s="4">
        <v>1418.18</v>
      </c>
      <c r="CS50" s="4">
        <v>981.82</v>
      </c>
      <c r="CT50" s="4">
        <v>127.27</v>
      </c>
      <c r="CU50" s="4">
        <v>1218.18</v>
      </c>
      <c r="CV50" s="4"/>
      <c r="CW50" s="4">
        <v>144090.91</v>
      </c>
      <c r="CX50" s="4">
        <v>1018.18</v>
      </c>
      <c r="CY50" s="4">
        <v>18.18</v>
      </c>
      <c r="CZ50" s="4"/>
    </row>
    <row r="51">
      <c r="A51" s="4" t="s">
        <v>122</v>
      </c>
      <c r="B51" s="4" t="s">
        <v>123</v>
      </c>
      <c r="C51" s="5" t="s">
        <v>378</v>
      </c>
      <c r="D51" s="5" t="s">
        <v>383</v>
      </c>
      <c r="E51" s="4" t="s">
        <v>380</v>
      </c>
      <c r="F51" s="4" t="s">
        <v>109</v>
      </c>
      <c r="G51" s="4" t="s">
        <v>110</v>
      </c>
      <c r="H51" s="4" t="s">
        <v>126</v>
      </c>
      <c r="I51" s="4" t="s">
        <v>119</v>
      </c>
      <c r="J51" s="4" t="s">
        <v>384</v>
      </c>
      <c r="K51" s="4" t="s">
        <v>385</v>
      </c>
      <c r="L51" s="4">
        <v>-19.3216</v>
      </c>
      <c r="M51" s="4">
        <v>-65.5521</v>
      </c>
      <c r="N51" s="4">
        <v>0.387</v>
      </c>
      <c r="O51" s="4">
        <v>0.0</v>
      </c>
      <c r="P51" s="4">
        <v>2315.0</v>
      </c>
      <c r="Q51" s="4">
        <v>136.4</v>
      </c>
      <c r="R51" s="4">
        <v>3.2</v>
      </c>
      <c r="S51" s="4">
        <v>192.0</v>
      </c>
      <c r="T51" s="4">
        <v>432.0</v>
      </c>
      <c r="U51" s="4">
        <v>0.1</v>
      </c>
      <c r="V51" s="4">
        <v>6.2</v>
      </c>
      <c r="W51" s="4">
        <v>8.03</v>
      </c>
      <c r="X51" s="4">
        <v>99.8</v>
      </c>
      <c r="Y51" s="4">
        <v>73.8</v>
      </c>
      <c r="Z51" s="4">
        <v>242.0</v>
      </c>
      <c r="AA51" s="4">
        <v>248.0</v>
      </c>
      <c r="AB51" s="4">
        <v>27.0</v>
      </c>
      <c r="AC51" s="4"/>
      <c r="AD51" s="4">
        <v>94.9</v>
      </c>
      <c r="AE51" s="4">
        <f t="shared" si="259"/>
        <v>0.05</v>
      </c>
      <c r="AF51" s="4">
        <f>0.5*0.1</f>
        <v>0.05</v>
      </c>
      <c r="AG51" s="4">
        <v>12.58</v>
      </c>
      <c r="AH51" s="4">
        <v>137.2</v>
      </c>
      <c r="AI51" s="4">
        <v>14.45</v>
      </c>
      <c r="AJ51" s="4">
        <v>11.13</v>
      </c>
      <c r="AK51" s="4">
        <v>1.42</v>
      </c>
      <c r="AL51" s="4">
        <v>0.69</v>
      </c>
      <c r="AM51" s="4">
        <v>16.03</v>
      </c>
      <c r="AN51" s="4">
        <v>13.32</v>
      </c>
      <c r="AO51" s="4">
        <v>4.82</v>
      </c>
      <c r="AP51" s="4">
        <v>1.27</v>
      </c>
      <c r="AQ51" s="4"/>
      <c r="AR51" s="4"/>
      <c r="AS51" s="4"/>
      <c r="AT51" s="4"/>
      <c r="AU51" s="4">
        <v>2.75</v>
      </c>
      <c r="AV51" s="4"/>
      <c r="AW51" s="4"/>
      <c r="AX51" s="4">
        <f t="shared" ref="AX51:AX56" si="263">0.5*5</f>
        <v>2.5</v>
      </c>
      <c r="AY51" s="4">
        <f t="shared" ref="AY51:AY52" si="264">0.5*2</f>
        <v>1</v>
      </c>
      <c r="AZ51" s="4"/>
      <c r="BA51" s="4"/>
      <c r="BB51" s="4"/>
      <c r="BC51" s="4"/>
      <c r="BD51" s="4"/>
      <c r="BE51" s="4"/>
      <c r="BF51" s="4">
        <f t="shared" ref="BF51:BH51" si="260">0.5*10</f>
        <v>5</v>
      </c>
      <c r="BG51" s="4">
        <f t="shared" si="260"/>
        <v>5</v>
      </c>
      <c r="BH51" s="4">
        <f t="shared" si="260"/>
        <v>5</v>
      </c>
      <c r="BI51" s="4">
        <v>14.0</v>
      </c>
      <c r="BJ51" s="4">
        <f t="shared" si="245"/>
        <v>2.5</v>
      </c>
      <c r="BK51" s="4">
        <v>3947.0</v>
      </c>
      <c r="BL51" s="4">
        <v>20.0</v>
      </c>
      <c r="BM51" s="4">
        <v>602.0</v>
      </c>
      <c r="BN51" s="4">
        <v>1058.0</v>
      </c>
      <c r="BO51" s="4">
        <f t="shared" ref="BO51:BO52" si="266">0.5*10</f>
        <v>5</v>
      </c>
      <c r="BP51" s="4">
        <v>8.0</v>
      </c>
      <c r="BQ51" s="4">
        <f t="shared" ref="BQ51:BS51" si="261">0.5*10</f>
        <v>5</v>
      </c>
      <c r="BR51" s="4">
        <f t="shared" si="261"/>
        <v>5</v>
      </c>
      <c r="BS51" s="4">
        <f t="shared" si="261"/>
        <v>5</v>
      </c>
      <c r="BT51" s="4">
        <v>22711.0</v>
      </c>
      <c r="BU51" s="4">
        <v>76.0</v>
      </c>
      <c r="BV51" s="4">
        <f t="shared" si="107"/>
        <v>5</v>
      </c>
      <c r="BW51" s="4">
        <v>18.0</v>
      </c>
      <c r="BX51" s="4">
        <v>19863.0</v>
      </c>
      <c r="BY51" s="4">
        <v>110.0</v>
      </c>
      <c r="BZ51" s="4">
        <v>3047.0</v>
      </c>
      <c r="CA51" s="4">
        <v>5565.0</v>
      </c>
      <c r="CB51" s="4">
        <v>11.0</v>
      </c>
      <c r="CC51" s="4">
        <v>31.0</v>
      </c>
      <c r="CD51" s="4">
        <f t="shared" ref="CD51:CF51" si="262">0.5*10</f>
        <v>5</v>
      </c>
      <c r="CE51" s="4">
        <f t="shared" si="262"/>
        <v>5</v>
      </c>
      <c r="CF51" s="4">
        <f t="shared" si="262"/>
        <v>5</v>
      </c>
      <c r="CG51" s="4">
        <v>35901.0</v>
      </c>
      <c r="CH51" s="4">
        <v>259.0</v>
      </c>
      <c r="CI51" s="4">
        <f t="shared" si="111"/>
        <v>5</v>
      </c>
      <c r="CJ51" s="4"/>
      <c r="CK51" s="4"/>
      <c r="CL51" s="4">
        <f t="shared" ref="CL51:CL55" si="269">0.5*0.001</f>
        <v>0.0005</v>
      </c>
      <c r="CM51" s="4"/>
      <c r="CN51" s="4"/>
      <c r="CO51" s="4">
        <v>518.52</v>
      </c>
      <c r="CP51" s="4">
        <v>166925.93</v>
      </c>
      <c r="CQ51" s="4"/>
      <c r="CR51" s="4">
        <v>407.41</v>
      </c>
      <c r="CS51" s="4">
        <v>6777.78</v>
      </c>
      <c r="CT51" s="4">
        <v>851.85</v>
      </c>
      <c r="CU51" s="4">
        <v>90555.56</v>
      </c>
      <c r="CV51" s="4">
        <v>666.67</v>
      </c>
      <c r="CW51" s="4">
        <v>488518.52</v>
      </c>
      <c r="CX51" s="4">
        <v>589481.48</v>
      </c>
      <c r="CY51" s="4">
        <v>3333.33</v>
      </c>
      <c r="CZ51" s="4"/>
    </row>
    <row r="52">
      <c r="A52" s="4" t="s">
        <v>134</v>
      </c>
      <c r="B52" s="4" t="s">
        <v>135</v>
      </c>
      <c r="C52" s="5" t="s">
        <v>386</v>
      </c>
      <c r="D52" s="5" t="s">
        <v>387</v>
      </c>
      <c r="E52" s="4" t="s">
        <v>380</v>
      </c>
      <c r="F52" s="4" t="s">
        <v>109</v>
      </c>
      <c r="G52" s="4" t="s">
        <v>110</v>
      </c>
      <c r="H52" s="4" t="s">
        <v>138</v>
      </c>
      <c r="J52" s="4" t="s">
        <v>388</v>
      </c>
      <c r="K52" s="4" t="s">
        <v>389</v>
      </c>
      <c r="L52" s="4">
        <v>-19.148</v>
      </c>
      <c r="M52" s="4">
        <v>-65.5641</v>
      </c>
      <c r="N52" s="4">
        <v>0.78</v>
      </c>
      <c r="O52" s="4">
        <v>0.0</v>
      </c>
      <c r="P52" s="4">
        <v>1966.0</v>
      </c>
      <c r="Q52" s="4">
        <v>147.2</v>
      </c>
      <c r="R52" s="4">
        <v>8.34</v>
      </c>
      <c r="S52" s="4">
        <v>-83.4</v>
      </c>
      <c r="T52" s="4">
        <v>508.5</v>
      </c>
      <c r="U52" s="4">
        <v>0.2</v>
      </c>
      <c r="V52" s="4">
        <v>17.3</v>
      </c>
      <c r="W52" s="4">
        <v>6.8</v>
      </c>
      <c r="X52" s="4">
        <v>99.8</v>
      </c>
      <c r="Y52" s="4">
        <v>77.0</v>
      </c>
      <c r="Z52" s="4">
        <v>350.0</v>
      </c>
      <c r="AA52" s="4">
        <v>330.0</v>
      </c>
      <c r="AB52" s="4">
        <v>38.0</v>
      </c>
      <c r="AC52" s="4"/>
      <c r="AD52" s="4">
        <v>236.0</v>
      </c>
      <c r="AE52" s="4">
        <v>0.2</v>
      </c>
      <c r="AF52" s="4">
        <v>134.5</v>
      </c>
      <c r="AG52" s="4">
        <v>3.84</v>
      </c>
      <c r="AH52" s="4">
        <v>152.4</v>
      </c>
      <c r="AI52" s="4">
        <v>31.52</v>
      </c>
      <c r="AJ52" s="4">
        <v>36.07</v>
      </c>
      <c r="AK52" s="4">
        <v>10.45</v>
      </c>
      <c r="AL52" s="4">
        <v>4.38</v>
      </c>
      <c r="AM52" s="4">
        <v>32.77</v>
      </c>
      <c r="AN52" s="4">
        <v>39.32</v>
      </c>
      <c r="AO52" s="4">
        <v>12.05</v>
      </c>
      <c r="AP52" s="4">
        <v>5.51</v>
      </c>
      <c r="AQ52" s="4"/>
      <c r="AR52" s="4"/>
      <c r="AS52" s="4"/>
      <c r="AT52" s="4"/>
      <c r="AU52" s="4">
        <v>1.15</v>
      </c>
      <c r="AV52" s="4"/>
      <c r="AW52" s="4"/>
      <c r="AX52" s="4">
        <f t="shared" si="263"/>
        <v>2.5</v>
      </c>
      <c r="AY52" s="4">
        <f t="shared" si="264"/>
        <v>1</v>
      </c>
      <c r="AZ52" s="4"/>
      <c r="BA52" s="4"/>
      <c r="BB52" s="4"/>
      <c r="BC52" s="4"/>
      <c r="BD52" s="4"/>
      <c r="BE52" s="4"/>
      <c r="BF52" s="4">
        <f t="shared" ref="BF52:BI52" si="265">0.5*10</f>
        <v>5</v>
      </c>
      <c r="BG52" s="4">
        <f t="shared" si="265"/>
        <v>5</v>
      </c>
      <c r="BH52" s="4">
        <f t="shared" si="265"/>
        <v>5</v>
      </c>
      <c r="BI52" s="4">
        <f t="shared" si="265"/>
        <v>5</v>
      </c>
      <c r="BJ52" s="4">
        <f t="shared" si="245"/>
        <v>2.5</v>
      </c>
      <c r="BK52" s="4">
        <v>436.0</v>
      </c>
      <c r="BL52" s="4">
        <f t="shared" ref="BL52:BL53" si="271">0.5*5</f>
        <v>2.5</v>
      </c>
      <c r="BM52" s="4">
        <f>0.5*10</f>
        <v>5</v>
      </c>
      <c r="BN52" s="4">
        <v>114.0</v>
      </c>
      <c r="BO52" s="4">
        <f t="shared" si="266"/>
        <v>5</v>
      </c>
      <c r="BP52" s="4">
        <f t="shared" ref="BP52:BP57" si="272">0.5*5</f>
        <v>2.5</v>
      </c>
      <c r="BQ52" s="4">
        <f t="shared" ref="BQ52:BS52" si="267">0.5*10</f>
        <v>5</v>
      </c>
      <c r="BR52" s="4">
        <f t="shared" si="267"/>
        <v>5</v>
      </c>
      <c r="BS52" s="4">
        <f t="shared" si="267"/>
        <v>5</v>
      </c>
      <c r="BT52" s="4">
        <v>236.0</v>
      </c>
      <c r="BU52" s="4">
        <v>94.0</v>
      </c>
      <c r="BV52" s="4">
        <f t="shared" si="107"/>
        <v>5</v>
      </c>
      <c r="BW52" s="4">
        <f t="shared" ref="BW52:BW53" si="274">0.5*5</f>
        <v>2.5</v>
      </c>
      <c r="BX52" s="4">
        <v>571.0</v>
      </c>
      <c r="BY52" s="4">
        <v>7.0</v>
      </c>
      <c r="BZ52" s="4">
        <v>52.0</v>
      </c>
      <c r="CA52" s="4">
        <v>216.0</v>
      </c>
      <c r="CB52" s="4">
        <f>0.5*10</f>
        <v>5</v>
      </c>
      <c r="CC52" s="4">
        <v>5.0</v>
      </c>
      <c r="CD52" s="4">
        <f t="shared" ref="CD52:CF52" si="268">0.5*10</f>
        <v>5</v>
      </c>
      <c r="CE52" s="4">
        <f t="shared" si="268"/>
        <v>5</v>
      </c>
      <c r="CF52" s="4">
        <f t="shared" si="268"/>
        <v>5</v>
      </c>
      <c r="CG52" s="4">
        <v>4468.0</v>
      </c>
      <c r="CH52" s="4">
        <v>102.0</v>
      </c>
      <c r="CI52" s="4">
        <f t="shared" si="111"/>
        <v>5</v>
      </c>
      <c r="CJ52" s="4"/>
      <c r="CK52" s="4"/>
      <c r="CL52" s="4">
        <f t="shared" si="269"/>
        <v>0.0005</v>
      </c>
      <c r="CM52" s="4"/>
      <c r="CN52" s="4"/>
      <c r="CO52" s="4"/>
      <c r="CP52" s="4">
        <v>2684.21</v>
      </c>
      <c r="CQ52" s="4"/>
      <c r="CR52" s="4"/>
      <c r="CS52" s="4">
        <v>210.53</v>
      </c>
      <c r="CT52" s="4">
        <v>131.58</v>
      </c>
      <c r="CU52" s="4">
        <v>1368.42</v>
      </c>
      <c r="CV52" s="4"/>
      <c r="CW52" s="4">
        <v>111368.42</v>
      </c>
      <c r="CX52" s="4">
        <v>3552.63</v>
      </c>
      <c r="CY52" s="4">
        <v>184.21</v>
      </c>
      <c r="CZ52" s="4"/>
    </row>
    <row r="53">
      <c r="A53" s="4" t="s">
        <v>141</v>
      </c>
      <c r="B53" s="4" t="s">
        <v>142</v>
      </c>
      <c r="C53" s="5" t="s">
        <v>386</v>
      </c>
      <c r="D53" s="5" t="s">
        <v>107</v>
      </c>
      <c r="E53" s="4" t="s">
        <v>380</v>
      </c>
      <c r="F53" s="4" t="s">
        <v>109</v>
      </c>
      <c r="G53" s="4" t="s">
        <v>110</v>
      </c>
      <c r="H53" s="4" t="s">
        <v>111</v>
      </c>
      <c r="J53" s="4" t="s">
        <v>390</v>
      </c>
      <c r="K53" s="4" t="s">
        <v>391</v>
      </c>
      <c r="L53" s="4">
        <v>-19.1323</v>
      </c>
      <c r="M53" s="4">
        <v>-65.5721</v>
      </c>
      <c r="N53" s="4">
        <v>1.035</v>
      </c>
      <c r="O53" s="4">
        <v>9.0</v>
      </c>
      <c r="P53" s="4">
        <v>1240.0</v>
      </c>
      <c r="Q53" s="4">
        <v>154.9</v>
      </c>
      <c r="R53" s="4">
        <v>7.35</v>
      </c>
      <c r="S53" s="4">
        <v>-26.9</v>
      </c>
      <c r="T53" s="4">
        <v>806.0</v>
      </c>
      <c r="U53" s="4">
        <v>0.3</v>
      </c>
      <c r="V53" s="4">
        <v>9.6</v>
      </c>
      <c r="W53" s="4">
        <v>8.405</v>
      </c>
      <c r="X53" s="4">
        <v>102.8</v>
      </c>
      <c r="Y53" s="4">
        <v>78.3</v>
      </c>
      <c r="Z53" s="4">
        <v>542.0</v>
      </c>
      <c r="AA53" s="4">
        <v>478.0</v>
      </c>
      <c r="AB53" s="4">
        <v>67.0</v>
      </c>
      <c r="AC53" s="4"/>
      <c r="AD53" s="4">
        <v>168.0</v>
      </c>
      <c r="AE53" s="4">
        <f>0.5*0.1</f>
        <v>0.05</v>
      </c>
      <c r="AF53" s="4">
        <v>109.0</v>
      </c>
      <c r="AG53" s="4">
        <v>119.0</v>
      </c>
      <c r="AH53" s="4">
        <v>145.1</v>
      </c>
      <c r="AI53" s="4">
        <v>34.49</v>
      </c>
      <c r="AJ53" s="4">
        <v>15.7</v>
      </c>
      <c r="AK53" s="4">
        <v>91.31</v>
      </c>
      <c r="AL53" s="4">
        <v>7.87</v>
      </c>
      <c r="AM53" s="4">
        <v>37.54</v>
      </c>
      <c r="AN53" s="4">
        <v>16.0</v>
      </c>
      <c r="AO53" s="4">
        <v>91.31</v>
      </c>
      <c r="AP53" s="4">
        <v>8.07</v>
      </c>
      <c r="AQ53" s="4"/>
      <c r="AR53" s="4"/>
      <c r="AS53" s="4"/>
      <c r="AT53" s="4"/>
      <c r="AU53" s="4">
        <v>5.33</v>
      </c>
      <c r="AV53" s="4"/>
      <c r="AW53" s="4"/>
      <c r="AX53" s="4">
        <f t="shared" si="263"/>
        <v>2.5</v>
      </c>
      <c r="AY53" s="4">
        <v>2.0</v>
      </c>
      <c r="AZ53" s="4"/>
      <c r="BA53" s="4"/>
      <c r="BB53" s="4"/>
      <c r="BC53" s="4"/>
      <c r="BD53" s="4"/>
      <c r="BE53" s="4"/>
      <c r="BF53" s="4">
        <f t="shared" ref="BF53:BI53" si="270">0.5*10</f>
        <v>5</v>
      </c>
      <c r="BG53" s="4">
        <f t="shared" si="270"/>
        <v>5</v>
      </c>
      <c r="BH53" s="4">
        <f t="shared" si="270"/>
        <v>5</v>
      </c>
      <c r="BI53" s="4">
        <f t="shared" si="270"/>
        <v>5</v>
      </c>
      <c r="BJ53" s="4">
        <f t="shared" si="245"/>
        <v>2.5</v>
      </c>
      <c r="BK53" s="4">
        <v>373.0</v>
      </c>
      <c r="BL53" s="4">
        <f t="shared" si="271"/>
        <v>2.5</v>
      </c>
      <c r="BM53" s="4">
        <v>18.0</v>
      </c>
      <c r="BN53" s="4">
        <v>928.0</v>
      </c>
      <c r="BO53" s="4">
        <v>31.0</v>
      </c>
      <c r="BP53" s="4">
        <f t="shared" si="272"/>
        <v>2.5</v>
      </c>
      <c r="BQ53" s="4">
        <f t="shared" ref="BQ53:BS53" si="273">0.5*10</f>
        <v>5</v>
      </c>
      <c r="BR53" s="4">
        <f t="shared" si="273"/>
        <v>5</v>
      </c>
      <c r="BS53" s="4">
        <f t="shared" si="273"/>
        <v>5</v>
      </c>
      <c r="BT53" s="4">
        <v>670.0</v>
      </c>
      <c r="BU53" s="4">
        <v>1007.0</v>
      </c>
      <c r="BV53" s="4">
        <f t="shared" si="107"/>
        <v>5</v>
      </c>
      <c r="BW53" s="4">
        <f t="shared" si="274"/>
        <v>2.5</v>
      </c>
      <c r="BX53" s="4">
        <v>1324.0</v>
      </c>
      <c r="BY53" s="4">
        <f>0.5*5</f>
        <v>2.5</v>
      </c>
      <c r="BZ53" s="4">
        <v>19.0</v>
      </c>
      <c r="CA53" s="4">
        <v>1766.0</v>
      </c>
      <c r="CB53" s="4">
        <v>54.0</v>
      </c>
      <c r="CC53" s="4">
        <v>8.0</v>
      </c>
      <c r="CD53" s="4">
        <f t="shared" ref="CD53:CF53" si="275">0.5*10</f>
        <v>5</v>
      </c>
      <c r="CE53" s="4">
        <f t="shared" si="275"/>
        <v>5</v>
      </c>
      <c r="CF53" s="4">
        <f t="shared" si="275"/>
        <v>5</v>
      </c>
      <c r="CG53" s="4">
        <v>3444.0</v>
      </c>
      <c r="CH53" s="4">
        <v>4843.0</v>
      </c>
      <c r="CI53" s="4">
        <f t="shared" si="111"/>
        <v>5</v>
      </c>
      <c r="CJ53" s="4"/>
      <c r="CK53" s="4"/>
      <c r="CL53" s="4">
        <f t="shared" si="269"/>
        <v>0.0005</v>
      </c>
      <c r="CM53" s="4"/>
      <c r="CN53" s="4"/>
      <c r="CO53" s="4"/>
      <c r="CP53" s="4">
        <v>12507.46</v>
      </c>
      <c r="CQ53" s="4"/>
      <c r="CR53" s="4">
        <v>343.28</v>
      </c>
      <c r="CS53" s="4">
        <v>57253.73</v>
      </c>
      <c r="CT53" s="4">
        <v>119.4</v>
      </c>
      <c r="CU53" s="4">
        <v>14.93</v>
      </c>
      <c r="CV53" s="4"/>
      <c r="CW53" s="4">
        <v>41402.99</v>
      </c>
      <c r="CX53" s="4">
        <v>14194.03</v>
      </c>
      <c r="CY53" s="4"/>
      <c r="CZ53" s="4"/>
    </row>
    <row r="54">
      <c r="A54" s="4" t="s">
        <v>146</v>
      </c>
      <c r="B54" s="4" t="s">
        <v>147</v>
      </c>
      <c r="C54" s="5" t="s">
        <v>392</v>
      </c>
      <c r="D54" s="5" t="s">
        <v>393</v>
      </c>
      <c r="E54" s="4" t="s">
        <v>380</v>
      </c>
      <c r="F54" s="4" t="s">
        <v>109</v>
      </c>
      <c r="G54" s="4" t="s">
        <v>110</v>
      </c>
      <c r="H54" s="4" t="s">
        <v>150</v>
      </c>
      <c r="I54" s="4" t="s">
        <v>151</v>
      </c>
      <c r="J54" s="4" t="s">
        <v>394</v>
      </c>
      <c r="K54" s="4" t="s">
        <v>395</v>
      </c>
      <c r="L54" s="4">
        <v>-20.7421</v>
      </c>
      <c r="M54" s="4">
        <v>-65.2405</v>
      </c>
      <c r="N54" s="4">
        <v>0.829</v>
      </c>
      <c r="O54" s="4">
        <v>13.0</v>
      </c>
      <c r="P54" s="4">
        <v>926.0</v>
      </c>
      <c r="Q54" s="4">
        <v>161.9</v>
      </c>
      <c r="R54" s="4">
        <v>7.96</v>
      </c>
      <c r="S54" s="4">
        <v>-61.0</v>
      </c>
      <c r="T54" s="4">
        <v>1080.0</v>
      </c>
      <c r="U54" s="4">
        <v>0.5</v>
      </c>
      <c r="V54" s="4">
        <v>12.8</v>
      </c>
      <c r="W54" s="4">
        <v>8.16</v>
      </c>
      <c r="X54" s="4">
        <v>102.8</v>
      </c>
      <c r="Y54" s="4">
        <v>267.0</v>
      </c>
      <c r="Z54" s="4">
        <v>1050.0</v>
      </c>
      <c r="AA54" s="4">
        <v>828.0</v>
      </c>
      <c r="AB54" s="4">
        <v>237.0</v>
      </c>
      <c r="AC54" s="4"/>
      <c r="AD54" s="4">
        <v>460.0</v>
      </c>
      <c r="AE54" s="4">
        <v>5.0</v>
      </c>
      <c r="AF54" s="4">
        <v>100.5</v>
      </c>
      <c r="AG54" s="4">
        <v>35.48</v>
      </c>
      <c r="AH54" s="4">
        <v>452.0</v>
      </c>
      <c r="AI54" s="4">
        <v>54.72</v>
      </c>
      <c r="AJ54" s="4">
        <v>68.54</v>
      </c>
      <c r="AK54" s="4">
        <v>55.22</v>
      </c>
      <c r="AL54" s="4">
        <v>6.05</v>
      </c>
      <c r="AM54" s="4">
        <v>59.64</v>
      </c>
      <c r="AN54" s="4">
        <v>68.83</v>
      </c>
      <c r="AO54" s="4">
        <v>55.22</v>
      </c>
      <c r="AP54" s="4">
        <v>6.64</v>
      </c>
      <c r="AQ54" s="4"/>
      <c r="AR54" s="4"/>
      <c r="AS54" s="4"/>
      <c r="AT54" s="4"/>
      <c r="AU54" s="4">
        <v>2.38</v>
      </c>
      <c r="AV54" s="4"/>
      <c r="AW54" s="4"/>
      <c r="AX54" s="4">
        <f t="shared" si="263"/>
        <v>2.5</v>
      </c>
      <c r="AY54" s="4">
        <f t="shared" ref="AY54:AY56" si="279">0.5*2</f>
        <v>1</v>
      </c>
      <c r="AZ54" s="4"/>
      <c r="BA54" s="4"/>
      <c r="BB54" s="4"/>
      <c r="BC54" s="4"/>
      <c r="BD54" s="4"/>
      <c r="BE54" s="4"/>
      <c r="BF54" s="4">
        <f t="shared" ref="BF54:BI54" si="276">0.5*10</f>
        <v>5</v>
      </c>
      <c r="BG54" s="4">
        <f t="shared" si="276"/>
        <v>5</v>
      </c>
      <c r="BH54" s="4">
        <f t="shared" si="276"/>
        <v>5</v>
      </c>
      <c r="BI54" s="4">
        <f t="shared" si="276"/>
        <v>5</v>
      </c>
      <c r="BJ54" s="4">
        <f t="shared" si="245"/>
        <v>2.5</v>
      </c>
      <c r="BK54" s="4">
        <v>15.0</v>
      </c>
      <c r="BL54" s="4">
        <v>7.0</v>
      </c>
      <c r="BM54" s="4">
        <f t="shared" ref="BM54:BM57" si="281">0.5*10</f>
        <v>5</v>
      </c>
      <c r="BN54" s="4">
        <v>157.0</v>
      </c>
      <c r="BO54" s="4">
        <f t="shared" ref="BO54:BO57" si="282">0.5*10</f>
        <v>5</v>
      </c>
      <c r="BP54" s="4">
        <f t="shared" si="272"/>
        <v>2.5</v>
      </c>
      <c r="BQ54" s="4">
        <f t="shared" ref="BQ54:BS54" si="277">0.5*10</f>
        <v>5</v>
      </c>
      <c r="BR54" s="4">
        <f t="shared" si="277"/>
        <v>5</v>
      </c>
      <c r="BS54" s="4">
        <f t="shared" si="277"/>
        <v>5</v>
      </c>
      <c r="BT54" s="4">
        <v>165.0</v>
      </c>
      <c r="BU54" s="4">
        <v>1079.0</v>
      </c>
      <c r="BV54" s="4">
        <f t="shared" si="107"/>
        <v>5</v>
      </c>
      <c r="BW54" s="4">
        <v>15.0</v>
      </c>
      <c r="BX54" s="4">
        <v>345.0</v>
      </c>
      <c r="BY54" s="4">
        <v>20.0</v>
      </c>
      <c r="BZ54" s="4">
        <v>14.6</v>
      </c>
      <c r="CA54" s="4">
        <v>218.0</v>
      </c>
      <c r="CB54" s="4">
        <f t="shared" ref="CB54:CB56" si="284">0.5*10</f>
        <v>5</v>
      </c>
      <c r="CC54" s="4">
        <f t="shared" ref="CC54:CC56" si="285">0.5*5</f>
        <v>2.5</v>
      </c>
      <c r="CD54" s="4">
        <f t="shared" ref="CD54:CF54" si="278">0.5*10</f>
        <v>5</v>
      </c>
      <c r="CE54" s="4">
        <f t="shared" si="278"/>
        <v>5</v>
      </c>
      <c r="CF54" s="4">
        <f t="shared" si="278"/>
        <v>5</v>
      </c>
      <c r="CG54" s="4">
        <v>11363.0</v>
      </c>
      <c r="CH54" s="4">
        <v>1133.0</v>
      </c>
      <c r="CI54" s="4">
        <f t="shared" si="111"/>
        <v>5</v>
      </c>
      <c r="CJ54" s="4"/>
      <c r="CK54" s="4"/>
      <c r="CL54" s="4">
        <f t="shared" si="269"/>
        <v>0.0005</v>
      </c>
      <c r="CM54" s="4"/>
      <c r="CN54" s="4"/>
      <c r="CO54" s="4"/>
      <c r="CP54" s="4">
        <v>257.38</v>
      </c>
      <c r="CQ54" s="4"/>
      <c r="CR54" s="4"/>
      <c r="CS54" s="4">
        <v>227.85</v>
      </c>
      <c r="CT54" s="4"/>
      <c r="CU54" s="4">
        <v>61.6</v>
      </c>
      <c r="CV54" s="4">
        <v>63.29</v>
      </c>
      <c r="CW54" s="4">
        <v>47248.95</v>
      </c>
      <c r="CX54" s="4">
        <v>1392.41</v>
      </c>
      <c r="CY54" s="4">
        <v>54.85</v>
      </c>
      <c r="CZ54" s="4"/>
    </row>
    <row r="55">
      <c r="A55" s="4" t="s">
        <v>154</v>
      </c>
      <c r="B55" s="4" t="s">
        <v>155</v>
      </c>
      <c r="C55" s="5" t="s">
        <v>392</v>
      </c>
      <c r="D55" s="5" t="s">
        <v>118</v>
      </c>
      <c r="E55" s="4" t="s">
        <v>380</v>
      </c>
      <c r="F55" s="4" t="s">
        <v>109</v>
      </c>
      <c r="G55" s="4" t="s">
        <v>110</v>
      </c>
      <c r="H55" s="4" t="s">
        <v>157</v>
      </c>
      <c r="I55" s="4" t="s">
        <v>158</v>
      </c>
      <c r="J55" s="4" t="s">
        <v>396</v>
      </c>
      <c r="K55" s="4" t="s">
        <v>397</v>
      </c>
      <c r="L55" s="4">
        <v>-21.2391</v>
      </c>
      <c r="M55" s="4">
        <v>-65.2094</v>
      </c>
      <c r="N55" s="4">
        <v>0.697</v>
      </c>
      <c r="O55" s="4">
        <v>9.0</v>
      </c>
      <c r="P55" s="4">
        <v>859.0</v>
      </c>
      <c r="Q55" s="4">
        <v>165.1</v>
      </c>
      <c r="R55" s="4">
        <v>8.12</v>
      </c>
      <c r="S55" s="4">
        <v>-69.0</v>
      </c>
      <c r="T55" s="4">
        <v>1164.0</v>
      </c>
      <c r="U55" s="4">
        <v>0.5</v>
      </c>
      <c r="V55" s="4">
        <v>10.6</v>
      </c>
      <c r="W55" s="4">
        <v>8.76</v>
      </c>
      <c r="X55" s="4">
        <v>104.1</v>
      </c>
      <c r="Y55" s="4">
        <v>196.0</v>
      </c>
      <c r="Z55" s="4">
        <v>1046.0</v>
      </c>
      <c r="AA55" s="4">
        <v>886.0</v>
      </c>
      <c r="AB55" s="4">
        <v>168.0</v>
      </c>
      <c r="AC55" s="4"/>
      <c r="AD55" s="4">
        <v>464.0</v>
      </c>
      <c r="AE55" s="4">
        <v>11.5</v>
      </c>
      <c r="AF55" s="4">
        <v>166.0</v>
      </c>
      <c r="AG55" s="4">
        <v>54.7</v>
      </c>
      <c r="AH55" s="4">
        <v>410.0</v>
      </c>
      <c r="AI55" s="4">
        <v>67.02</v>
      </c>
      <c r="AJ55" s="4">
        <v>48.47</v>
      </c>
      <c r="AK55" s="4">
        <v>77.59</v>
      </c>
      <c r="AL55" s="4">
        <v>6.4</v>
      </c>
      <c r="AM55" s="4">
        <v>71.74</v>
      </c>
      <c r="AN55" s="4">
        <v>49.35</v>
      </c>
      <c r="AO55" s="4">
        <v>80.33</v>
      </c>
      <c r="AP55" s="4">
        <v>6.59</v>
      </c>
      <c r="AQ55" s="4"/>
      <c r="AR55" s="4"/>
      <c r="AS55" s="4"/>
      <c r="AT55" s="4"/>
      <c r="AU55" s="4">
        <v>2.26</v>
      </c>
      <c r="AV55" s="4"/>
      <c r="AW55" s="4"/>
      <c r="AX55" s="4">
        <f t="shared" si="263"/>
        <v>2.5</v>
      </c>
      <c r="AY55" s="4">
        <f t="shared" si="279"/>
        <v>1</v>
      </c>
      <c r="AZ55" s="4"/>
      <c r="BA55" s="4"/>
      <c r="BB55" s="4"/>
      <c r="BC55" s="4"/>
      <c r="BD55" s="4"/>
      <c r="BE55" s="4"/>
      <c r="BF55" s="4">
        <f t="shared" ref="BF55:BI55" si="280">0.5*10</f>
        <v>5</v>
      </c>
      <c r="BG55" s="4">
        <f t="shared" si="280"/>
        <v>5</v>
      </c>
      <c r="BH55" s="4">
        <f t="shared" si="280"/>
        <v>5</v>
      </c>
      <c r="BI55" s="4">
        <f t="shared" si="280"/>
        <v>5</v>
      </c>
      <c r="BJ55" s="4">
        <f t="shared" si="245"/>
        <v>2.5</v>
      </c>
      <c r="BK55" s="4">
        <v>11.0</v>
      </c>
      <c r="BL55" s="4">
        <f t="shared" ref="BL55:BL57" si="288">0.5*5</f>
        <v>2.5</v>
      </c>
      <c r="BM55" s="4">
        <f t="shared" si="281"/>
        <v>5</v>
      </c>
      <c r="BN55" s="4">
        <v>74.0</v>
      </c>
      <c r="BO55" s="4">
        <f t="shared" si="282"/>
        <v>5</v>
      </c>
      <c r="BP55" s="4">
        <f t="shared" si="272"/>
        <v>2.5</v>
      </c>
      <c r="BQ55" s="4">
        <f t="shared" ref="BQ55:BS55" si="283">0.5*10</f>
        <v>5</v>
      </c>
      <c r="BR55" s="4">
        <f t="shared" si="283"/>
        <v>5</v>
      </c>
      <c r="BS55" s="4">
        <f t="shared" si="283"/>
        <v>5</v>
      </c>
      <c r="BT55" s="4">
        <v>186.0</v>
      </c>
      <c r="BU55" s="4">
        <v>2293.0</v>
      </c>
      <c r="BV55" s="4">
        <f t="shared" si="107"/>
        <v>5</v>
      </c>
      <c r="BW55" s="4">
        <f t="shared" ref="BW55:BW56" si="290">0.5*5</f>
        <v>2.5</v>
      </c>
      <c r="BX55" s="4">
        <v>142.0</v>
      </c>
      <c r="BY55" s="4">
        <v>7.0</v>
      </c>
      <c r="BZ55" s="4">
        <f t="shared" ref="BZ55:BZ56" si="291">0.5*10</f>
        <v>5</v>
      </c>
      <c r="CA55" s="4">
        <v>229.0</v>
      </c>
      <c r="CB55" s="4">
        <f t="shared" si="284"/>
        <v>5</v>
      </c>
      <c r="CC55" s="4">
        <f t="shared" si="285"/>
        <v>2.5</v>
      </c>
      <c r="CD55" s="4">
        <f t="shared" ref="CD55:CF55" si="286">0.5*10</f>
        <v>5</v>
      </c>
      <c r="CE55" s="4">
        <f t="shared" si="286"/>
        <v>5</v>
      </c>
      <c r="CF55" s="4">
        <f t="shared" si="286"/>
        <v>5</v>
      </c>
      <c r="CG55" s="4">
        <v>6494.0</v>
      </c>
      <c r="CH55" s="4">
        <v>3242.0</v>
      </c>
      <c r="CI55" s="4">
        <f t="shared" si="111"/>
        <v>5</v>
      </c>
      <c r="CJ55" s="4"/>
      <c r="CK55" s="4"/>
      <c r="CL55" s="4">
        <f t="shared" si="269"/>
        <v>0.0005</v>
      </c>
      <c r="CM55" s="4"/>
      <c r="CN55" s="4"/>
      <c r="CO55" s="4"/>
      <c r="CP55" s="4">
        <v>922.62</v>
      </c>
      <c r="CQ55" s="4"/>
      <c r="CR55" s="4"/>
      <c r="CS55" s="4">
        <v>5648.81</v>
      </c>
      <c r="CT55" s="4"/>
      <c r="CU55" s="4"/>
      <c r="CV55" s="4"/>
      <c r="CW55" s="4">
        <v>37547.62</v>
      </c>
      <c r="CX55" s="4">
        <v>779.76</v>
      </c>
      <c r="CY55" s="4">
        <v>41.67</v>
      </c>
      <c r="CZ55" s="4"/>
    </row>
    <row r="56">
      <c r="A56" s="4" t="s">
        <v>161</v>
      </c>
      <c r="B56" s="4" t="s">
        <v>162</v>
      </c>
      <c r="C56" s="5" t="s">
        <v>398</v>
      </c>
      <c r="D56" s="5" t="s">
        <v>399</v>
      </c>
      <c r="E56" s="4" t="s">
        <v>380</v>
      </c>
      <c r="F56" s="4" t="s">
        <v>109</v>
      </c>
      <c r="G56" s="4" t="s">
        <v>110</v>
      </c>
      <c r="H56" s="4" t="s">
        <v>111</v>
      </c>
      <c r="I56" s="4" t="s">
        <v>165</v>
      </c>
      <c r="J56" s="4" t="s">
        <v>400</v>
      </c>
      <c r="K56" s="4" t="s">
        <v>401</v>
      </c>
      <c r="L56" s="4">
        <v>-21.2579</v>
      </c>
      <c r="M56" s="4">
        <v>-63.5121</v>
      </c>
      <c r="N56" s="4"/>
      <c r="O56" s="4"/>
      <c r="P56" s="4">
        <v>1036.0</v>
      </c>
      <c r="Q56" s="4">
        <v>199.8</v>
      </c>
      <c r="R56" s="4">
        <v>8.17</v>
      </c>
      <c r="S56" s="4">
        <v>-72.8</v>
      </c>
      <c r="T56" s="4">
        <v>966.0</v>
      </c>
      <c r="U56" s="4">
        <v>0.4</v>
      </c>
      <c r="V56" s="4">
        <v>17.1</v>
      </c>
      <c r="W56" s="4">
        <v>9.25</v>
      </c>
      <c r="X56" s="4">
        <v>100.8</v>
      </c>
      <c r="Y56" s="4">
        <v>64.4</v>
      </c>
      <c r="Z56" s="4">
        <v>638.0</v>
      </c>
      <c r="AA56" s="4">
        <v>622.0</v>
      </c>
      <c r="AB56" s="4">
        <v>31.0</v>
      </c>
      <c r="AC56" s="4"/>
      <c r="AD56" s="4">
        <v>276.0</v>
      </c>
      <c r="AE56" s="4">
        <v>5.0</v>
      </c>
      <c r="AF56" s="4">
        <v>102.0</v>
      </c>
      <c r="AG56" s="4">
        <v>115.69</v>
      </c>
      <c r="AH56" s="4">
        <v>220.7</v>
      </c>
      <c r="AI56" s="4">
        <v>47.01</v>
      </c>
      <c r="AJ56" s="4">
        <v>30.35</v>
      </c>
      <c r="AK56" s="4">
        <v>87.31</v>
      </c>
      <c r="AL56" s="4">
        <v>5.27</v>
      </c>
      <c r="AM56" s="4">
        <v>48.33</v>
      </c>
      <c r="AN56" s="4">
        <v>31.94</v>
      </c>
      <c r="AO56" s="4">
        <v>88.55</v>
      </c>
      <c r="AP56" s="4">
        <v>6.59</v>
      </c>
      <c r="AQ56" s="4"/>
      <c r="AR56" s="4"/>
      <c r="AS56" s="4"/>
      <c r="AT56" s="4"/>
      <c r="AU56" s="4">
        <v>1.89</v>
      </c>
      <c r="AV56" s="4"/>
      <c r="AW56" s="4"/>
      <c r="AX56" s="4">
        <f t="shared" si="263"/>
        <v>2.5</v>
      </c>
      <c r="AY56" s="4">
        <f t="shared" si="279"/>
        <v>1</v>
      </c>
      <c r="AZ56" s="4"/>
      <c r="BA56" s="4"/>
      <c r="BB56" s="4"/>
      <c r="BC56" s="4"/>
      <c r="BD56" s="4"/>
      <c r="BE56" s="4"/>
      <c r="BF56" s="4">
        <f t="shared" ref="BF56:BI56" si="287">0.5*10</f>
        <v>5</v>
      </c>
      <c r="BG56" s="4">
        <f t="shared" si="287"/>
        <v>5</v>
      </c>
      <c r="BH56" s="4">
        <f t="shared" si="287"/>
        <v>5</v>
      </c>
      <c r="BI56" s="4">
        <f t="shared" si="287"/>
        <v>5</v>
      </c>
      <c r="BJ56" s="4">
        <f t="shared" si="245"/>
        <v>2.5</v>
      </c>
      <c r="BK56" s="4">
        <f>0.5*10</f>
        <v>5</v>
      </c>
      <c r="BL56" s="4">
        <f t="shared" si="288"/>
        <v>2.5</v>
      </c>
      <c r="BM56" s="4">
        <f t="shared" si="281"/>
        <v>5</v>
      </c>
      <c r="BN56" s="4">
        <v>95.0</v>
      </c>
      <c r="BO56" s="4">
        <f t="shared" si="282"/>
        <v>5</v>
      </c>
      <c r="BP56" s="4">
        <f t="shared" si="272"/>
        <v>2.5</v>
      </c>
      <c r="BQ56" s="4">
        <f t="shared" ref="BQ56:BS56" si="289">0.5*10</f>
        <v>5</v>
      </c>
      <c r="BR56" s="4">
        <f t="shared" si="289"/>
        <v>5</v>
      </c>
      <c r="BS56" s="4">
        <f t="shared" si="289"/>
        <v>5</v>
      </c>
      <c r="BT56" s="4">
        <v>256.0</v>
      </c>
      <c r="BU56" s="4">
        <v>539.0</v>
      </c>
      <c r="BV56" s="4">
        <f t="shared" si="107"/>
        <v>5</v>
      </c>
      <c r="BW56" s="4">
        <f t="shared" si="290"/>
        <v>2.5</v>
      </c>
      <c r="BX56" s="4">
        <v>76.0</v>
      </c>
      <c r="BY56" s="4">
        <f>0.5*5</f>
        <v>2.5</v>
      </c>
      <c r="BZ56" s="4">
        <f t="shared" si="291"/>
        <v>5</v>
      </c>
      <c r="CA56" s="4">
        <v>146.0</v>
      </c>
      <c r="CB56" s="4">
        <f t="shared" si="284"/>
        <v>5</v>
      </c>
      <c r="CC56" s="4">
        <f t="shared" si="285"/>
        <v>2.5</v>
      </c>
      <c r="CD56" s="4">
        <f t="shared" ref="CD56:CF56" si="292">0.5*10</f>
        <v>5</v>
      </c>
      <c r="CE56" s="4">
        <f t="shared" si="292"/>
        <v>5</v>
      </c>
      <c r="CF56" s="4">
        <f t="shared" si="292"/>
        <v>5</v>
      </c>
      <c r="CG56" s="4">
        <v>22267.0</v>
      </c>
      <c r="CH56" s="4">
        <v>574.0</v>
      </c>
      <c r="CI56" s="4">
        <f t="shared" si="111"/>
        <v>5</v>
      </c>
      <c r="CJ56" s="4"/>
      <c r="CK56" s="4"/>
      <c r="CL56" s="4">
        <v>0.001</v>
      </c>
      <c r="CM56" s="4"/>
      <c r="CN56" s="4"/>
      <c r="CO56" s="4"/>
      <c r="CP56" s="4">
        <v>1645.16</v>
      </c>
      <c r="CQ56" s="4"/>
      <c r="CR56" s="4"/>
      <c r="CS56" s="4">
        <v>1129.03</v>
      </c>
      <c r="CT56" s="4"/>
      <c r="CU56" s="4"/>
      <c r="CV56" s="4"/>
      <c r="CW56" s="4">
        <v>710032.26</v>
      </c>
      <c r="CX56" s="4">
        <v>2451.61</v>
      </c>
      <c r="CY56" s="4"/>
      <c r="CZ56" s="4"/>
    </row>
    <row r="57">
      <c r="A57" s="4" t="s">
        <v>168</v>
      </c>
      <c r="B57" s="4" t="s">
        <v>169</v>
      </c>
      <c r="C57" s="5" t="s">
        <v>402</v>
      </c>
      <c r="D57" s="5" t="s">
        <v>403</v>
      </c>
      <c r="E57" s="4" t="s">
        <v>380</v>
      </c>
      <c r="F57" s="4" t="s">
        <v>109</v>
      </c>
      <c r="G57" s="4" t="s">
        <v>110</v>
      </c>
      <c r="H57" s="4" t="s">
        <v>111</v>
      </c>
      <c r="I57" s="4" t="s">
        <v>171</v>
      </c>
      <c r="J57" s="4" t="s">
        <v>404</v>
      </c>
      <c r="K57" s="4" t="s">
        <v>405</v>
      </c>
      <c r="L57" s="4">
        <v>-22.3781</v>
      </c>
      <c r="M57" s="4">
        <v>-62.5185</v>
      </c>
      <c r="N57" s="4">
        <v>1.33</v>
      </c>
      <c r="O57" s="4">
        <v>86.0</v>
      </c>
      <c r="P57" s="4">
        <v>1088.0</v>
      </c>
      <c r="Q57" s="4">
        <v>183.3</v>
      </c>
      <c r="R57" s="4">
        <v>7.64</v>
      </c>
      <c r="S57" s="4">
        <v>-44.2</v>
      </c>
      <c r="T57" s="4">
        <v>914.0</v>
      </c>
      <c r="U57" s="4">
        <v>0.4</v>
      </c>
      <c r="V57" s="4">
        <v>16.4</v>
      </c>
      <c r="W57" s="4">
        <v>8.65</v>
      </c>
      <c r="X57" s="4">
        <v>90.4</v>
      </c>
      <c r="Y57" s="4">
        <f>1.5*1100</f>
        <v>1650</v>
      </c>
      <c r="Z57" s="4">
        <v>2594.0</v>
      </c>
      <c r="AA57" s="4">
        <v>551.0</v>
      </c>
      <c r="AB57" s="4">
        <v>2077.0</v>
      </c>
      <c r="AC57" s="4"/>
      <c r="AD57" s="4">
        <v>347.88</v>
      </c>
      <c r="AE57" s="4"/>
      <c r="AF57" s="4">
        <v>97.09</v>
      </c>
      <c r="AG57" s="4">
        <v>129.5</v>
      </c>
      <c r="AH57" s="4">
        <v>268.57</v>
      </c>
      <c r="AI57" s="4">
        <v>72.2</v>
      </c>
      <c r="AJ57" s="4">
        <v>28.8</v>
      </c>
      <c r="AK57" s="4">
        <v>79.4</v>
      </c>
      <c r="AL57" s="4">
        <v>4.7</v>
      </c>
      <c r="AM57" s="4">
        <v>91.6</v>
      </c>
      <c r="AN57" s="4">
        <v>33.5</v>
      </c>
      <c r="AO57" s="4">
        <v>87.6</v>
      </c>
      <c r="AP57" s="4">
        <v>6.5</v>
      </c>
      <c r="AQ57" s="4"/>
      <c r="AR57" s="4"/>
      <c r="AS57" s="4"/>
      <c r="AT57" s="4"/>
      <c r="AU57" s="4">
        <v>7.54</v>
      </c>
      <c r="AV57" s="4"/>
      <c r="AW57" s="4"/>
      <c r="AX57" s="4">
        <v>20.0</v>
      </c>
      <c r="AY57" s="4">
        <v>154.0</v>
      </c>
      <c r="AZ57" s="4"/>
      <c r="BA57" s="4"/>
      <c r="BB57" s="4"/>
      <c r="BC57" s="4"/>
      <c r="BD57" s="4"/>
      <c r="BE57" s="4"/>
      <c r="BF57" s="4">
        <f t="shared" ref="BF57:BI57" si="293">0.5*10</f>
        <v>5</v>
      </c>
      <c r="BG57" s="4">
        <f t="shared" si="293"/>
        <v>5</v>
      </c>
      <c r="BH57" s="4">
        <f t="shared" si="293"/>
        <v>5</v>
      </c>
      <c r="BI57" s="4">
        <f t="shared" si="293"/>
        <v>5</v>
      </c>
      <c r="BJ57" s="4">
        <f t="shared" si="245"/>
        <v>2.5</v>
      </c>
      <c r="BK57" s="4">
        <v>33.0</v>
      </c>
      <c r="BL57" s="4">
        <f t="shared" si="288"/>
        <v>2.5</v>
      </c>
      <c r="BM57" s="4">
        <f t="shared" si="281"/>
        <v>5</v>
      </c>
      <c r="BN57" s="4">
        <v>252.0</v>
      </c>
      <c r="BO57" s="4">
        <f t="shared" si="282"/>
        <v>5</v>
      </c>
      <c r="BP57" s="4">
        <f t="shared" si="272"/>
        <v>2.5</v>
      </c>
      <c r="BQ57" s="4">
        <f t="shared" ref="BQ57:BS57" si="294">0.5*10</f>
        <v>5</v>
      </c>
      <c r="BR57" s="4">
        <f t="shared" si="294"/>
        <v>5</v>
      </c>
      <c r="BS57" s="4">
        <f t="shared" si="294"/>
        <v>5</v>
      </c>
      <c r="BT57" s="4">
        <v>156.0</v>
      </c>
      <c r="BU57" s="4">
        <v>234.0</v>
      </c>
      <c r="BV57" s="4">
        <f t="shared" si="107"/>
        <v>5</v>
      </c>
      <c r="BW57" s="4">
        <v>64.0</v>
      </c>
      <c r="BX57" s="4">
        <v>1094.0</v>
      </c>
      <c r="BY57" s="4">
        <v>46.0</v>
      </c>
      <c r="BZ57" s="4">
        <v>39.0</v>
      </c>
      <c r="CA57" s="4">
        <v>299.0</v>
      </c>
      <c r="CB57" s="4">
        <v>22.0</v>
      </c>
      <c r="CC57" s="4">
        <v>7.0</v>
      </c>
      <c r="CD57" s="4">
        <f>0.5*10</f>
        <v>5</v>
      </c>
      <c r="CE57" s="4">
        <v>47.0</v>
      </c>
      <c r="CF57" s="4">
        <f>0.5*10</f>
        <v>5</v>
      </c>
      <c r="CG57" s="4">
        <v>62264.0</v>
      </c>
      <c r="CH57" s="4">
        <v>638.0</v>
      </c>
      <c r="CI57" s="4">
        <f t="shared" si="111"/>
        <v>5</v>
      </c>
      <c r="CJ57" s="4"/>
      <c r="CK57" s="4"/>
      <c r="CL57" s="4"/>
      <c r="CM57" s="4"/>
      <c r="CN57" s="4"/>
      <c r="CO57" s="4"/>
      <c r="CP57" s="4">
        <v>22.63</v>
      </c>
      <c r="CQ57" s="4"/>
      <c r="CR57" s="4">
        <v>10.59</v>
      </c>
      <c r="CS57" s="4">
        <v>194.51</v>
      </c>
      <c r="CT57" s="4">
        <v>3.37</v>
      </c>
      <c r="CU57" s="4">
        <v>18.78</v>
      </c>
      <c r="CV57" s="4">
        <v>30.81</v>
      </c>
      <c r="CW57" s="4">
        <v>29902.74</v>
      </c>
      <c r="CX57" s="4">
        <v>510.83</v>
      </c>
      <c r="CY57" s="4">
        <v>22.15</v>
      </c>
      <c r="CZ57" s="4">
        <v>22.63</v>
      </c>
    </row>
    <row r="58">
      <c r="C58" s="7"/>
      <c r="D58" s="7"/>
    </row>
    <row r="59">
      <c r="C59" s="7"/>
      <c r="D59" s="7"/>
    </row>
  </sheetData>
  <drawing r:id="rId1"/>
</worksheet>
</file>