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20_clean" sheetId="1" r:id="rId4"/>
  </sheets>
  <definedNames/>
  <calcPr/>
</workbook>
</file>

<file path=xl/sharedStrings.xml><?xml version="1.0" encoding="utf-8"?>
<sst xmlns="http://schemas.openxmlformats.org/spreadsheetml/2006/main" count="271" uniqueCount="181">
  <si>
    <t>Estación</t>
  </si>
  <si>
    <t>Código</t>
  </si>
  <si>
    <t>Fecha</t>
  </si>
  <si>
    <t>Hora</t>
  </si>
  <si>
    <t>Campaña</t>
  </si>
  <si>
    <t>Responsable</t>
  </si>
  <si>
    <t>Institución</t>
  </si>
  <si>
    <t>Río</t>
  </si>
  <si>
    <t>Cuenca</t>
  </si>
  <si>
    <t>Latitud</t>
  </si>
  <si>
    <t>Longitud</t>
  </si>
  <si>
    <t>Latitud Decimal</t>
  </si>
  <si>
    <t>Longitud Decimal</t>
  </si>
  <si>
    <t>Velocidad Media (m/s)</t>
  </si>
  <si>
    <t>Caudal (m3/s)</t>
  </si>
  <si>
    <t>Resistividad (Ohm.cm)</t>
  </si>
  <si>
    <t>Presión Parcial (mm Hg)</t>
  </si>
  <si>
    <t>pH en laboratorio (u pH)</t>
  </si>
  <si>
    <t>Sólidos sedimentables (ml/l)</t>
  </si>
  <si>
    <t>pH (u pH)</t>
  </si>
  <si>
    <t>pH (mV) (mV)</t>
  </si>
  <si>
    <t>Conductividad específica (T ref. 25°C) (uS/cm)</t>
  </si>
  <si>
    <t>Salinidad (Sal)</t>
  </si>
  <si>
    <t>Temperatura (C)</t>
  </si>
  <si>
    <t>Oxígeno disuelto (mg/l O2)</t>
  </si>
  <si>
    <t>Saturación de oxígeno (%)</t>
  </si>
  <si>
    <t>Turbiedad (UNT)</t>
  </si>
  <si>
    <t>Sólidos totales (mg/l)</t>
  </si>
  <si>
    <t>Sólidos disueltos totales (mg/l)</t>
  </si>
  <si>
    <t>Sólidos suspendidos totales (mg/l)</t>
  </si>
  <si>
    <t>Color (u PtCo)</t>
  </si>
  <si>
    <t>Dureza total (mg/l CaCO3)</t>
  </si>
  <si>
    <t>Alcalinidad Fenolftaleina (mg/l CaCO3)</t>
  </si>
  <si>
    <t>Alcalinidad total (mg/l CaCO3)</t>
  </si>
  <si>
    <t>Cloruros (mg/l Cl -)</t>
  </si>
  <si>
    <t>Sulfatos (mg/l SO4=)</t>
  </si>
  <si>
    <t>Calcio disuelto (mg/l Ca)</t>
  </si>
  <si>
    <t>Magnesio disuelto (mg/l Mg)</t>
  </si>
  <si>
    <t>Sodio disuelto (mg/l Na)</t>
  </si>
  <si>
    <t>Potasio disuelto (mg/l K)</t>
  </si>
  <si>
    <t>Calcio total (mg/l Ca)</t>
  </si>
  <si>
    <t>Magnesio total (mg/l Mg)</t>
  </si>
  <si>
    <t>Sodio total (mg/l Na)</t>
  </si>
  <si>
    <t>Potasio total (mg/l K)</t>
  </si>
  <si>
    <t>Nitrógeno amoniacal (mg/l NH4)</t>
  </si>
  <si>
    <t>Nitrito (mg/l NO2)</t>
  </si>
  <si>
    <t>Nitrato (mg/l NO3)</t>
  </si>
  <si>
    <t>Demanda bioquímica de oxígeno (mg/l O2)</t>
  </si>
  <si>
    <t>Demanda química de oxígeno (mg/l O2)</t>
  </si>
  <si>
    <t>Coliformes totales (en UFC) (UFC/100 ml)</t>
  </si>
  <si>
    <t>Coliformes fecales (en UFC) (UFC/100 ml)</t>
  </si>
  <si>
    <t>Bismuto disuelto (ug/l Bi)</t>
  </si>
  <si>
    <t>Bismuto total (ug/l Bi)</t>
  </si>
  <si>
    <t>Talio disuelto (ug/l Tl)</t>
  </si>
  <si>
    <t>Talio total (ug/l Tl)</t>
  </si>
  <si>
    <t>Cromo disuelto (ug/l Cr)</t>
  </si>
  <si>
    <t>Manganeso disuelto (ug/l Mn)</t>
  </si>
  <si>
    <t>Niquel disuelto (ug/l Ni)</t>
  </si>
  <si>
    <t>Cobre disuelto (ug/l Cu)</t>
  </si>
  <si>
    <t>Zinc disuelto (ug/l Zn)</t>
  </si>
  <si>
    <t>Arsenico disuelto (ug/l As)</t>
  </si>
  <si>
    <t>Cadmio disuelto (ug/l Cd)</t>
  </si>
  <si>
    <t>Plomo disuelto (ug/l Pb)</t>
  </si>
  <si>
    <t>Plata disuelto (ug/l Ag)</t>
  </si>
  <si>
    <t>Mercurio disuelto (ug/l Hg)</t>
  </si>
  <si>
    <t>Hierro disuelto (ug/l Fe)</t>
  </si>
  <si>
    <t>Boro disuelto (ug/l B)</t>
  </si>
  <si>
    <t>Selenio disuelto (ug/l Se)</t>
  </si>
  <si>
    <t>Cromo total (ug/l Cr)</t>
  </si>
  <si>
    <t>Manganeso total (ug/l Mn)</t>
  </si>
  <si>
    <t>Niquel total (ug/l Ni)</t>
  </si>
  <si>
    <t>Cobre total (ug/l Cu)</t>
  </si>
  <si>
    <t>Zinc total (ug/l Zn)</t>
  </si>
  <si>
    <t>Arsenico total (ug/l As)</t>
  </si>
  <si>
    <t>Cadmio total (ug/l Cd)</t>
  </si>
  <si>
    <t>Plomo total (ug/l Pb)</t>
  </si>
  <si>
    <t>Plata total (ug/l Ag)</t>
  </si>
  <si>
    <t>Mercurio total (ug/l Hg)</t>
  </si>
  <si>
    <t>Hierro total (ug/l Fe)</t>
  </si>
  <si>
    <t>Boro total (ug/l B)</t>
  </si>
  <si>
    <t>Selenio total (ug/l Se)</t>
  </si>
  <si>
    <t>Cianuros libre (mg/l CN-)</t>
  </si>
  <si>
    <t>Sulfuros (mg/l S=)</t>
  </si>
  <si>
    <t>Fenoles (mg/l C6H6O)</t>
  </si>
  <si>
    <t>Selenio suspensión (mg/kg Se)</t>
  </si>
  <si>
    <t>Zinc en suspensión (mg/kg Zn)</t>
  </si>
  <si>
    <t>Plomo suspensión (mg/kg Pb)</t>
  </si>
  <si>
    <t>Arsenico suspensión (mg/kg As)</t>
  </si>
  <si>
    <t>Boro suspensión (mg/kg B)</t>
  </si>
  <si>
    <t>Cadmio suspensión (mg/kg Cd)</t>
  </si>
  <si>
    <t>Cobre suspensión (mg/kg Cu)</t>
  </si>
  <si>
    <t>Cromo suspensión (mg/kg Cr)</t>
  </si>
  <si>
    <t>Hierro suspensión (mg/kg Fe)</t>
  </si>
  <si>
    <t>Manganeso suspensión (mg/kg Mn)</t>
  </si>
  <si>
    <t>Mercurio suspensión (mg/kg Hg)</t>
  </si>
  <si>
    <t>Niquel suspensión (mg/kg Ni)</t>
  </si>
  <si>
    <t>Plata suspensión (mg/kg Ag)</t>
  </si>
  <si>
    <t>Villamontes</t>
  </si>
  <si>
    <t>BVI-150</t>
  </si>
  <si>
    <t>20/12/2020</t>
  </si>
  <si>
    <t>6:40</t>
  </si>
  <si>
    <t>Diciembre 2020</t>
  </si>
  <si>
    <t>Unidad de Monitoreo y Centro de Datos</t>
  </si>
  <si>
    <t>Dirección Ejecutiva - Comisión Trinacional para el Desarrollo de la Cuenca del río Pilcomayo</t>
  </si>
  <si>
    <t>Pilcomayo</t>
  </si>
  <si>
    <t>Unidad 7</t>
  </si>
  <si>
    <t>21° 15' 31.92"</t>
  </si>
  <si>
    <t>63° 30' 41.82"</t>
  </si>
  <si>
    <t>El Puente</t>
  </si>
  <si>
    <t>BEP-100</t>
  </si>
  <si>
    <t>17/12/2020</t>
  </si>
  <si>
    <t>11:45</t>
  </si>
  <si>
    <t>San Juan del Oro</t>
  </si>
  <si>
    <t>Unidad 5</t>
  </si>
  <si>
    <t>21° 14' 21.72"</t>
  </si>
  <si>
    <t>65° 12' 31.44"</t>
  </si>
  <si>
    <t>Palca Grande</t>
  </si>
  <si>
    <t>BPG-110</t>
  </si>
  <si>
    <t>8:47</t>
  </si>
  <si>
    <t>Tumusla</t>
  </si>
  <si>
    <t>Unidad 4</t>
  </si>
  <si>
    <t>20° 44' 32.16"</t>
  </si>
  <si>
    <t>65° 14' 26.04"</t>
  </si>
  <si>
    <t>Colavi - Canutillos</t>
  </si>
  <si>
    <t>BC7-113</t>
  </si>
  <si>
    <t>16/12/2020</t>
  </si>
  <si>
    <t>12:55</t>
  </si>
  <si>
    <t>Colavi</t>
  </si>
  <si>
    <t>Unidad 1</t>
  </si>
  <si>
    <t>19° 19' 18.06"</t>
  </si>
  <si>
    <t>65° 33' 7.26"</t>
  </si>
  <si>
    <t>Tarapaya</t>
  </si>
  <si>
    <t>BTA-050</t>
  </si>
  <si>
    <t>8:45</t>
  </si>
  <si>
    <t>19° 28' 18.84"</t>
  </si>
  <si>
    <t>65° 47' 39.42"</t>
  </si>
  <si>
    <t>Tacobamba - Agua arriba confluencia Pilcomayo - Tacobamba</t>
  </si>
  <si>
    <t>BTC-116</t>
  </si>
  <si>
    <t>15/12/2020</t>
  </si>
  <si>
    <t>14:45</t>
  </si>
  <si>
    <t>Tacobamba</t>
  </si>
  <si>
    <t>19° 7' 56.22"</t>
  </si>
  <si>
    <t>65° 34' 11.76"</t>
  </si>
  <si>
    <t>Pilcomayo - Agua arriba confluencia Pilcomayo - Tacobamba</t>
  </si>
  <si>
    <t>BPT-118</t>
  </si>
  <si>
    <t>13:45</t>
  </si>
  <si>
    <t>19° 7' 56.7"</t>
  </si>
  <si>
    <t>65° 34' 21.48"</t>
  </si>
  <si>
    <t>San Antonio - Potosí</t>
  </si>
  <si>
    <t>BSA-030</t>
  </si>
  <si>
    <t>23/07/2020</t>
  </si>
  <si>
    <t>10:30</t>
  </si>
  <si>
    <t>Julio 2020</t>
  </si>
  <si>
    <t>Aljamayu</t>
  </si>
  <si>
    <t>19 34 41.7</t>
  </si>
  <si>
    <t>65 48 11.9</t>
  </si>
  <si>
    <t>10:00</t>
  </si>
  <si>
    <t>19° 28' 18.7"</t>
  </si>
  <si>
    <t>65° 47' 38.7"</t>
  </si>
  <si>
    <t>20/07/2020</t>
  </si>
  <si>
    <t>8:41</t>
  </si>
  <si>
    <t>7:56</t>
  </si>
  <si>
    <t>15/07/2020</t>
  </si>
  <si>
    <t>18/03/2020</t>
  </si>
  <si>
    <t>Marzo 2020</t>
  </si>
  <si>
    <t>19° 19' 17.58"</t>
  </si>
  <si>
    <t>65° 33' 7.32"</t>
  </si>
  <si>
    <t>17/03/2020</t>
  </si>
  <si>
    <t>13:00</t>
  </si>
  <si>
    <t>20° 44' 32.34"</t>
  </si>
  <si>
    <t>65° 14' 25.26"</t>
  </si>
  <si>
    <t>11:00</t>
  </si>
  <si>
    <t>21° 14' 20.28"</t>
  </si>
  <si>
    <t>65° 12' 30.66"</t>
  </si>
  <si>
    <t>Misión La Paz - SNIH</t>
  </si>
  <si>
    <t>AML-170</t>
  </si>
  <si>
    <t>15/03/2020</t>
  </si>
  <si>
    <t>8:20</t>
  </si>
  <si>
    <t>Cuenca Baja</t>
  </si>
  <si>
    <t>22° 22' 41.22"</t>
  </si>
  <si>
    <t>62° 31' 6.9"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</si>
</sst>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3"/>
      <c r="CU1" s="3"/>
    </row>
    <row r="2">
      <c r="A2" s="4" t="s">
        <v>97</v>
      </c>
      <c r="B2" s="4" t="s">
        <v>98</v>
      </c>
      <c r="C2" s="5" t="s">
        <v>99</v>
      </c>
      <c r="D2" s="5" t="s">
        <v>100</v>
      </c>
      <c r="E2" s="4" t="s">
        <v>101</v>
      </c>
      <c r="F2" s="4" t="s">
        <v>102</v>
      </c>
      <c r="G2" s="4" t="s">
        <v>103</v>
      </c>
      <c r="H2" s="4" t="s">
        <v>104</v>
      </c>
      <c r="I2" s="4" t="s">
        <v>105</v>
      </c>
      <c r="J2" s="4" t="s">
        <v>106</v>
      </c>
      <c r="K2" s="4" t="s">
        <v>107</v>
      </c>
      <c r="L2" s="4">
        <v>-21.2589</v>
      </c>
      <c r="M2" s="4">
        <v>-63.5116</v>
      </c>
      <c r="N2" s="4">
        <v>0.49</v>
      </c>
      <c r="O2" s="4">
        <v>65.0</v>
      </c>
      <c r="P2" s="4">
        <v>1674.0</v>
      </c>
      <c r="Q2" s="4">
        <v>190.1</v>
      </c>
      <c r="R2" s="4"/>
      <c r="S2" s="4"/>
      <c r="T2" s="4">
        <v>7.99</v>
      </c>
      <c r="U2" s="4">
        <v>-58.8</v>
      </c>
      <c r="V2" s="4">
        <v>598.0</v>
      </c>
      <c r="W2" s="4">
        <v>0.2</v>
      </c>
      <c r="X2" s="4">
        <v>27.35</v>
      </c>
      <c r="Y2" s="4">
        <v>7.45</v>
      </c>
      <c r="Z2" s="4">
        <v>98.2</v>
      </c>
      <c r="AA2" s="4">
        <f>1.5*1100</f>
        <v>1650</v>
      </c>
      <c r="AB2" s="4">
        <v>2386.0</v>
      </c>
      <c r="AC2" s="4">
        <v>412.0</v>
      </c>
      <c r="AD2" s="4">
        <v>1974.0</v>
      </c>
      <c r="AE2" s="4"/>
      <c r="AF2" s="4">
        <v>180.0</v>
      </c>
      <c r="AG2" s="4">
        <f>0.5*0.1</f>
        <v>0.05</v>
      </c>
      <c r="AH2" s="4">
        <v>76.0</v>
      </c>
      <c r="AI2" s="4">
        <v>69.43</v>
      </c>
      <c r="AJ2" s="4">
        <v>99.3</v>
      </c>
      <c r="AK2" s="4">
        <v>42.09</v>
      </c>
      <c r="AL2" s="4">
        <v>18.57</v>
      </c>
      <c r="AM2" s="4">
        <v>55.52</v>
      </c>
      <c r="AN2" s="4">
        <v>7.93</v>
      </c>
      <c r="AO2" s="4">
        <v>43.88</v>
      </c>
      <c r="AP2" s="4">
        <v>16.64</v>
      </c>
      <c r="AQ2" s="4">
        <v>54.85</v>
      </c>
      <c r="AR2" s="4">
        <v>6.71</v>
      </c>
      <c r="AS2" s="4"/>
      <c r="AT2" s="4"/>
      <c r="AU2" s="4"/>
      <c r="AV2" s="4">
        <f t="shared" ref="AV2:AV5" si="3">0.5*5</f>
        <v>2.5</v>
      </c>
      <c r="AW2" s="4">
        <f>0.5*2</f>
        <v>1</v>
      </c>
      <c r="AX2" s="4"/>
      <c r="AY2" s="4"/>
      <c r="AZ2" s="4">
        <f t="shared" ref="AZ2:BA2" si="1">0.5*10</f>
        <v>5</v>
      </c>
      <c r="BA2" s="4">
        <f t="shared" si="1"/>
        <v>5</v>
      </c>
      <c r="BB2" s="4">
        <f t="shared" ref="BB2:BC2" si="2">0.5*50</f>
        <v>25</v>
      </c>
      <c r="BC2" s="4">
        <f t="shared" si="2"/>
        <v>25</v>
      </c>
      <c r="BD2" s="4">
        <f t="shared" ref="BD2:BD12" si="6">0.5*10</f>
        <v>5</v>
      </c>
      <c r="BE2" s="4">
        <f>0.5*50</f>
        <v>25</v>
      </c>
      <c r="BF2" s="4">
        <f t="shared" ref="BF2:BF3" si="7">0.5*1</f>
        <v>0.5</v>
      </c>
      <c r="BG2" s="4">
        <f t="shared" ref="BG2:BG4" si="8">0.5*10</f>
        <v>5</v>
      </c>
      <c r="BH2" s="4">
        <f t="shared" ref="BH2:BH4" si="9">0.5*50</f>
        <v>25</v>
      </c>
      <c r="BI2" s="4">
        <v>2.0</v>
      </c>
      <c r="BJ2" s="4">
        <f t="shared" ref="BJ2:BJ4" si="10">0.5*0.5</f>
        <v>0.25</v>
      </c>
      <c r="BK2" s="4">
        <f t="shared" ref="BK2:BK12" si="11">0.5*1</f>
        <v>0.5</v>
      </c>
      <c r="BL2" s="4">
        <f t="shared" ref="BL2:BL12" si="12">0.5*5</f>
        <v>2.5</v>
      </c>
      <c r="BM2" s="4">
        <f t="shared" ref="BM2:BM9" si="13">0.5*0.5</f>
        <v>0.25</v>
      </c>
      <c r="BN2" s="4">
        <v>100.0</v>
      </c>
      <c r="BO2" s="4">
        <v>200.0</v>
      </c>
      <c r="BP2" s="4">
        <f t="shared" ref="BP2:BP12" si="14">0.5*1</f>
        <v>0.5</v>
      </c>
      <c r="BQ2" s="4">
        <v>63.0</v>
      </c>
      <c r="BR2" s="4">
        <v>2000.0</v>
      </c>
      <c r="BS2" s="4">
        <v>64.0</v>
      </c>
      <c r="BT2" s="4">
        <v>63.0</v>
      </c>
      <c r="BU2" s="4">
        <v>270.0</v>
      </c>
      <c r="BV2" s="4">
        <v>25.0</v>
      </c>
      <c r="BW2" s="4">
        <v>0.5</v>
      </c>
      <c r="BX2" s="4">
        <v>59.0</v>
      </c>
      <c r="BY2" s="4">
        <f t="shared" ref="BY2:BY9" si="15">0.5*5</f>
        <v>2.5</v>
      </c>
      <c r="BZ2" s="4">
        <f t="shared" ref="BZ2:BZ8" si="16">0.5*0.5</f>
        <v>0.25</v>
      </c>
      <c r="CA2" s="4">
        <v>78000.0</v>
      </c>
      <c r="CB2" s="4">
        <v>300.0</v>
      </c>
      <c r="CC2" s="4">
        <v>3.0</v>
      </c>
      <c r="CD2" s="4"/>
      <c r="CE2" s="4">
        <f t="shared" ref="CE2:CE8" si="17">0.5*0.001</f>
        <v>0.0005</v>
      </c>
      <c r="CF2" s="4"/>
      <c r="CG2" s="4">
        <v>1.52</v>
      </c>
      <c r="CH2" s="4">
        <v>136.78</v>
      </c>
      <c r="CI2" s="4">
        <v>25.87</v>
      </c>
      <c r="CJ2" s="4">
        <v>11.65</v>
      </c>
      <c r="CK2" s="4">
        <v>50.66</v>
      </c>
      <c r="CL2" s="4">
        <v>0.25</v>
      </c>
      <c r="CM2" s="4">
        <v>31.91</v>
      </c>
      <c r="CN2" s="4">
        <v>31.91</v>
      </c>
      <c r="CO2" s="4">
        <v>39463.02</v>
      </c>
      <c r="CP2" s="4">
        <v>1013.17</v>
      </c>
      <c r="CQ2" s="4"/>
      <c r="CR2" s="4">
        <v>32.42</v>
      </c>
      <c r="CS2" s="4"/>
    </row>
    <row r="3">
      <c r="A3" s="4" t="s">
        <v>108</v>
      </c>
      <c r="B3" s="4" t="s">
        <v>109</v>
      </c>
      <c r="C3" s="5" t="s">
        <v>110</v>
      </c>
      <c r="D3" s="5" t="s">
        <v>111</v>
      </c>
      <c r="E3" s="4" t="s">
        <v>101</v>
      </c>
      <c r="F3" s="4" t="s">
        <v>102</v>
      </c>
      <c r="G3" s="4" t="s">
        <v>103</v>
      </c>
      <c r="H3" s="4" t="s">
        <v>112</v>
      </c>
      <c r="I3" s="4" t="s">
        <v>113</v>
      </c>
      <c r="J3" s="4" t="s">
        <v>114</v>
      </c>
      <c r="K3" s="4" t="s">
        <v>115</v>
      </c>
      <c r="L3" s="4">
        <v>-21.2394</v>
      </c>
      <c r="M3" s="4">
        <v>-65.2087</v>
      </c>
      <c r="N3" s="4">
        <v>0.14</v>
      </c>
      <c r="O3" s="4">
        <v>1.0</v>
      </c>
      <c r="P3" s="4">
        <v>589.0</v>
      </c>
      <c r="Q3" s="4">
        <v>172.3</v>
      </c>
      <c r="R3" s="4"/>
      <c r="S3" s="4"/>
      <c r="T3" s="4">
        <v>8.3</v>
      </c>
      <c r="U3" s="4">
        <v>-76.9</v>
      </c>
      <c r="V3" s="4">
        <v>1697.0</v>
      </c>
      <c r="W3" s="4">
        <v>0.8</v>
      </c>
      <c r="X3" s="4">
        <v>25.4</v>
      </c>
      <c r="Y3" s="4">
        <v>6.885</v>
      </c>
      <c r="Z3" s="4">
        <v>111.8</v>
      </c>
      <c r="AA3" s="4">
        <v>300.0</v>
      </c>
      <c r="AB3" s="4">
        <v>1595.0</v>
      </c>
      <c r="AC3" s="4">
        <v>1398.0</v>
      </c>
      <c r="AD3" s="4">
        <v>197.0</v>
      </c>
      <c r="AE3" s="4"/>
      <c r="AF3" s="4">
        <v>720.0</v>
      </c>
      <c r="AG3" s="4">
        <v>16.7</v>
      </c>
      <c r="AH3" s="4">
        <v>186.0</v>
      </c>
      <c r="AI3" s="4">
        <v>90.96</v>
      </c>
      <c r="AJ3" s="4">
        <v>717.5</v>
      </c>
      <c r="AK3" s="4">
        <v>103.6</v>
      </c>
      <c r="AL3" s="4">
        <v>92.92</v>
      </c>
      <c r="AM3" s="4">
        <v>103.04</v>
      </c>
      <c r="AN3" s="4">
        <v>14.22</v>
      </c>
      <c r="AO3" s="4">
        <v>98.1</v>
      </c>
      <c r="AP3" s="4">
        <v>81.59</v>
      </c>
      <c r="AQ3" s="4">
        <v>102.37</v>
      </c>
      <c r="AR3" s="4">
        <v>12.19</v>
      </c>
      <c r="AS3" s="4"/>
      <c r="AT3" s="4"/>
      <c r="AU3" s="4"/>
      <c r="AV3" s="4">
        <f t="shared" si="3"/>
        <v>2.5</v>
      </c>
      <c r="AW3" s="4">
        <v>2.0</v>
      </c>
      <c r="AX3" s="4"/>
      <c r="AY3" s="4"/>
      <c r="AZ3" s="4">
        <f t="shared" ref="AZ3:BA3" si="4">0.5*10</f>
        <v>5</v>
      </c>
      <c r="BA3" s="4">
        <f t="shared" si="4"/>
        <v>5</v>
      </c>
      <c r="BB3" s="4">
        <f t="shared" ref="BB3:BC3" si="5">0.5*50</f>
        <v>25</v>
      </c>
      <c r="BC3" s="4">
        <f t="shared" si="5"/>
        <v>25</v>
      </c>
      <c r="BD3" s="4">
        <f t="shared" si="6"/>
        <v>5</v>
      </c>
      <c r="BE3" s="4">
        <v>50.0</v>
      </c>
      <c r="BF3" s="4">
        <f t="shared" si="7"/>
        <v>0.5</v>
      </c>
      <c r="BG3" s="4">
        <f t="shared" si="8"/>
        <v>5</v>
      </c>
      <c r="BH3" s="4">
        <f t="shared" si="9"/>
        <v>25</v>
      </c>
      <c r="BI3" s="4">
        <v>2.0</v>
      </c>
      <c r="BJ3" s="4">
        <f t="shared" si="10"/>
        <v>0.25</v>
      </c>
      <c r="BK3" s="4">
        <f t="shared" si="11"/>
        <v>0.5</v>
      </c>
      <c r="BL3" s="4">
        <f t="shared" si="12"/>
        <v>2.5</v>
      </c>
      <c r="BM3" s="4">
        <f t="shared" si="13"/>
        <v>0.25</v>
      </c>
      <c r="BN3" s="4">
        <f t="shared" ref="BN3:BN4" si="20">0.5*100</f>
        <v>50</v>
      </c>
      <c r="BO3" s="4">
        <v>1100.0</v>
      </c>
      <c r="BP3" s="4">
        <f t="shared" si="14"/>
        <v>0.5</v>
      </c>
      <c r="BQ3" s="4">
        <f t="shared" ref="BQ3:BQ12" si="21">0.5*10</f>
        <v>5</v>
      </c>
      <c r="BR3" s="4">
        <v>100.0</v>
      </c>
      <c r="BS3" s="4">
        <f>0.5*1</f>
        <v>0.5</v>
      </c>
      <c r="BT3" s="4">
        <f t="shared" ref="BT3:BT4" si="22">0.5*10</f>
        <v>5</v>
      </c>
      <c r="BU3" s="4">
        <f t="shared" ref="BU3:BU4" si="23">0.5*50</f>
        <v>25</v>
      </c>
      <c r="BV3" s="4">
        <v>3.0</v>
      </c>
      <c r="BW3" s="4">
        <f t="shared" ref="BW3:BW4" si="24">0.5*0.5</f>
        <v>0.25</v>
      </c>
      <c r="BX3" s="4">
        <v>5.0</v>
      </c>
      <c r="BY3" s="4">
        <f t="shared" si="15"/>
        <v>2.5</v>
      </c>
      <c r="BZ3" s="4">
        <f t="shared" si="16"/>
        <v>0.25</v>
      </c>
      <c r="CA3" s="4">
        <v>4000.0</v>
      </c>
      <c r="CB3" s="4">
        <v>1100.0</v>
      </c>
      <c r="CC3" s="4">
        <f t="shared" ref="CC3:CC5" si="25">0.5*1</f>
        <v>0.5</v>
      </c>
      <c r="CD3" s="4"/>
      <c r="CE3" s="4">
        <f t="shared" si="17"/>
        <v>0.0005</v>
      </c>
      <c r="CF3" s="4"/>
      <c r="CG3" s="4"/>
      <c r="CH3" s="4"/>
      <c r="CI3" s="4"/>
      <c r="CJ3" s="4">
        <v>5.08</v>
      </c>
      <c r="CK3" s="4">
        <v>0.0</v>
      </c>
      <c r="CL3" s="4"/>
      <c r="CM3" s="4"/>
      <c r="CN3" s="4"/>
      <c r="CO3" s="4">
        <v>20304.57</v>
      </c>
      <c r="CP3" s="4">
        <v>253.81</v>
      </c>
      <c r="CQ3" s="4"/>
      <c r="CR3" s="4"/>
      <c r="CS3" s="4"/>
    </row>
    <row r="4">
      <c r="A4" s="4" t="s">
        <v>116</v>
      </c>
      <c r="B4" s="4" t="s">
        <v>117</v>
      </c>
      <c r="C4" s="5" t="s">
        <v>110</v>
      </c>
      <c r="D4" s="5" t="s">
        <v>118</v>
      </c>
      <c r="E4" s="4" t="s">
        <v>101</v>
      </c>
      <c r="F4" s="4" t="s">
        <v>102</v>
      </c>
      <c r="G4" s="4" t="s">
        <v>103</v>
      </c>
      <c r="H4" s="4" t="s">
        <v>119</v>
      </c>
      <c r="I4" s="4" t="s">
        <v>120</v>
      </c>
      <c r="J4" s="4" t="s">
        <v>121</v>
      </c>
      <c r="K4" s="4" t="s">
        <v>122</v>
      </c>
      <c r="L4" s="4">
        <v>-20.7423</v>
      </c>
      <c r="M4" s="4">
        <v>-65.2406</v>
      </c>
      <c r="N4" s="4">
        <v>0.407</v>
      </c>
      <c r="O4" s="4">
        <v>4.0</v>
      </c>
      <c r="P4" s="4">
        <v>744.0</v>
      </c>
      <c r="Q4" s="4">
        <v>162.55</v>
      </c>
      <c r="R4" s="4"/>
      <c r="S4" s="4"/>
      <c r="T4" s="4">
        <v>8.5</v>
      </c>
      <c r="U4" s="4">
        <v>-86.2</v>
      </c>
      <c r="V4" s="4">
        <v>1344.0</v>
      </c>
      <c r="W4" s="4">
        <v>0.6</v>
      </c>
      <c r="X4" s="4">
        <v>20.4</v>
      </c>
      <c r="Y4" s="4">
        <v>7.08</v>
      </c>
      <c r="Z4" s="4">
        <v>103.85</v>
      </c>
      <c r="AA4" s="4">
        <v>252.0</v>
      </c>
      <c r="AB4" s="4">
        <v>1572.0</v>
      </c>
      <c r="AC4" s="4">
        <v>1122.0</v>
      </c>
      <c r="AD4" s="4">
        <v>250.0</v>
      </c>
      <c r="AE4" s="4"/>
      <c r="AF4" s="4">
        <v>624.4</v>
      </c>
      <c r="AG4" s="4">
        <v>7.4</v>
      </c>
      <c r="AH4" s="4">
        <v>149.5</v>
      </c>
      <c r="AI4" s="4">
        <v>47.89</v>
      </c>
      <c r="AJ4" s="4">
        <v>558.0</v>
      </c>
      <c r="AK4" s="4">
        <v>86.59</v>
      </c>
      <c r="AL4" s="4">
        <v>110.83</v>
      </c>
      <c r="AM4" s="4">
        <v>46.86</v>
      </c>
      <c r="AN4" s="4">
        <v>11.47</v>
      </c>
      <c r="AO4" s="4">
        <v>84.47</v>
      </c>
      <c r="AP4" s="4">
        <v>97.01</v>
      </c>
      <c r="AQ4" s="4">
        <v>45.24</v>
      </c>
      <c r="AR4" s="4">
        <v>11.09</v>
      </c>
      <c r="AS4" s="4"/>
      <c r="AT4" s="4"/>
      <c r="AU4" s="4"/>
      <c r="AV4" s="4">
        <f t="shared" si="3"/>
        <v>2.5</v>
      </c>
      <c r="AW4" s="4">
        <f t="shared" ref="AW4:AW5" si="26">0.5*2</f>
        <v>1</v>
      </c>
      <c r="AX4" s="4"/>
      <c r="AY4" s="4"/>
      <c r="AZ4" s="4">
        <f t="shared" ref="AZ4:BA4" si="18">0.5*10</f>
        <v>5</v>
      </c>
      <c r="BA4" s="4">
        <f t="shared" si="18"/>
        <v>5</v>
      </c>
      <c r="BB4" s="4">
        <f t="shared" ref="BB4:BC4" si="19">0.5*50</f>
        <v>25</v>
      </c>
      <c r="BC4" s="4">
        <f t="shared" si="19"/>
        <v>25</v>
      </c>
      <c r="BD4" s="4">
        <f t="shared" si="6"/>
        <v>5</v>
      </c>
      <c r="BE4" s="4">
        <v>100.0</v>
      </c>
      <c r="BF4" s="4">
        <v>1.0</v>
      </c>
      <c r="BG4" s="4">
        <f t="shared" si="8"/>
        <v>5</v>
      </c>
      <c r="BH4" s="4">
        <f t="shared" si="9"/>
        <v>25</v>
      </c>
      <c r="BI4" s="4">
        <v>5.0</v>
      </c>
      <c r="BJ4" s="4">
        <f t="shared" si="10"/>
        <v>0.25</v>
      </c>
      <c r="BK4" s="4">
        <f t="shared" si="11"/>
        <v>0.5</v>
      </c>
      <c r="BL4" s="4">
        <f t="shared" si="12"/>
        <v>2.5</v>
      </c>
      <c r="BM4" s="4">
        <f t="shared" si="13"/>
        <v>0.25</v>
      </c>
      <c r="BN4" s="4">
        <f t="shared" si="20"/>
        <v>50</v>
      </c>
      <c r="BO4" s="4">
        <v>1300.0</v>
      </c>
      <c r="BP4" s="4">
        <f t="shared" si="14"/>
        <v>0.5</v>
      </c>
      <c r="BQ4" s="4">
        <f t="shared" si="21"/>
        <v>5</v>
      </c>
      <c r="BR4" s="4">
        <v>400.0</v>
      </c>
      <c r="BS4" s="4">
        <v>6.0</v>
      </c>
      <c r="BT4" s="4">
        <f t="shared" si="22"/>
        <v>5</v>
      </c>
      <c r="BU4" s="4">
        <f t="shared" si="23"/>
        <v>25</v>
      </c>
      <c r="BV4" s="4">
        <v>8.0</v>
      </c>
      <c r="BW4" s="4">
        <f t="shared" si="24"/>
        <v>0.25</v>
      </c>
      <c r="BX4" s="4">
        <v>9.0</v>
      </c>
      <c r="BY4" s="4">
        <f t="shared" si="15"/>
        <v>2.5</v>
      </c>
      <c r="BZ4" s="4">
        <f t="shared" si="16"/>
        <v>0.25</v>
      </c>
      <c r="CA4" s="4">
        <v>9000.0</v>
      </c>
      <c r="CB4" s="4">
        <v>1500.0</v>
      </c>
      <c r="CC4" s="4">
        <f t="shared" si="25"/>
        <v>0.5</v>
      </c>
      <c r="CD4" s="4"/>
      <c r="CE4" s="4">
        <f t="shared" si="17"/>
        <v>0.0005</v>
      </c>
      <c r="CF4" s="4"/>
      <c r="CG4" s="4"/>
      <c r="CH4" s="4"/>
      <c r="CI4" s="4"/>
      <c r="CJ4" s="4">
        <v>12.0</v>
      </c>
      <c r="CK4" s="4">
        <v>800.0</v>
      </c>
      <c r="CL4" s="4"/>
      <c r="CM4" s="4"/>
      <c r="CN4" s="4"/>
      <c r="CO4" s="4">
        <v>36000.0</v>
      </c>
      <c r="CP4" s="4">
        <v>1200.0</v>
      </c>
      <c r="CQ4" s="4"/>
      <c r="CR4" s="4">
        <v>20.0</v>
      </c>
      <c r="CS4" s="4"/>
    </row>
    <row r="5">
      <c r="A5" s="4" t="s">
        <v>123</v>
      </c>
      <c r="B5" s="4" t="s">
        <v>124</v>
      </c>
      <c r="C5" s="5" t="s">
        <v>125</v>
      </c>
      <c r="D5" s="5" t="s">
        <v>126</v>
      </c>
      <c r="E5" s="4" t="s">
        <v>101</v>
      </c>
      <c r="F5" s="4" t="s">
        <v>102</v>
      </c>
      <c r="G5" s="4" t="s">
        <v>103</v>
      </c>
      <c r="H5" s="4" t="s">
        <v>127</v>
      </c>
      <c r="I5" s="4" t="s">
        <v>128</v>
      </c>
      <c r="J5" s="4" t="s">
        <v>129</v>
      </c>
      <c r="K5" s="4" t="s">
        <v>130</v>
      </c>
      <c r="L5" s="4">
        <v>-19.3217</v>
      </c>
      <c r="M5" s="4">
        <v>-65.552</v>
      </c>
      <c r="N5" s="4">
        <v>0.394</v>
      </c>
      <c r="O5" s="4">
        <v>0.0</v>
      </c>
      <c r="P5" s="4">
        <v>3300.0</v>
      </c>
      <c r="Q5" s="4">
        <v>132.9</v>
      </c>
      <c r="R5" s="4"/>
      <c r="S5" s="4"/>
      <c r="T5" s="4">
        <v>5.66</v>
      </c>
      <c r="U5" s="4">
        <v>74.6</v>
      </c>
      <c r="V5" s="4">
        <v>302.0</v>
      </c>
      <c r="W5" s="4">
        <v>0.1</v>
      </c>
      <c r="X5" s="4">
        <v>18.1</v>
      </c>
      <c r="Y5" s="4">
        <v>6.03</v>
      </c>
      <c r="Z5" s="4">
        <v>99.3</v>
      </c>
      <c r="AA5" s="4">
        <v>39.4</v>
      </c>
      <c r="AB5" s="4">
        <v>1202.0</v>
      </c>
      <c r="AC5" s="4">
        <v>1106.0</v>
      </c>
      <c r="AD5" s="4">
        <v>96.0</v>
      </c>
      <c r="AE5" s="4"/>
      <c r="AF5" s="4">
        <v>140.0</v>
      </c>
      <c r="AG5" s="4">
        <f>0.5*0.1</f>
        <v>0.05</v>
      </c>
      <c r="AH5" s="4">
        <v>30.0</v>
      </c>
      <c r="AI5" s="4">
        <v>2.8</v>
      </c>
      <c r="AJ5" s="4">
        <v>131.0</v>
      </c>
      <c r="AK5" s="4">
        <v>24.12</v>
      </c>
      <c r="AL5" s="4">
        <v>19.4</v>
      </c>
      <c r="AM5" s="4">
        <v>2.57</v>
      </c>
      <c r="AN5" s="4">
        <v>3.29</v>
      </c>
      <c r="AO5" s="4">
        <v>29.84</v>
      </c>
      <c r="AP5" s="4">
        <v>16.64</v>
      </c>
      <c r="AQ5" s="4">
        <v>1.14</v>
      </c>
      <c r="AR5" s="4">
        <v>1.94</v>
      </c>
      <c r="AS5" s="4"/>
      <c r="AT5" s="4"/>
      <c r="AU5" s="4"/>
      <c r="AV5" s="4">
        <f t="shared" si="3"/>
        <v>2.5</v>
      </c>
      <c r="AW5" s="4">
        <f t="shared" si="26"/>
        <v>1</v>
      </c>
      <c r="AX5" s="4"/>
      <c r="AY5" s="4"/>
      <c r="AZ5" s="4">
        <f t="shared" ref="AZ5:BA5" si="27">0.5*10</f>
        <v>5</v>
      </c>
      <c r="BA5" s="4">
        <f t="shared" si="27"/>
        <v>5</v>
      </c>
      <c r="BB5" s="4">
        <f t="shared" ref="BB5:BC5" si="28">0.5*50</f>
        <v>25</v>
      </c>
      <c r="BC5" s="4">
        <f t="shared" si="28"/>
        <v>25</v>
      </c>
      <c r="BD5" s="4">
        <f t="shared" si="6"/>
        <v>5</v>
      </c>
      <c r="BE5" s="4">
        <v>4000.0</v>
      </c>
      <c r="BF5" s="4">
        <v>19.0</v>
      </c>
      <c r="BG5" s="4">
        <v>215.0</v>
      </c>
      <c r="BH5" s="4">
        <v>810.0</v>
      </c>
      <c r="BI5" s="4">
        <f>0.5*1</f>
        <v>0.5</v>
      </c>
      <c r="BJ5" s="4">
        <v>2.0</v>
      </c>
      <c r="BK5" s="4">
        <f t="shared" si="11"/>
        <v>0.5</v>
      </c>
      <c r="BL5" s="4">
        <f t="shared" si="12"/>
        <v>2.5</v>
      </c>
      <c r="BM5" s="4">
        <f t="shared" si="13"/>
        <v>0.25</v>
      </c>
      <c r="BN5" s="4">
        <v>800.0</v>
      </c>
      <c r="BO5" s="4">
        <v>60.0</v>
      </c>
      <c r="BP5" s="4">
        <f t="shared" si="14"/>
        <v>0.5</v>
      </c>
      <c r="BQ5" s="4">
        <f t="shared" si="21"/>
        <v>5</v>
      </c>
      <c r="BR5" s="4">
        <v>4000.0</v>
      </c>
      <c r="BS5" s="4">
        <v>20.0</v>
      </c>
      <c r="BT5" s="4">
        <v>253.0</v>
      </c>
      <c r="BU5" s="4">
        <v>830.0</v>
      </c>
      <c r="BV5" s="4">
        <f>0.5*1</f>
        <v>0.5</v>
      </c>
      <c r="BW5" s="4">
        <v>2.0</v>
      </c>
      <c r="BX5" s="4">
        <v>2.0</v>
      </c>
      <c r="BY5" s="4">
        <f t="shared" si="15"/>
        <v>2.5</v>
      </c>
      <c r="BZ5" s="4">
        <f t="shared" si="16"/>
        <v>0.25</v>
      </c>
      <c r="CA5" s="4">
        <v>6000.0</v>
      </c>
      <c r="CB5" s="4">
        <v>70.0</v>
      </c>
      <c r="CC5" s="4">
        <f t="shared" si="25"/>
        <v>0.5</v>
      </c>
      <c r="CD5" s="4"/>
      <c r="CE5" s="4">
        <f t="shared" si="17"/>
        <v>0.0005</v>
      </c>
      <c r="CF5" s="4"/>
      <c r="CG5" s="4"/>
      <c r="CH5" s="4">
        <v>208.33</v>
      </c>
      <c r="CI5" s="4"/>
      <c r="CJ5" s="4"/>
      <c r="CK5" s="4">
        <v>104.17</v>
      </c>
      <c r="CL5" s="4">
        <v>0.0</v>
      </c>
      <c r="CM5" s="4">
        <v>395.83</v>
      </c>
      <c r="CN5" s="4"/>
      <c r="CO5" s="4">
        <v>54166.67</v>
      </c>
      <c r="CP5" s="4">
        <v>0.0</v>
      </c>
      <c r="CQ5" s="4"/>
      <c r="CR5" s="4">
        <v>10.42</v>
      </c>
      <c r="CS5" s="4"/>
    </row>
    <row r="6">
      <c r="A6" s="4" t="s">
        <v>131</v>
      </c>
      <c r="B6" s="4" t="s">
        <v>132</v>
      </c>
      <c r="C6" s="5" t="s">
        <v>125</v>
      </c>
      <c r="D6" s="5" t="s">
        <v>133</v>
      </c>
      <c r="E6" s="4" t="s">
        <v>101</v>
      </c>
      <c r="F6" s="4" t="s">
        <v>102</v>
      </c>
      <c r="G6" s="4" t="s">
        <v>103</v>
      </c>
      <c r="H6" s="4" t="s">
        <v>131</v>
      </c>
      <c r="I6" s="4" t="s">
        <v>128</v>
      </c>
      <c r="J6" s="4" t="s">
        <v>134</v>
      </c>
      <c r="K6" s="4" t="s">
        <v>135</v>
      </c>
      <c r="L6" s="4">
        <v>-19.4719</v>
      </c>
      <c r="M6" s="4">
        <v>-65.7943</v>
      </c>
      <c r="N6" s="4">
        <v>0.446</v>
      </c>
      <c r="O6" s="4">
        <v>0.0</v>
      </c>
      <c r="P6" s="4">
        <v>642.5</v>
      </c>
      <c r="Q6" s="4">
        <v>123.1</v>
      </c>
      <c r="R6" s="4"/>
      <c r="S6" s="4"/>
      <c r="T6" s="4">
        <v>7.78</v>
      </c>
      <c r="U6" s="4">
        <v>-44.85</v>
      </c>
      <c r="V6" s="4">
        <v>1555.0</v>
      </c>
      <c r="W6" s="4">
        <v>0.7</v>
      </c>
      <c r="X6" s="4">
        <v>14.1</v>
      </c>
      <c r="Y6" s="4">
        <v>6.05</v>
      </c>
      <c r="Z6" s="4">
        <v>88.0</v>
      </c>
      <c r="AA6" s="4">
        <v>242.0</v>
      </c>
      <c r="AB6" s="4">
        <v>1311.0</v>
      </c>
      <c r="AC6" s="4">
        <v>1164.0</v>
      </c>
      <c r="AD6" s="4">
        <v>147.0</v>
      </c>
      <c r="AE6" s="4"/>
      <c r="AF6" s="4">
        <v>472.0</v>
      </c>
      <c r="AG6" s="4">
        <v>14.7</v>
      </c>
      <c r="AH6" s="4">
        <v>181.0</v>
      </c>
      <c r="AI6" s="4">
        <v>111.0</v>
      </c>
      <c r="AJ6" s="4">
        <v>453.8</v>
      </c>
      <c r="AK6" s="4">
        <v>147.2</v>
      </c>
      <c r="AL6" s="4">
        <v>24.93</v>
      </c>
      <c r="AM6" s="4">
        <v>112.39</v>
      </c>
      <c r="AN6" s="4">
        <v>26.03</v>
      </c>
      <c r="AO6" s="4">
        <v>152.1</v>
      </c>
      <c r="AP6" s="4">
        <v>20.78</v>
      </c>
      <c r="AQ6" s="4">
        <v>98.41</v>
      </c>
      <c r="AR6" s="4">
        <v>26.15</v>
      </c>
      <c r="AS6" s="4"/>
      <c r="AT6" s="4"/>
      <c r="AU6" s="4"/>
      <c r="AV6" s="4">
        <v>47.0</v>
      </c>
      <c r="AW6" s="4">
        <v>59.0</v>
      </c>
      <c r="AX6" s="4"/>
      <c r="AY6" s="4"/>
      <c r="AZ6" s="4">
        <f t="shared" ref="AZ6:BA6" si="29">0.5*10</f>
        <v>5</v>
      </c>
      <c r="BA6" s="4">
        <f t="shared" si="29"/>
        <v>5</v>
      </c>
      <c r="BB6" s="4">
        <f t="shared" ref="BB6:BC6" si="30">0.5*50</f>
        <v>25</v>
      </c>
      <c r="BC6" s="4">
        <f t="shared" si="30"/>
        <v>25</v>
      </c>
      <c r="BD6" s="4">
        <f t="shared" si="6"/>
        <v>5</v>
      </c>
      <c r="BE6" s="4">
        <v>1800.0</v>
      </c>
      <c r="BF6" s="4">
        <v>11.0</v>
      </c>
      <c r="BG6" s="4">
        <v>17.0</v>
      </c>
      <c r="BH6" s="4">
        <v>920.0</v>
      </c>
      <c r="BI6" s="4">
        <v>35.0</v>
      </c>
      <c r="BJ6" s="4">
        <v>2.0</v>
      </c>
      <c r="BK6" s="4">
        <f t="shared" si="11"/>
        <v>0.5</v>
      </c>
      <c r="BL6" s="4">
        <f t="shared" si="12"/>
        <v>2.5</v>
      </c>
      <c r="BM6" s="4">
        <f t="shared" si="13"/>
        <v>0.25</v>
      </c>
      <c r="BN6" s="4">
        <v>400.0</v>
      </c>
      <c r="BO6" s="4">
        <v>400.0</v>
      </c>
      <c r="BP6" s="4">
        <f t="shared" si="14"/>
        <v>0.5</v>
      </c>
      <c r="BQ6" s="4">
        <f t="shared" si="21"/>
        <v>5</v>
      </c>
      <c r="BR6" s="4">
        <v>1900.0</v>
      </c>
      <c r="BS6" s="4">
        <v>11.0</v>
      </c>
      <c r="BT6" s="4">
        <v>85.0</v>
      </c>
      <c r="BU6" s="4">
        <v>3880.0</v>
      </c>
      <c r="BV6" s="4">
        <v>160.0</v>
      </c>
      <c r="BW6" s="4">
        <v>10.0</v>
      </c>
      <c r="BX6" s="4">
        <v>19.0</v>
      </c>
      <c r="BY6" s="4">
        <f t="shared" si="15"/>
        <v>2.5</v>
      </c>
      <c r="BZ6" s="4">
        <f t="shared" si="16"/>
        <v>0.25</v>
      </c>
      <c r="CA6" s="4">
        <v>14000.0</v>
      </c>
      <c r="CB6" s="4">
        <v>400.0</v>
      </c>
      <c r="CC6" s="4">
        <v>3.0</v>
      </c>
      <c r="CD6" s="4"/>
      <c r="CE6" s="4">
        <f t="shared" si="17"/>
        <v>0.0005</v>
      </c>
      <c r="CF6" s="4"/>
      <c r="CG6" s="4">
        <v>20.41</v>
      </c>
      <c r="CH6" s="4">
        <v>20136.05</v>
      </c>
      <c r="CI6" s="4"/>
      <c r="CJ6" s="4">
        <v>850.34</v>
      </c>
      <c r="CK6" s="4">
        <v>0.0</v>
      </c>
      <c r="CL6" s="4">
        <v>54.42</v>
      </c>
      <c r="CM6" s="4">
        <v>462.59</v>
      </c>
      <c r="CN6" s="4"/>
      <c r="CO6" s="4">
        <v>92517.01</v>
      </c>
      <c r="CP6" s="4">
        <v>680.27</v>
      </c>
      <c r="CQ6" s="4"/>
      <c r="CR6" s="4">
        <v>0.0</v>
      </c>
      <c r="CS6" s="4"/>
    </row>
    <row r="7">
      <c r="A7" s="4" t="s">
        <v>136</v>
      </c>
      <c r="B7" s="4" t="s">
        <v>137</v>
      </c>
      <c r="C7" s="5" t="s">
        <v>138</v>
      </c>
      <c r="D7" s="5" t="s">
        <v>139</v>
      </c>
      <c r="E7" s="4" t="s">
        <v>101</v>
      </c>
      <c r="F7" s="4" t="s">
        <v>102</v>
      </c>
      <c r="G7" s="4" t="s">
        <v>103</v>
      </c>
      <c r="H7" s="4" t="s">
        <v>140</v>
      </c>
      <c r="J7" s="4" t="s">
        <v>141</v>
      </c>
      <c r="K7" s="4" t="s">
        <v>142</v>
      </c>
      <c r="L7" s="4">
        <v>-19.1323</v>
      </c>
      <c r="M7" s="4">
        <v>-65.5699</v>
      </c>
      <c r="N7" s="4">
        <v>0.863</v>
      </c>
      <c r="O7" s="4">
        <v>0.0</v>
      </c>
      <c r="P7" s="4">
        <v>1258.0</v>
      </c>
      <c r="Q7" s="4">
        <v>142.8</v>
      </c>
      <c r="R7" s="4"/>
      <c r="S7" s="4"/>
      <c r="T7" s="4">
        <v>8.36</v>
      </c>
      <c r="U7" s="4">
        <v>-79.6</v>
      </c>
      <c r="V7" s="4">
        <v>794.0</v>
      </c>
      <c r="W7" s="4">
        <v>0.3</v>
      </c>
      <c r="X7" s="4">
        <v>26.4</v>
      </c>
      <c r="Y7" s="4">
        <v>5.62</v>
      </c>
      <c r="Z7" s="4">
        <v>98.9</v>
      </c>
      <c r="AA7" s="4">
        <v>78.3</v>
      </c>
      <c r="AB7" s="4">
        <v>710.0</v>
      </c>
      <c r="AC7" s="4">
        <v>625.0</v>
      </c>
      <c r="AD7" s="4">
        <v>85.0</v>
      </c>
      <c r="AE7" s="4"/>
      <c r="AF7" s="4">
        <v>400.0</v>
      </c>
      <c r="AG7" s="4">
        <v>10.3</v>
      </c>
      <c r="AH7" s="4">
        <v>215.5</v>
      </c>
      <c r="AI7" s="4">
        <v>10.16</v>
      </c>
      <c r="AJ7" s="4">
        <v>164.2</v>
      </c>
      <c r="AK7" s="4">
        <v>25.81</v>
      </c>
      <c r="AL7" s="4">
        <v>63.7</v>
      </c>
      <c r="AM7" s="4">
        <v>20.46</v>
      </c>
      <c r="AN7" s="4">
        <v>11.38</v>
      </c>
      <c r="AO7" s="4">
        <v>43.81</v>
      </c>
      <c r="AP7" s="4">
        <v>59.56</v>
      </c>
      <c r="AQ7" s="4">
        <v>18.1</v>
      </c>
      <c r="AR7" s="4">
        <v>10.9</v>
      </c>
      <c r="AS7" s="4"/>
      <c r="AT7" s="4"/>
      <c r="AU7" s="4"/>
      <c r="AV7" s="4">
        <f t="shared" ref="AV7:AV8" si="33">0.5*5</f>
        <v>2.5</v>
      </c>
      <c r="AW7" s="4">
        <f>0.5*2</f>
        <v>1</v>
      </c>
      <c r="AX7" s="4"/>
      <c r="AY7" s="4"/>
      <c r="AZ7" s="4">
        <f t="shared" ref="AZ7:BA7" si="31">0.5*10</f>
        <v>5</v>
      </c>
      <c r="BA7" s="4">
        <f t="shared" si="31"/>
        <v>5</v>
      </c>
      <c r="BB7" s="4">
        <f t="shared" ref="BB7:BC7" si="32">0.5*50</f>
        <v>25</v>
      </c>
      <c r="BC7" s="4">
        <f t="shared" si="32"/>
        <v>25</v>
      </c>
      <c r="BD7" s="4">
        <f t="shared" si="6"/>
        <v>5</v>
      </c>
      <c r="BE7" s="4">
        <f>0.5*50</f>
        <v>25</v>
      </c>
      <c r="BF7" s="4">
        <f>0.5*1</f>
        <v>0.5</v>
      </c>
      <c r="BG7" s="4">
        <f t="shared" ref="BG7:BG8" si="36">0.5*10</f>
        <v>5</v>
      </c>
      <c r="BH7" s="4">
        <f t="shared" ref="BH7:BH8" si="37">0.5*50</f>
        <v>25</v>
      </c>
      <c r="BI7" s="4">
        <f>0.5*1</f>
        <v>0.5</v>
      </c>
      <c r="BJ7" s="4">
        <f t="shared" ref="BJ7:BJ8" si="38">0.5*0.5</f>
        <v>0.25</v>
      </c>
      <c r="BK7" s="4">
        <f t="shared" si="11"/>
        <v>0.5</v>
      </c>
      <c r="BL7" s="4">
        <f t="shared" si="12"/>
        <v>2.5</v>
      </c>
      <c r="BM7" s="4">
        <f t="shared" si="13"/>
        <v>0.25</v>
      </c>
      <c r="BN7" s="4">
        <f t="shared" ref="BN7:BN10" si="39">0.5*100</f>
        <v>50</v>
      </c>
      <c r="BO7" s="4">
        <v>200.0</v>
      </c>
      <c r="BP7" s="4">
        <f t="shared" si="14"/>
        <v>0.5</v>
      </c>
      <c r="BQ7" s="4">
        <f t="shared" si="21"/>
        <v>5</v>
      </c>
      <c r="BR7" s="4">
        <v>100.0</v>
      </c>
      <c r="BS7" s="4">
        <v>1.0</v>
      </c>
      <c r="BT7" s="4">
        <f t="shared" ref="BT7:BT8" si="40">0.5*10</f>
        <v>5</v>
      </c>
      <c r="BU7" s="4">
        <f>0.5*50</f>
        <v>25</v>
      </c>
      <c r="BV7" s="4">
        <f>0.5*1</f>
        <v>0.5</v>
      </c>
      <c r="BW7" s="4">
        <f t="shared" ref="BW7:BW8" si="41">0.5*0.5</f>
        <v>0.25</v>
      </c>
      <c r="BX7" s="4">
        <v>1.0</v>
      </c>
      <c r="BY7" s="4">
        <f t="shared" si="15"/>
        <v>2.5</v>
      </c>
      <c r="BZ7" s="4">
        <f t="shared" si="16"/>
        <v>0.25</v>
      </c>
      <c r="CA7" s="4">
        <v>4000.0</v>
      </c>
      <c r="CB7" s="4">
        <v>200.0</v>
      </c>
      <c r="CC7" s="4">
        <f t="shared" ref="CC7:CC8" si="42">0.5*1</f>
        <v>0.5</v>
      </c>
      <c r="CD7" s="4"/>
      <c r="CE7" s="4">
        <f t="shared" si="17"/>
        <v>0.0005</v>
      </c>
      <c r="CF7" s="4"/>
      <c r="CG7" s="4"/>
      <c r="CH7" s="4"/>
      <c r="CI7" s="4"/>
      <c r="CJ7" s="4"/>
      <c r="CK7" s="4">
        <v>0.0</v>
      </c>
      <c r="CL7" s="4"/>
      <c r="CM7" s="4"/>
      <c r="CN7" s="4"/>
      <c r="CO7" s="4">
        <v>47058.82</v>
      </c>
      <c r="CP7" s="4">
        <v>1176.47</v>
      </c>
      <c r="CQ7" s="4"/>
      <c r="CR7" s="4">
        <v>11.76</v>
      </c>
      <c r="CS7" s="4"/>
    </row>
    <row r="8">
      <c r="A8" s="4" t="s">
        <v>143</v>
      </c>
      <c r="B8" s="4" t="s">
        <v>144</v>
      </c>
      <c r="C8" s="5" t="s">
        <v>138</v>
      </c>
      <c r="D8" s="5" t="s">
        <v>145</v>
      </c>
      <c r="E8" s="4" t="s">
        <v>101</v>
      </c>
      <c r="F8" s="4" t="s">
        <v>102</v>
      </c>
      <c r="G8" s="4" t="s">
        <v>103</v>
      </c>
      <c r="H8" s="4" t="s">
        <v>104</v>
      </c>
      <c r="J8" s="4" t="s">
        <v>146</v>
      </c>
      <c r="K8" s="4" t="s">
        <v>147</v>
      </c>
      <c r="L8" s="4">
        <v>-19.1324</v>
      </c>
      <c r="M8" s="4">
        <v>-65.5726</v>
      </c>
      <c r="N8" s="4">
        <v>0.862</v>
      </c>
      <c r="O8" s="4">
        <v>4.0</v>
      </c>
      <c r="P8" s="4">
        <v>902.0</v>
      </c>
      <c r="Q8" s="4">
        <v>143.9</v>
      </c>
      <c r="R8" s="4"/>
      <c r="S8" s="4"/>
      <c r="T8" s="4">
        <v>8.38</v>
      </c>
      <c r="U8" s="4">
        <v>-81.7</v>
      </c>
      <c r="V8" s="4">
        <v>1108.0</v>
      </c>
      <c r="W8" s="4">
        <v>0.5</v>
      </c>
      <c r="X8" s="4">
        <v>23.8</v>
      </c>
      <c r="Y8" s="4">
        <v>5.91</v>
      </c>
      <c r="Z8" s="4">
        <v>98.85</v>
      </c>
      <c r="AA8" s="4">
        <v>343.0</v>
      </c>
      <c r="AB8" s="4">
        <v>750.0</v>
      </c>
      <c r="AC8" s="4">
        <v>718.0</v>
      </c>
      <c r="AD8" s="4">
        <v>32.0</v>
      </c>
      <c r="AE8" s="4"/>
      <c r="AF8" s="4">
        <v>252.0</v>
      </c>
      <c r="AG8" s="4">
        <v>16.0</v>
      </c>
      <c r="AH8" s="4">
        <v>161.5</v>
      </c>
      <c r="AI8" s="4">
        <v>162.63</v>
      </c>
      <c r="AJ8" s="4">
        <v>127.7</v>
      </c>
      <c r="AK8" s="4">
        <v>56.26</v>
      </c>
      <c r="AL8" s="4">
        <v>26.31</v>
      </c>
      <c r="AM8" s="4">
        <v>121.87</v>
      </c>
      <c r="AN8" s="4">
        <v>16.19</v>
      </c>
      <c r="AO8" s="4">
        <v>56.71</v>
      </c>
      <c r="AP8" s="4">
        <v>24.38</v>
      </c>
      <c r="AQ8" s="4">
        <v>105.03</v>
      </c>
      <c r="AR8" s="4">
        <v>14.51</v>
      </c>
      <c r="AS8" s="4"/>
      <c r="AT8" s="4"/>
      <c r="AU8" s="4"/>
      <c r="AV8" s="4">
        <f t="shared" si="33"/>
        <v>2.5</v>
      </c>
      <c r="AW8" s="4">
        <v>5.0</v>
      </c>
      <c r="AX8" s="4"/>
      <c r="AY8" s="4"/>
      <c r="AZ8" s="4">
        <f t="shared" ref="AZ8:BA8" si="34">0.5*10</f>
        <v>5</v>
      </c>
      <c r="BA8" s="4">
        <f t="shared" si="34"/>
        <v>5</v>
      </c>
      <c r="BB8" s="4">
        <f t="shared" ref="BB8:BC8" si="35">0.5*50</f>
        <v>25</v>
      </c>
      <c r="BC8" s="4">
        <f t="shared" si="35"/>
        <v>25</v>
      </c>
      <c r="BD8" s="4">
        <f t="shared" si="6"/>
        <v>5</v>
      </c>
      <c r="BE8" s="4">
        <v>200.0</v>
      </c>
      <c r="BF8" s="4">
        <v>1.0</v>
      </c>
      <c r="BG8" s="4">
        <f t="shared" si="36"/>
        <v>5</v>
      </c>
      <c r="BH8" s="4">
        <f t="shared" si="37"/>
        <v>25</v>
      </c>
      <c r="BI8" s="4">
        <v>18.0</v>
      </c>
      <c r="BJ8" s="4">
        <f t="shared" si="38"/>
        <v>0.25</v>
      </c>
      <c r="BK8" s="4">
        <f t="shared" si="11"/>
        <v>0.5</v>
      </c>
      <c r="BL8" s="4">
        <f t="shared" si="12"/>
        <v>2.5</v>
      </c>
      <c r="BM8" s="4">
        <f t="shared" si="13"/>
        <v>0.25</v>
      </c>
      <c r="BN8" s="4">
        <f t="shared" si="39"/>
        <v>50</v>
      </c>
      <c r="BO8" s="4">
        <v>1600.0</v>
      </c>
      <c r="BP8" s="4">
        <f t="shared" si="14"/>
        <v>0.5</v>
      </c>
      <c r="BQ8" s="4">
        <f t="shared" si="21"/>
        <v>5</v>
      </c>
      <c r="BR8" s="4">
        <v>400.0</v>
      </c>
      <c r="BS8" s="4">
        <v>5.0</v>
      </c>
      <c r="BT8" s="4">
        <f t="shared" si="40"/>
        <v>5</v>
      </c>
      <c r="BU8" s="4">
        <v>210.0</v>
      </c>
      <c r="BV8" s="4">
        <v>31.0</v>
      </c>
      <c r="BW8" s="4">
        <f t="shared" si="41"/>
        <v>0.25</v>
      </c>
      <c r="BX8" s="4">
        <v>9.0</v>
      </c>
      <c r="BY8" s="4">
        <f t="shared" si="15"/>
        <v>2.5</v>
      </c>
      <c r="BZ8" s="4">
        <f t="shared" si="16"/>
        <v>0.25</v>
      </c>
      <c r="CA8" s="4">
        <v>11000.0</v>
      </c>
      <c r="CB8" s="4">
        <v>1800.0</v>
      </c>
      <c r="CC8" s="4">
        <f t="shared" si="42"/>
        <v>0.5</v>
      </c>
      <c r="CD8" s="4"/>
      <c r="CE8" s="4">
        <f t="shared" si="17"/>
        <v>0.0005</v>
      </c>
      <c r="CF8" s="4"/>
      <c r="CG8" s="4"/>
      <c r="CH8" s="4">
        <v>6562.5</v>
      </c>
      <c r="CI8" s="4"/>
      <c r="CJ8" s="4">
        <v>406.25</v>
      </c>
      <c r="CK8" s="4">
        <v>6250.0</v>
      </c>
      <c r="CL8" s="4"/>
      <c r="CM8" s="4"/>
      <c r="CN8" s="4"/>
      <c r="CO8" s="4">
        <v>343750.0</v>
      </c>
      <c r="CP8" s="4">
        <v>6250.0</v>
      </c>
      <c r="CQ8" s="4"/>
      <c r="CR8" s="4">
        <v>125.0</v>
      </c>
      <c r="CS8" s="4"/>
    </row>
    <row r="9">
      <c r="A9" s="4" t="s">
        <v>148</v>
      </c>
      <c r="B9" s="4" t="s">
        <v>149</v>
      </c>
      <c r="C9" s="5" t="s">
        <v>150</v>
      </c>
      <c r="D9" s="5" t="s">
        <v>151</v>
      </c>
      <c r="E9" s="4" t="s">
        <v>152</v>
      </c>
      <c r="F9" s="4" t="s">
        <v>102</v>
      </c>
      <c r="G9" s="4" t="s">
        <v>103</v>
      </c>
      <c r="H9" s="4" t="s">
        <v>153</v>
      </c>
      <c r="I9" s="4" t="s">
        <v>128</v>
      </c>
      <c r="J9" s="4" t="s">
        <v>154</v>
      </c>
      <c r="K9" s="4" t="s">
        <v>155</v>
      </c>
      <c r="L9" s="4">
        <v>-19.5783</v>
      </c>
      <c r="M9" s="4">
        <v>-65.8033</v>
      </c>
      <c r="N9" s="4"/>
      <c r="O9" s="4"/>
      <c r="P9" s="4"/>
      <c r="Q9" s="4"/>
      <c r="R9" s="4">
        <v>7.248</v>
      </c>
      <c r="S9" s="4">
        <v>3.0</v>
      </c>
      <c r="T9" s="4"/>
      <c r="U9" s="4"/>
      <c r="V9" s="4">
        <v>867.0</v>
      </c>
      <c r="W9" s="4"/>
      <c r="X9" s="4"/>
      <c r="Y9" s="4"/>
      <c r="Z9" s="4"/>
      <c r="AA9" s="4">
        <v>121.0</v>
      </c>
      <c r="AB9" s="4">
        <v>629.0</v>
      </c>
      <c r="AC9" s="4">
        <v>539.0</v>
      </c>
      <c r="AD9" s="4">
        <v>90.0</v>
      </c>
      <c r="AE9" s="4">
        <f>0.5*5</f>
        <v>2.5</v>
      </c>
      <c r="AF9" s="4">
        <v>228.0</v>
      </c>
      <c r="AG9" s="4"/>
      <c r="AH9" s="4"/>
      <c r="AI9" s="4">
        <v>57.1</v>
      </c>
      <c r="AJ9" s="4">
        <v>74.0</v>
      </c>
      <c r="AK9" s="4">
        <v>45.4</v>
      </c>
      <c r="AL9" s="4">
        <v>9.8</v>
      </c>
      <c r="AM9" s="4">
        <v>25.8</v>
      </c>
      <c r="AN9" s="4">
        <v>13.8</v>
      </c>
      <c r="AO9" s="4">
        <v>49.1</v>
      </c>
      <c r="AP9" s="4">
        <v>11.2</v>
      </c>
      <c r="AQ9" s="4">
        <v>82.5</v>
      </c>
      <c r="AR9" s="4">
        <v>14.2</v>
      </c>
      <c r="AS9" s="4">
        <v>24.1</v>
      </c>
      <c r="AT9" s="4">
        <v>0.013</v>
      </c>
      <c r="AU9" s="4">
        <v>0.4</v>
      </c>
      <c r="AV9" s="4"/>
      <c r="AW9" s="4">
        <v>110.0</v>
      </c>
      <c r="AX9" s="4"/>
      <c r="AY9" s="4"/>
      <c r="AZ9" s="4">
        <f t="shared" ref="AZ9:BA9" si="43">0.5*10</f>
        <v>5</v>
      </c>
      <c r="BA9" s="4">
        <f t="shared" si="43"/>
        <v>5</v>
      </c>
      <c r="BB9" s="4">
        <f t="shared" ref="BB9:BC9" si="44">0.5*50</f>
        <v>25</v>
      </c>
      <c r="BC9" s="4">
        <f t="shared" si="44"/>
        <v>25</v>
      </c>
      <c r="BD9" s="4">
        <f t="shared" si="6"/>
        <v>5</v>
      </c>
      <c r="BE9" s="4">
        <v>800.0</v>
      </c>
      <c r="BF9" s="4">
        <v>6.0</v>
      </c>
      <c r="BG9" s="4">
        <v>13.0</v>
      </c>
      <c r="BH9" s="4">
        <v>4000.0</v>
      </c>
      <c r="BI9" s="4">
        <v>6.0</v>
      </c>
      <c r="BJ9" s="4">
        <v>5.0</v>
      </c>
      <c r="BK9" s="4">
        <f t="shared" si="11"/>
        <v>0.5</v>
      </c>
      <c r="BL9" s="4">
        <f t="shared" si="12"/>
        <v>2.5</v>
      </c>
      <c r="BM9" s="4">
        <f t="shared" si="13"/>
        <v>0.25</v>
      </c>
      <c r="BN9" s="4">
        <f t="shared" si="39"/>
        <v>50</v>
      </c>
      <c r="BO9" s="4">
        <v>300.0</v>
      </c>
      <c r="BP9" s="4">
        <f t="shared" si="14"/>
        <v>0.5</v>
      </c>
      <c r="BQ9" s="4">
        <f t="shared" si="21"/>
        <v>5</v>
      </c>
      <c r="BR9" s="4">
        <v>900.0</v>
      </c>
      <c r="BS9" s="4">
        <v>7.0</v>
      </c>
      <c r="BT9" s="4">
        <v>73.0</v>
      </c>
      <c r="BU9" s="4">
        <v>7000.0</v>
      </c>
      <c r="BV9" s="4">
        <v>55.0</v>
      </c>
      <c r="BW9" s="4">
        <v>13.0</v>
      </c>
      <c r="BX9" s="4">
        <v>15.0</v>
      </c>
      <c r="BY9" s="4">
        <f t="shared" si="15"/>
        <v>2.5</v>
      </c>
      <c r="BZ9" s="4">
        <v>2.9</v>
      </c>
      <c r="CA9" s="4">
        <v>7000.0</v>
      </c>
      <c r="CB9" s="4">
        <v>300.0</v>
      </c>
      <c r="CC9" s="4">
        <v>5.0</v>
      </c>
      <c r="CD9" s="4">
        <f t="shared" ref="CD9:CD12" si="47">0.5*0.004</f>
        <v>0.002</v>
      </c>
      <c r="CE9" s="4"/>
      <c r="CF9" s="4">
        <v>0.064</v>
      </c>
      <c r="CG9" s="4">
        <v>55.56</v>
      </c>
      <c r="CH9" s="4">
        <v>33333.33</v>
      </c>
      <c r="CI9" s="4">
        <v>13.33</v>
      </c>
      <c r="CJ9" s="4">
        <v>544.44</v>
      </c>
      <c r="CK9" s="4">
        <v>0.0</v>
      </c>
      <c r="CL9" s="4">
        <v>88.89</v>
      </c>
      <c r="CM9" s="4">
        <v>666.67</v>
      </c>
      <c r="CN9" s="4"/>
      <c r="CO9" s="4">
        <v>77777.78</v>
      </c>
      <c r="CP9" s="4">
        <v>1111.11</v>
      </c>
      <c r="CQ9" s="4">
        <v>32.22</v>
      </c>
      <c r="CR9" s="4">
        <v>11.11</v>
      </c>
      <c r="CS9" s="4"/>
    </row>
    <row r="10">
      <c r="A10" s="4" t="s">
        <v>131</v>
      </c>
      <c r="B10" s="4" t="s">
        <v>132</v>
      </c>
      <c r="C10" s="5" t="s">
        <v>150</v>
      </c>
      <c r="D10" s="5" t="s">
        <v>156</v>
      </c>
      <c r="E10" s="4" t="s">
        <v>152</v>
      </c>
      <c r="F10" s="4" t="s">
        <v>102</v>
      </c>
      <c r="G10" s="4" t="s">
        <v>103</v>
      </c>
      <c r="H10" s="4" t="s">
        <v>131</v>
      </c>
      <c r="I10" s="4" t="s">
        <v>128</v>
      </c>
      <c r="J10" s="4" t="s">
        <v>157</v>
      </c>
      <c r="K10" s="4" t="s">
        <v>158</v>
      </c>
      <c r="L10" s="4">
        <v>-19.4719</v>
      </c>
      <c r="M10" s="4">
        <v>-65.7941</v>
      </c>
      <c r="N10" s="4"/>
      <c r="O10" s="4"/>
      <c r="P10" s="4"/>
      <c r="Q10" s="4"/>
      <c r="R10" s="4">
        <v>6.883</v>
      </c>
      <c r="S10" s="4">
        <v>14.0</v>
      </c>
      <c r="T10" s="4"/>
      <c r="U10" s="4"/>
      <c r="V10" s="4">
        <v>1105.0</v>
      </c>
      <c r="W10" s="4"/>
      <c r="X10" s="4"/>
      <c r="Y10" s="4"/>
      <c r="Z10" s="4"/>
      <c r="AA10" s="4">
        <v>473.0</v>
      </c>
      <c r="AB10" s="4">
        <v>1074.0</v>
      </c>
      <c r="AC10" s="4">
        <v>745.0</v>
      </c>
      <c r="AD10" s="4">
        <v>329.0</v>
      </c>
      <c r="AE10" s="4">
        <v>28.0</v>
      </c>
      <c r="AF10" s="4">
        <v>213.0</v>
      </c>
      <c r="AG10" s="4"/>
      <c r="AH10" s="4"/>
      <c r="AI10" s="4">
        <v>70.6</v>
      </c>
      <c r="AJ10" s="4">
        <v>180.0</v>
      </c>
      <c r="AK10" s="4">
        <v>37.4</v>
      </c>
      <c r="AL10" s="4">
        <v>12.8</v>
      </c>
      <c r="AM10" s="4">
        <v>88.0</v>
      </c>
      <c r="AN10" s="4">
        <v>28.1</v>
      </c>
      <c r="AO10" s="4">
        <v>39.9</v>
      </c>
      <c r="AP10" s="4">
        <v>14.7</v>
      </c>
      <c r="AQ10" s="4">
        <v>100.0</v>
      </c>
      <c r="AR10" s="4">
        <v>80.2</v>
      </c>
      <c r="AS10" s="4">
        <v>53.3</v>
      </c>
      <c r="AT10" s="4">
        <v>0.012</v>
      </c>
      <c r="AU10" s="4">
        <v>0.8</v>
      </c>
      <c r="AV10" s="4"/>
      <c r="AW10" s="4">
        <v>360.0</v>
      </c>
      <c r="AX10" s="4">
        <v>4600000.0</v>
      </c>
      <c r="AY10" s="4">
        <v>1500000.0</v>
      </c>
      <c r="AZ10" s="4">
        <f t="shared" ref="AZ10:BA10" si="45">0.5*10</f>
        <v>5</v>
      </c>
      <c r="BA10" s="4">
        <f t="shared" si="45"/>
        <v>5</v>
      </c>
      <c r="BB10" s="4">
        <f t="shared" ref="BB10:BC10" si="46">0.5*50</f>
        <v>25</v>
      </c>
      <c r="BC10" s="4">
        <f t="shared" si="46"/>
        <v>25</v>
      </c>
      <c r="BD10" s="4">
        <f t="shared" si="6"/>
        <v>5</v>
      </c>
      <c r="BE10" s="4">
        <v>1700.0</v>
      </c>
      <c r="BF10" s="4">
        <v>16.0</v>
      </c>
      <c r="BG10" s="4">
        <v>26.0</v>
      </c>
      <c r="BH10" s="4">
        <v>11000.0</v>
      </c>
      <c r="BI10" s="4">
        <v>2.0</v>
      </c>
      <c r="BJ10" s="4">
        <v>30.0</v>
      </c>
      <c r="BK10" s="4">
        <f t="shared" si="11"/>
        <v>0.5</v>
      </c>
      <c r="BL10" s="4">
        <f t="shared" si="12"/>
        <v>2.5</v>
      </c>
      <c r="BM10" s="4">
        <v>3.0</v>
      </c>
      <c r="BN10" s="4">
        <f t="shared" si="39"/>
        <v>50</v>
      </c>
      <c r="BO10" s="4">
        <v>300.0</v>
      </c>
      <c r="BP10" s="4">
        <f t="shared" si="14"/>
        <v>0.5</v>
      </c>
      <c r="BQ10" s="4">
        <f t="shared" si="21"/>
        <v>5</v>
      </c>
      <c r="BR10" s="4">
        <v>1900.0</v>
      </c>
      <c r="BS10" s="4">
        <v>24.0</v>
      </c>
      <c r="BT10" s="4">
        <v>624.0</v>
      </c>
      <c r="BU10" s="4">
        <v>25000.0</v>
      </c>
      <c r="BV10" s="4">
        <v>397.0</v>
      </c>
      <c r="BW10" s="4">
        <v>79.0</v>
      </c>
      <c r="BX10" s="4">
        <v>632.0</v>
      </c>
      <c r="BY10" s="4">
        <v>9.0</v>
      </c>
      <c r="BZ10" s="4">
        <v>5.2</v>
      </c>
      <c r="CA10" s="4">
        <v>53000.0</v>
      </c>
      <c r="CB10" s="4">
        <v>300.0</v>
      </c>
      <c r="CC10" s="4">
        <v>7.0</v>
      </c>
      <c r="CD10" s="4">
        <f t="shared" si="47"/>
        <v>0.002</v>
      </c>
      <c r="CE10" s="4"/>
      <c r="CF10" s="4">
        <v>0.062</v>
      </c>
      <c r="CG10" s="4">
        <v>21.28</v>
      </c>
      <c r="CH10" s="4">
        <v>42553.19</v>
      </c>
      <c r="CI10" s="4">
        <v>1835.56</v>
      </c>
      <c r="CJ10" s="4">
        <v>1200.61</v>
      </c>
      <c r="CK10" s="4">
        <v>0.0</v>
      </c>
      <c r="CL10" s="4">
        <v>148.94</v>
      </c>
      <c r="CM10" s="4">
        <v>1817.63</v>
      </c>
      <c r="CN10" s="4"/>
      <c r="CO10" s="4">
        <v>161094.22</v>
      </c>
      <c r="CP10" s="4">
        <v>607.9</v>
      </c>
      <c r="CQ10" s="4">
        <v>6.69</v>
      </c>
      <c r="CR10" s="4">
        <v>24.32</v>
      </c>
      <c r="CS10" s="4">
        <v>27.36</v>
      </c>
    </row>
    <row r="11">
      <c r="A11" s="4" t="s">
        <v>148</v>
      </c>
      <c r="B11" s="4" t="s">
        <v>149</v>
      </c>
      <c r="C11" s="5" t="s">
        <v>159</v>
      </c>
      <c r="D11" s="5" t="s">
        <v>160</v>
      </c>
      <c r="E11" s="4" t="s">
        <v>152</v>
      </c>
      <c r="F11" s="4" t="s">
        <v>102</v>
      </c>
      <c r="G11" s="4" t="s">
        <v>103</v>
      </c>
      <c r="H11" s="4" t="s">
        <v>153</v>
      </c>
      <c r="I11" s="4" t="s">
        <v>128</v>
      </c>
      <c r="J11" s="4" t="s">
        <v>154</v>
      </c>
      <c r="K11" s="4" t="s">
        <v>155</v>
      </c>
      <c r="L11" s="4">
        <v>-19.5783</v>
      </c>
      <c r="M11" s="4">
        <v>-65.8033</v>
      </c>
      <c r="N11" s="4"/>
      <c r="O11" s="4"/>
      <c r="P11" s="4"/>
      <c r="Q11" s="4"/>
      <c r="R11" s="4">
        <v>6.99</v>
      </c>
      <c r="S11" s="4">
        <v>11.0</v>
      </c>
      <c r="T11" s="4">
        <v>6.61</v>
      </c>
      <c r="U11" s="4"/>
      <c r="V11" s="4">
        <v>1360.0</v>
      </c>
      <c r="W11" s="4"/>
      <c r="X11" s="4">
        <v>5.4</v>
      </c>
      <c r="Y11" s="4"/>
      <c r="Z11" s="4"/>
      <c r="AA11" s="4">
        <v>222.0</v>
      </c>
      <c r="AB11" s="4">
        <v>1137.0</v>
      </c>
      <c r="AC11" s="4">
        <v>977.0</v>
      </c>
      <c r="AD11" s="4">
        <v>160.0</v>
      </c>
      <c r="AE11" s="4">
        <v>7.0</v>
      </c>
      <c r="AF11" s="4">
        <v>413.0</v>
      </c>
      <c r="AG11" s="4"/>
      <c r="AH11" s="4"/>
      <c r="AI11" s="4">
        <v>76.9</v>
      </c>
      <c r="AJ11" s="4">
        <v>370.0</v>
      </c>
      <c r="AK11" s="4">
        <v>74.6</v>
      </c>
      <c r="AL11" s="4">
        <v>21.4</v>
      </c>
      <c r="AM11" s="4">
        <v>101.0</v>
      </c>
      <c r="AN11" s="4">
        <v>29.2</v>
      </c>
      <c r="AO11" s="4">
        <v>83.6</v>
      </c>
      <c r="AP11" s="4">
        <v>23.0</v>
      </c>
      <c r="AQ11" s="4">
        <v>104.0</v>
      </c>
      <c r="AR11" s="4">
        <v>32.2</v>
      </c>
      <c r="AS11" s="4">
        <v>45.7</v>
      </c>
      <c r="AT11" s="4">
        <v>0.143</v>
      </c>
      <c r="AU11" s="4">
        <v>1.2</v>
      </c>
      <c r="AV11" s="4">
        <v>65.0</v>
      </c>
      <c r="AW11" s="4">
        <v>100.0</v>
      </c>
      <c r="AX11" s="4"/>
      <c r="AY11" s="6">
        <v>4.6E7</v>
      </c>
      <c r="AZ11" s="4">
        <f t="shared" ref="AZ11:BA11" si="48">0.5*10</f>
        <v>5</v>
      </c>
      <c r="BA11" s="4">
        <f t="shared" si="48"/>
        <v>5</v>
      </c>
      <c r="BB11" s="4">
        <f t="shared" ref="BB11:BC11" si="49">0.5*50</f>
        <v>25</v>
      </c>
      <c r="BC11" s="4">
        <f t="shared" si="49"/>
        <v>25</v>
      </c>
      <c r="BD11" s="4">
        <f t="shared" si="6"/>
        <v>5</v>
      </c>
      <c r="BE11" s="4">
        <v>2900.0</v>
      </c>
      <c r="BF11" s="4">
        <v>12.0</v>
      </c>
      <c r="BG11" s="4">
        <v>35.0</v>
      </c>
      <c r="BH11" s="4">
        <v>11000.0</v>
      </c>
      <c r="BI11" s="4">
        <v>1.0</v>
      </c>
      <c r="BJ11" s="4">
        <v>39.0</v>
      </c>
      <c r="BK11" s="4">
        <f t="shared" si="11"/>
        <v>0.5</v>
      </c>
      <c r="BL11" s="4">
        <f t="shared" si="12"/>
        <v>2.5</v>
      </c>
      <c r="BM11" s="4">
        <f t="shared" ref="BM11:BM12" si="52">0.5*0.5</f>
        <v>0.25</v>
      </c>
      <c r="BN11" s="4">
        <v>100.0</v>
      </c>
      <c r="BO11" s="4">
        <v>400.0</v>
      </c>
      <c r="BP11" s="4">
        <f t="shared" si="14"/>
        <v>0.5</v>
      </c>
      <c r="BQ11" s="4">
        <f t="shared" si="21"/>
        <v>5</v>
      </c>
      <c r="BR11" s="4">
        <v>3300.0</v>
      </c>
      <c r="BS11" s="4">
        <v>34.0</v>
      </c>
      <c r="BT11" s="4">
        <v>478.0</v>
      </c>
      <c r="BU11" s="4">
        <v>36000.0</v>
      </c>
      <c r="BV11" s="4">
        <v>144.0</v>
      </c>
      <c r="BW11" s="4">
        <v>83.0</v>
      </c>
      <c r="BX11" s="4">
        <v>21.0</v>
      </c>
      <c r="BY11" s="4">
        <f t="shared" ref="BY11:BY12" si="53">0.5*5</f>
        <v>2.5</v>
      </c>
      <c r="BZ11" s="4">
        <v>1.7</v>
      </c>
      <c r="CA11" s="4">
        <v>25000.0</v>
      </c>
      <c r="CB11" s="4">
        <v>400.0</v>
      </c>
      <c r="CC11" s="4">
        <v>6.0</v>
      </c>
      <c r="CD11" s="4">
        <f t="shared" si="47"/>
        <v>0.002</v>
      </c>
      <c r="CE11" s="4"/>
      <c r="CF11" s="4">
        <v>0.024</v>
      </c>
      <c r="CG11" s="4">
        <v>37.5</v>
      </c>
      <c r="CH11" s="4">
        <v>156250.0</v>
      </c>
      <c r="CI11" s="4"/>
      <c r="CJ11" s="4">
        <v>893.75</v>
      </c>
      <c r="CK11" s="4">
        <v>0.0</v>
      </c>
      <c r="CL11" s="4">
        <v>275.0</v>
      </c>
      <c r="CM11" s="4">
        <v>2768.75</v>
      </c>
      <c r="CN11" s="4"/>
      <c r="CO11" s="4">
        <v>155625.0</v>
      </c>
      <c r="CP11" s="4">
        <v>2500.0</v>
      </c>
      <c r="CQ11" s="4">
        <v>10.63</v>
      </c>
      <c r="CR11" s="4">
        <v>137.5</v>
      </c>
      <c r="CS11" s="4"/>
    </row>
    <row r="12">
      <c r="A12" s="4" t="s">
        <v>131</v>
      </c>
      <c r="B12" s="4" t="s">
        <v>132</v>
      </c>
      <c r="C12" s="5" t="s">
        <v>159</v>
      </c>
      <c r="D12" s="5" t="s">
        <v>161</v>
      </c>
      <c r="E12" s="4" t="s">
        <v>152</v>
      </c>
      <c r="F12" s="4" t="s">
        <v>102</v>
      </c>
      <c r="G12" s="4" t="s">
        <v>103</v>
      </c>
      <c r="H12" s="4" t="s">
        <v>131</v>
      </c>
      <c r="I12" s="4" t="s">
        <v>128</v>
      </c>
      <c r="J12" s="4" t="s">
        <v>157</v>
      </c>
      <c r="K12" s="4" t="s">
        <v>158</v>
      </c>
      <c r="L12" s="4">
        <v>-19.4719</v>
      </c>
      <c r="M12" s="4">
        <v>-65.7941</v>
      </c>
      <c r="N12" s="4"/>
      <c r="O12" s="4"/>
      <c r="P12" s="4"/>
      <c r="Q12" s="4"/>
      <c r="R12" s="4">
        <v>7.788</v>
      </c>
      <c r="S12" s="4">
        <v>3.1</v>
      </c>
      <c r="T12" s="4">
        <v>7.08</v>
      </c>
      <c r="U12" s="4"/>
      <c r="V12" s="4">
        <v>810.0</v>
      </c>
      <c r="W12" s="4"/>
      <c r="X12" s="4">
        <v>4.5</v>
      </c>
      <c r="Y12" s="4"/>
      <c r="Z12" s="4"/>
      <c r="AA12" s="4">
        <v>117.0</v>
      </c>
      <c r="AB12" s="4">
        <v>687.0</v>
      </c>
      <c r="AC12" s="4">
        <v>574.0</v>
      </c>
      <c r="AD12" s="4">
        <v>113.0</v>
      </c>
      <c r="AE12" s="4">
        <v>5.0</v>
      </c>
      <c r="AF12" s="4">
        <v>231.0</v>
      </c>
      <c r="AG12" s="4"/>
      <c r="AH12" s="4"/>
      <c r="AI12" s="4">
        <v>61.0</v>
      </c>
      <c r="AJ12" s="4">
        <v>73.0</v>
      </c>
      <c r="AK12" s="4">
        <v>45.4</v>
      </c>
      <c r="AL12" s="4">
        <v>9.5</v>
      </c>
      <c r="AM12" s="4">
        <v>90.0</v>
      </c>
      <c r="AN12" s="4">
        <v>17.2</v>
      </c>
      <c r="AO12" s="4">
        <v>54.4</v>
      </c>
      <c r="AP12" s="4">
        <v>10.0</v>
      </c>
      <c r="AQ12" s="4">
        <v>96.0</v>
      </c>
      <c r="AR12" s="4">
        <v>20.4</v>
      </c>
      <c r="AS12" s="4">
        <v>20.0</v>
      </c>
      <c r="AT12" s="4">
        <v>0.025</v>
      </c>
      <c r="AU12" s="4">
        <v>0.9</v>
      </c>
      <c r="AV12" s="4">
        <v>86.0</v>
      </c>
      <c r="AW12" s="4">
        <v>124.0</v>
      </c>
      <c r="AX12" s="4"/>
      <c r="AY12" s="4">
        <v>4300000.0</v>
      </c>
      <c r="AZ12" s="4">
        <f t="shared" ref="AZ12:BA12" si="50">0.5*10</f>
        <v>5</v>
      </c>
      <c r="BA12" s="4">
        <f t="shared" si="50"/>
        <v>5</v>
      </c>
      <c r="BB12" s="4">
        <f t="shared" ref="BB12:BC12" si="51">0.5*50</f>
        <v>25</v>
      </c>
      <c r="BC12" s="4">
        <f t="shared" si="51"/>
        <v>25</v>
      </c>
      <c r="BD12" s="4">
        <f t="shared" si="6"/>
        <v>5</v>
      </c>
      <c r="BE12" s="4">
        <v>800.0</v>
      </c>
      <c r="BF12" s="4">
        <v>7.0</v>
      </c>
      <c r="BG12" s="4">
        <v>10.0</v>
      </c>
      <c r="BH12" s="4">
        <v>3110.0</v>
      </c>
      <c r="BI12" s="4">
        <v>6.0</v>
      </c>
      <c r="BJ12" s="4">
        <f>0.5*0.5</f>
        <v>0.25</v>
      </c>
      <c r="BK12" s="4">
        <f t="shared" si="11"/>
        <v>0.5</v>
      </c>
      <c r="BL12" s="4">
        <f t="shared" si="12"/>
        <v>2.5</v>
      </c>
      <c r="BM12" s="4">
        <f t="shared" si="52"/>
        <v>0.25</v>
      </c>
      <c r="BN12" s="4">
        <f>0.5*100</f>
        <v>50</v>
      </c>
      <c r="BO12" s="4">
        <v>300.0</v>
      </c>
      <c r="BP12" s="4">
        <f t="shared" si="14"/>
        <v>0.5</v>
      </c>
      <c r="BQ12" s="4">
        <f t="shared" si="21"/>
        <v>5</v>
      </c>
      <c r="BR12" s="4">
        <v>900.0</v>
      </c>
      <c r="BS12" s="4">
        <v>8.0</v>
      </c>
      <c r="BT12" s="4">
        <v>110.0</v>
      </c>
      <c r="BU12" s="4">
        <v>7460.0</v>
      </c>
      <c r="BV12" s="4">
        <v>75.0</v>
      </c>
      <c r="BW12" s="4">
        <v>19.0</v>
      </c>
      <c r="BX12" s="4">
        <v>24.0</v>
      </c>
      <c r="BY12" s="4">
        <f t="shared" si="53"/>
        <v>2.5</v>
      </c>
      <c r="BZ12" s="4">
        <v>1.9</v>
      </c>
      <c r="CA12" s="4">
        <v>10000.0</v>
      </c>
      <c r="CB12" s="4">
        <v>300.0</v>
      </c>
      <c r="CC12" s="4">
        <v>6.0</v>
      </c>
      <c r="CD12" s="4">
        <f t="shared" si="47"/>
        <v>0.002</v>
      </c>
      <c r="CE12" s="4"/>
      <c r="CF12" s="4">
        <v>0.022</v>
      </c>
      <c r="CG12" s="4">
        <v>53.1</v>
      </c>
      <c r="CH12" s="4">
        <v>38495.58</v>
      </c>
      <c r="CI12" s="4">
        <v>60.18</v>
      </c>
      <c r="CJ12" s="4">
        <v>610.62</v>
      </c>
      <c r="CK12" s="4">
        <v>0.0</v>
      </c>
      <c r="CL12" s="4">
        <v>168.14</v>
      </c>
      <c r="CM12" s="4">
        <v>884.96</v>
      </c>
      <c r="CN12" s="4"/>
      <c r="CO12" s="4">
        <v>88495.58</v>
      </c>
      <c r="CP12" s="4">
        <v>884.96</v>
      </c>
      <c r="CQ12" s="4">
        <v>16.81</v>
      </c>
      <c r="CR12" s="4">
        <v>8.85</v>
      </c>
      <c r="CS12" s="4"/>
    </row>
    <row r="13">
      <c r="A13" s="4" t="s">
        <v>131</v>
      </c>
      <c r="B13" s="4" t="s">
        <v>132</v>
      </c>
      <c r="C13" s="5" t="s">
        <v>162</v>
      </c>
      <c r="D13" s="5" t="s">
        <v>156</v>
      </c>
      <c r="E13" s="4" t="s">
        <v>152</v>
      </c>
      <c r="F13" s="4" t="s">
        <v>102</v>
      </c>
      <c r="G13" s="4" t="s">
        <v>103</v>
      </c>
      <c r="H13" s="4" t="s">
        <v>131</v>
      </c>
      <c r="I13" s="4" t="s">
        <v>128</v>
      </c>
      <c r="J13" s="4" t="s">
        <v>157</v>
      </c>
      <c r="K13" s="4" t="s">
        <v>158</v>
      </c>
      <c r="L13" s="4">
        <v>-19.4719</v>
      </c>
      <c r="M13" s="4">
        <v>-65.7941</v>
      </c>
      <c r="N13" s="4"/>
      <c r="O13" s="4"/>
      <c r="P13" s="4"/>
      <c r="Q13" s="4"/>
      <c r="R13" s="4">
        <v>6.904</v>
      </c>
      <c r="S13" s="4"/>
      <c r="T13" s="4"/>
      <c r="U13" s="4"/>
      <c r="V13" s="4">
        <v>928.0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</row>
    <row r="14">
      <c r="A14" s="4" t="s">
        <v>123</v>
      </c>
      <c r="B14" s="4" t="s">
        <v>124</v>
      </c>
      <c r="C14" s="5" t="s">
        <v>163</v>
      </c>
      <c r="D14" s="5" t="s">
        <v>118</v>
      </c>
      <c r="E14" s="4" t="s">
        <v>164</v>
      </c>
      <c r="F14" s="4" t="s">
        <v>102</v>
      </c>
      <c r="G14" s="4" t="s">
        <v>103</v>
      </c>
      <c r="H14" s="4" t="s">
        <v>127</v>
      </c>
      <c r="I14" s="4" t="s">
        <v>128</v>
      </c>
      <c r="J14" s="4" t="s">
        <v>165</v>
      </c>
      <c r="K14" s="4" t="s">
        <v>166</v>
      </c>
      <c r="L14" s="4">
        <v>-19.3216</v>
      </c>
      <c r="M14" s="4">
        <v>-65.552</v>
      </c>
      <c r="N14" s="4"/>
      <c r="O14" s="4"/>
      <c r="P14" s="4">
        <v>3380.0</v>
      </c>
      <c r="Q14" s="4">
        <v>136.85</v>
      </c>
      <c r="R14" s="4"/>
      <c r="S14" s="4"/>
      <c r="T14" s="4">
        <v>5.46</v>
      </c>
      <c r="U14" s="4">
        <v>82.2</v>
      </c>
      <c r="V14" s="4">
        <v>295.0</v>
      </c>
      <c r="W14" s="4">
        <v>0.0</v>
      </c>
      <c r="X14" s="4">
        <v>9.6</v>
      </c>
      <c r="Y14" s="4">
        <v>7.42</v>
      </c>
      <c r="Z14" s="4">
        <v>100.55</v>
      </c>
      <c r="AA14" s="4">
        <f t="shared" ref="AA14:AA17" si="56">1.5*1100</f>
        <v>1650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>
        <f t="shared" ref="AZ14:BA14" si="54">0.5*10</f>
        <v>5</v>
      </c>
      <c r="BA14" s="4">
        <f t="shared" si="54"/>
        <v>5</v>
      </c>
      <c r="BB14" s="4">
        <f t="shared" ref="BB14:BC14" si="55">0.5*50</f>
        <v>25</v>
      </c>
      <c r="BC14" s="4">
        <f t="shared" si="55"/>
        <v>25</v>
      </c>
      <c r="BD14" s="4">
        <f t="shared" ref="BD14:BD17" si="59">0.5*10</f>
        <v>5</v>
      </c>
      <c r="BE14" s="4">
        <v>4000.0</v>
      </c>
      <c r="BF14" s="4">
        <v>28.0</v>
      </c>
      <c r="BG14" s="4">
        <v>50.0</v>
      </c>
      <c r="BH14" s="4">
        <v>590.0</v>
      </c>
      <c r="BI14" s="4">
        <f>0.5*1</f>
        <v>0.5</v>
      </c>
      <c r="BJ14" s="4">
        <v>2.0</v>
      </c>
      <c r="BK14" s="4">
        <f t="shared" ref="BK14:BK17" si="60">0.5*1</f>
        <v>0.5</v>
      </c>
      <c r="BL14" s="4">
        <f t="shared" ref="BL14:BL17" si="61">0.5*5</f>
        <v>2.5</v>
      </c>
      <c r="BM14" s="4">
        <f t="shared" ref="BM14:BM17" si="62">0.5*0.5</f>
        <v>0.25</v>
      </c>
      <c r="BN14" s="4">
        <v>800.0</v>
      </c>
      <c r="BO14" s="4">
        <v>50.0</v>
      </c>
      <c r="BP14" s="4">
        <f t="shared" ref="BP14:BP17" si="63">0.5*1</f>
        <v>0.5</v>
      </c>
      <c r="BQ14" s="4">
        <v>80.0</v>
      </c>
      <c r="BR14" s="4">
        <v>11000.0</v>
      </c>
      <c r="BS14" s="4">
        <v>105.0</v>
      </c>
      <c r="BT14" s="4">
        <v>361.0</v>
      </c>
      <c r="BU14" s="4">
        <v>1130.0</v>
      </c>
      <c r="BV14" s="4">
        <v>34.0</v>
      </c>
      <c r="BW14" s="4">
        <v>3.0</v>
      </c>
      <c r="BX14" s="4">
        <v>140.0</v>
      </c>
      <c r="BY14" s="4">
        <f t="shared" ref="BY14:BY17" si="64">0.5*5</f>
        <v>2.5</v>
      </c>
      <c r="BZ14" s="4">
        <f t="shared" ref="BZ14:BZ17" si="65">0.5*0.5</f>
        <v>0.25</v>
      </c>
      <c r="CA14" s="4">
        <v>115000.0</v>
      </c>
      <c r="CB14" s="4">
        <v>300.0</v>
      </c>
      <c r="CC14" s="4">
        <v>5.0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</row>
    <row r="15">
      <c r="A15" s="4" t="s">
        <v>116</v>
      </c>
      <c r="B15" s="4" t="s">
        <v>117</v>
      </c>
      <c r="C15" s="5" t="s">
        <v>167</v>
      </c>
      <c r="D15" s="5" t="s">
        <v>168</v>
      </c>
      <c r="E15" s="4" t="s">
        <v>164</v>
      </c>
      <c r="F15" s="4" t="s">
        <v>102</v>
      </c>
      <c r="G15" s="4" t="s">
        <v>103</v>
      </c>
      <c r="H15" s="4" t="s">
        <v>119</v>
      </c>
      <c r="I15" s="4" t="s">
        <v>120</v>
      </c>
      <c r="J15" s="4" t="s">
        <v>169</v>
      </c>
      <c r="K15" s="4" t="s">
        <v>170</v>
      </c>
      <c r="L15" s="4">
        <v>-20.7423</v>
      </c>
      <c r="M15" s="4">
        <v>-65.2403</v>
      </c>
      <c r="N15" s="4"/>
      <c r="O15" s="4"/>
      <c r="P15" s="4">
        <v>1352.0</v>
      </c>
      <c r="Q15" s="4">
        <v>155.35</v>
      </c>
      <c r="R15" s="4"/>
      <c r="S15" s="4"/>
      <c r="T15" s="4">
        <v>8.06</v>
      </c>
      <c r="U15" s="4">
        <v>-61.9</v>
      </c>
      <c r="V15" s="4">
        <v>738.0</v>
      </c>
      <c r="W15" s="4">
        <v>0.3</v>
      </c>
      <c r="X15" s="4">
        <v>21.7</v>
      </c>
      <c r="Y15" s="4">
        <v>6.62</v>
      </c>
      <c r="Z15" s="4">
        <v>100.3</v>
      </c>
      <c r="AA15" s="4">
        <f t="shared" si="56"/>
        <v>1650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>
        <f t="shared" ref="AZ15:BA15" si="57">0.5*10</f>
        <v>5</v>
      </c>
      <c r="BA15" s="4">
        <f t="shared" si="57"/>
        <v>5</v>
      </c>
      <c r="BB15" s="4">
        <f t="shared" ref="BB15:BC15" si="58">0.5*50</f>
        <v>25</v>
      </c>
      <c r="BC15" s="4">
        <f t="shared" si="58"/>
        <v>25</v>
      </c>
      <c r="BD15" s="4">
        <f t="shared" si="59"/>
        <v>5</v>
      </c>
      <c r="BE15" s="4">
        <f t="shared" ref="BE15:BE17" si="68">0.5*50</f>
        <v>25</v>
      </c>
      <c r="BF15" s="4">
        <v>2.0</v>
      </c>
      <c r="BG15" s="4">
        <f t="shared" ref="BG15:BG17" si="69">0.5*10</f>
        <v>5</v>
      </c>
      <c r="BH15" s="4">
        <f t="shared" ref="BH15:BH17" si="70">0.5*50</f>
        <v>25</v>
      </c>
      <c r="BI15" s="4">
        <v>2.0</v>
      </c>
      <c r="BJ15" s="4">
        <f t="shared" ref="BJ15:BJ17" si="71">0.5*0.5</f>
        <v>0.25</v>
      </c>
      <c r="BK15" s="4">
        <f t="shared" si="60"/>
        <v>0.5</v>
      </c>
      <c r="BL15" s="4">
        <f t="shared" si="61"/>
        <v>2.5</v>
      </c>
      <c r="BM15" s="4">
        <f t="shared" si="62"/>
        <v>0.25</v>
      </c>
      <c r="BN15" s="4">
        <f t="shared" ref="BN15:BN16" si="72">0.5*100</f>
        <v>50</v>
      </c>
      <c r="BO15" s="4">
        <v>700.0</v>
      </c>
      <c r="BP15" s="4">
        <f t="shared" si="63"/>
        <v>0.5</v>
      </c>
      <c r="BQ15" s="4">
        <v>65.0</v>
      </c>
      <c r="BR15" s="4">
        <v>6000.0</v>
      </c>
      <c r="BS15" s="4">
        <v>144.0</v>
      </c>
      <c r="BT15" s="4">
        <v>114.0</v>
      </c>
      <c r="BU15" s="4">
        <v>1150.0</v>
      </c>
      <c r="BV15" s="4">
        <v>40.0</v>
      </c>
      <c r="BW15" s="4">
        <v>5.0</v>
      </c>
      <c r="BX15" s="4">
        <v>93.0</v>
      </c>
      <c r="BY15" s="4">
        <f t="shared" si="64"/>
        <v>2.5</v>
      </c>
      <c r="BZ15" s="4">
        <f t="shared" si="65"/>
        <v>0.25</v>
      </c>
      <c r="CA15" s="4">
        <v>84000.0</v>
      </c>
      <c r="CB15" s="4">
        <v>700.0</v>
      </c>
      <c r="CC15" s="4">
        <v>6.0</v>
      </c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</row>
    <row r="16">
      <c r="A16" s="4" t="s">
        <v>108</v>
      </c>
      <c r="B16" s="4" t="s">
        <v>109</v>
      </c>
      <c r="C16" s="5" t="s">
        <v>167</v>
      </c>
      <c r="D16" s="5" t="s">
        <v>171</v>
      </c>
      <c r="E16" s="4" t="s">
        <v>164</v>
      </c>
      <c r="F16" s="4" t="s">
        <v>102</v>
      </c>
      <c r="G16" s="4" t="s">
        <v>103</v>
      </c>
      <c r="H16" s="4" t="s">
        <v>112</v>
      </c>
      <c r="I16" s="4" t="s">
        <v>113</v>
      </c>
      <c r="J16" s="4" t="s">
        <v>172</v>
      </c>
      <c r="K16" s="4" t="s">
        <v>173</v>
      </c>
      <c r="L16" s="4">
        <v>-21.239</v>
      </c>
      <c r="M16" s="4">
        <v>-65.2085</v>
      </c>
      <c r="N16" s="4"/>
      <c r="O16" s="4"/>
      <c r="P16" s="4">
        <v>2085.0</v>
      </c>
      <c r="Q16" s="4">
        <v>146.8</v>
      </c>
      <c r="R16" s="4"/>
      <c r="S16" s="4"/>
      <c r="T16" s="4">
        <v>8.12</v>
      </c>
      <c r="U16" s="4">
        <v>-66.3</v>
      </c>
      <c r="V16" s="4">
        <v>480.5</v>
      </c>
      <c r="W16" s="4">
        <v>0.1</v>
      </c>
      <c r="X16" s="4">
        <v>19.5</v>
      </c>
      <c r="Y16" s="4">
        <v>6.49</v>
      </c>
      <c r="Z16" s="4">
        <v>94.0</v>
      </c>
      <c r="AA16" s="4">
        <f t="shared" si="56"/>
        <v>1650</v>
      </c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>
        <f t="shared" ref="AZ16:BA16" si="66">0.5*10</f>
        <v>5</v>
      </c>
      <c r="BA16" s="4">
        <f t="shared" si="66"/>
        <v>5</v>
      </c>
      <c r="BB16" s="4">
        <f t="shared" ref="BB16:BC16" si="67">0.5*50</f>
        <v>25</v>
      </c>
      <c r="BC16" s="4">
        <f t="shared" si="67"/>
        <v>25</v>
      </c>
      <c r="BD16" s="4">
        <f t="shared" si="59"/>
        <v>5</v>
      </c>
      <c r="BE16" s="4">
        <f t="shared" si="68"/>
        <v>25</v>
      </c>
      <c r="BF16" s="4">
        <f t="shared" ref="BF16:BF17" si="75">0.5*1</f>
        <v>0.5</v>
      </c>
      <c r="BG16" s="4">
        <f t="shared" si="69"/>
        <v>5</v>
      </c>
      <c r="BH16" s="4">
        <f t="shared" si="70"/>
        <v>25</v>
      </c>
      <c r="BI16" s="4">
        <v>2.0</v>
      </c>
      <c r="BJ16" s="4">
        <f t="shared" si="71"/>
        <v>0.25</v>
      </c>
      <c r="BK16" s="4">
        <f t="shared" si="60"/>
        <v>0.5</v>
      </c>
      <c r="BL16" s="4">
        <f t="shared" si="61"/>
        <v>2.5</v>
      </c>
      <c r="BM16" s="4">
        <f t="shared" si="62"/>
        <v>0.25</v>
      </c>
      <c r="BN16" s="4">
        <f t="shared" si="72"/>
        <v>50</v>
      </c>
      <c r="BO16" s="4">
        <v>1000.0</v>
      </c>
      <c r="BP16" s="4">
        <f t="shared" si="63"/>
        <v>0.5</v>
      </c>
      <c r="BQ16" s="4">
        <v>140.0</v>
      </c>
      <c r="BR16" s="4">
        <v>3000.0</v>
      </c>
      <c r="BS16" s="4">
        <v>139.0</v>
      </c>
      <c r="BT16" s="4">
        <v>130.0</v>
      </c>
      <c r="BU16" s="4">
        <v>670.0</v>
      </c>
      <c r="BV16" s="4">
        <v>100.0</v>
      </c>
      <c r="BW16" s="4">
        <v>2.0</v>
      </c>
      <c r="BX16" s="4">
        <v>192.0</v>
      </c>
      <c r="BY16" s="4">
        <f t="shared" si="64"/>
        <v>2.5</v>
      </c>
      <c r="BZ16" s="4">
        <f t="shared" si="65"/>
        <v>0.25</v>
      </c>
      <c r="CA16" s="4">
        <v>173000.0</v>
      </c>
      <c r="CB16" s="4">
        <v>1100.0</v>
      </c>
      <c r="CC16" s="4">
        <v>4.0</v>
      </c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</row>
    <row r="17">
      <c r="A17" s="4" t="s">
        <v>174</v>
      </c>
      <c r="B17" s="4" t="s">
        <v>175</v>
      </c>
      <c r="C17" s="5" t="s">
        <v>176</v>
      </c>
      <c r="D17" s="5" t="s">
        <v>177</v>
      </c>
      <c r="E17" s="4" t="s">
        <v>164</v>
      </c>
      <c r="F17" s="4" t="s">
        <v>102</v>
      </c>
      <c r="G17" s="4" t="s">
        <v>103</v>
      </c>
      <c r="H17" s="4" t="s">
        <v>104</v>
      </c>
      <c r="I17" s="4" t="s">
        <v>178</v>
      </c>
      <c r="J17" s="4" t="s">
        <v>179</v>
      </c>
      <c r="K17" s="4" t="s">
        <v>180</v>
      </c>
      <c r="L17" s="4">
        <v>-22.3781</v>
      </c>
      <c r="M17" s="4">
        <v>-62.5186</v>
      </c>
      <c r="N17" s="4"/>
      <c r="O17" s="4"/>
      <c r="P17" s="4">
        <v>1501.0</v>
      </c>
      <c r="Q17" s="4">
        <v>169.8</v>
      </c>
      <c r="R17" s="4"/>
      <c r="S17" s="4"/>
      <c r="T17" s="4">
        <v>7.84</v>
      </c>
      <c r="U17" s="4">
        <v>-52.0</v>
      </c>
      <c r="V17" s="4">
        <v>666.0</v>
      </c>
      <c r="W17" s="4">
        <v>0.3</v>
      </c>
      <c r="X17" s="4">
        <v>27.9</v>
      </c>
      <c r="Y17" s="4">
        <v>6.53</v>
      </c>
      <c r="Z17" s="4">
        <v>86.0</v>
      </c>
      <c r="AA17" s="4">
        <f t="shared" si="56"/>
        <v>1650</v>
      </c>
      <c r="AB17" s="4">
        <v>7916.0</v>
      </c>
      <c r="AC17" s="4">
        <v>424.0</v>
      </c>
      <c r="AD17" s="4">
        <v>7508.0</v>
      </c>
      <c r="AE17" s="4"/>
      <c r="AF17" s="4">
        <v>218.51</v>
      </c>
      <c r="AG17" s="4">
        <v>8.52</v>
      </c>
      <c r="AH17" s="4">
        <v>43.67</v>
      </c>
      <c r="AI17" s="4">
        <v>132.0</v>
      </c>
      <c r="AJ17" s="4">
        <v>100.31</v>
      </c>
      <c r="AK17" s="4">
        <v>54.2</v>
      </c>
      <c r="AL17" s="4">
        <v>16.7</v>
      </c>
      <c r="AM17" s="4">
        <v>56.8</v>
      </c>
      <c r="AN17" s="4">
        <v>5.1</v>
      </c>
      <c r="AO17" s="4">
        <v>78.0</v>
      </c>
      <c r="AP17" s="4">
        <v>19.8</v>
      </c>
      <c r="AQ17" s="4">
        <v>59.0</v>
      </c>
      <c r="AR17" s="4">
        <v>6.3</v>
      </c>
      <c r="AS17" s="4"/>
      <c r="AT17" s="4"/>
      <c r="AU17" s="4"/>
      <c r="AV17" s="4">
        <v>15.3</v>
      </c>
      <c r="AW17" s="4">
        <v>78.0</v>
      </c>
      <c r="AX17" s="4"/>
      <c r="AY17" s="4"/>
      <c r="AZ17" s="4">
        <f t="shared" ref="AZ17:BA17" si="73">0.5*10</f>
        <v>5</v>
      </c>
      <c r="BA17" s="4">
        <f t="shared" si="73"/>
        <v>5</v>
      </c>
      <c r="BB17" s="4">
        <f t="shared" ref="BB17:BC17" si="74">0.5*50</f>
        <v>25</v>
      </c>
      <c r="BC17" s="4">
        <f t="shared" si="74"/>
        <v>25</v>
      </c>
      <c r="BD17" s="4">
        <f t="shared" si="59"/>
        <v>5</v>
      </c>
      <c r="BE17" s="4">
        <f t="shared" si="68"/>
        <v>25</v>
      </c>
      <c r="BF17" s="4">
        <f t="shared" si="75"/>
        <v>0.5</v>
      </c>
      <c r="BG17" s="4">
        <f t="shared" si="69"/>
        <v>5</v>
      </c>
      <c r="BH17" s="4">
        <f t="shared" si="70"/>
        <v>25</v>
      </c>
      <c r="BI17" s="4">
        <v>2.0</v>
      </c>
      <c r="BJ17" s="4">
        <f t="shared" si="71"/>
        <v>0.25</v>
      </c>
      <c r="BK17" s="4">
        <f t="shared" si="60"/>
        <v>0.5</v>
      </c>
      <c r="BL17" s="4">
        <f t="shared" si="61"/>
        <v>2.5</v>
      </c>
      <c r="BM17" s="4">
        <f t="shared" si="62"/>
        <v>0.25</v>
      </c>
      <c r="BN17" s="4">
        <v>100.0</v>
      </c>
      <c r="BO17" s="4">
        <v>500.0</v>
      </c>
      <c r="BP17" s="4">
        <f t="shared" si="63"/>
        <v>0.5</v>
      </c>
      <c r="BQ17" s="4">
        <v>93.0</v>
      </c>
      <c r="BR17" s="4">
        <v>2000.0</v>
      </c>
      <c r="BS17" s="4">
        <v>85.0</v>
      </c>
      <c r="BT17" s="4">
        <v>86.0</v>
      </c>
      <c r="BU17" s="4">
        <v>370.0</v>
      </c>
      <c r="BV17" s="4">
        <v>45.0</v>
      </c>
      <c r="BW17" s="4">
        <v>0.8</v>
      </c>
      <c r="BX17" s="4">
        <v>103.0</v>
      </c>
      <c r="BY17" s="4">
        <f t="shared" si="64"/>
        <v>2.5</v>
      </c>
      <c r="BZ17" s="4">
        <f t="shared" si="65"/>
        <v>0.25</v>
      </c>
      <c r="CA17" s="4">
        <v>119000.0</v>
      </c>
      <c r="CB17" s="4">
        <v>500.0</v>
      </c>
      <c r="CC17" s="4">
        <v>4.0</v>
      </c>
      <c r="CD17" s="4"/>
      <c r="CE17" s="4"/>
      <c r="CF17" s="4"/>
      <c r="CG17" s="4">
        <v>0.53</v>
      </c>
      <c r="CH17" s="4">
        <v>49.28</v>
      </c>
      <c r="CI17" s="4">
        <v>13.04</v>
      </c>
      <c r="CJ17" s="4">
        <v>5.73</v>
      </c>
      <c r="CK17" s="4">
        <v>0.0</v>
      </c>
      <c r="CL17" s="4">
        <v>0.11</v>
      </c>
      <c r="CM17" s="4">
        <v>11.45</v>
      </c>
      <c r="CN17" s="4">
        <v>12.39</v>
      </c>
      <c r="CO17" s="4">
        <v>15836.44</v>
      </c>
      <c r="CP17" s="4">
        <v>266.38</v>
      </c>
      <c r="CQ17" s="4"/>
      <c r="CR17" s="4">
        <v>11.32</v>
      </c>
      <c r="CS17" s="4"/>
    </row>
    <row r="18">
      <c r="C18" s="7"/>
      <c r="D18" s="7"/>
    </row>
    <row r="19">
      <c r="C19" s="7"/>
      <c r="D19" s="7"/>
    </row>
  </sheetData>
  <drawing r:id="rId1"/>
</worksheet>
</file>