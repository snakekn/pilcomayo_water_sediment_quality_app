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8_clean" sheetId="1" r:id="rId4"/>
  </sheets>
  <definedNames/>
  <calcPr/>
</workbook>
</file>

<file path=xl/sharedStrings.xml><?xml version="1.0" encoding="utf-8"?>
<sst xmlns="http://schemas.openxmlformats.org/spreadsheetml/2006/main" count="912" uniqueCount="449">
  <si>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</si>
  <si>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</si>
  <si>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</si>
  <si>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</si>
  <si>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</si>
  <si>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</si>
  <si>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</si>
  <si>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</si>
  <si>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</si>
  <si>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</si>
  <si>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</si>
  <si>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</si>
  <si>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</si>
  <si>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</si>
  <si>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</si>
  <si>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</si>
  <si>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</si>
  <si>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</si>
  <si>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</si>
  <si>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</si>
  <si>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</si>
  <si>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</si>
  <si>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</si>
  <si>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</si>
  <si>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</si>
  <si>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</si>
  <si>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</si>
  <si>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</si>
  <si>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</si>
  <si>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</si>
  <si>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</si>
  <si>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</si>
  <si>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</si>
  <si>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</si>
  <si>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</si>
  <si>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</si>
  <si>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</si>
  <si>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</si>
  <si>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</si>
  <si>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</si>
  <si>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</si>
  <si>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</si>
  <si>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Fluoruros (mg/l F)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</si>
  <si>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</si>
  <si>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</si>
  <si>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</si>
  <si>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</si>
  <si>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</si>
  <si>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</si>
  <si>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Demanda bioquímica de oxígeno (mg/l O2)</t>
  </si>
  <si>
    <t>Demanda química de oxígeno (mg/l O2)</t>
  </si>
  <si>
    <t>Carbono organico disuelto (mg/l)</t>
  </si>
  <si>
    <t>Coliformes totales (en UFC) (UFC/100 ml)</t>
  </si>
  <si>
    <t>Coliformes fecales (en UFC) (UFC/100 ml)</t>
  </si>
  <si>
    <t>Coliformes totales (en NMP) (NMP/100 ml)</t>
  </si>
  <si>
    <t>Coliformes fecales (en NMP) (NMP/100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</si>
  <si>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</si>
  <si>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</si>
  <si>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</si>
  <si>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</si>
  <si>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</si>
  <si>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</si>
  <si>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</si>
  <si>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</si>
  <si>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</si>
  <si>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</si>
  <si>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</si>
  <si>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</si>
  <si>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</si>
  <si>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</si>
  <si>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</si>
  <si>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</si>
  <si>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</si>
  <si>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</si>
  <si>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</si>
  <si>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</si>
  <si>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</si>
  <si>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</si>
  <si>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</si>
  <si>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</si>
  <si>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</si>
  <si>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</si>
  <si>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</si>
  <si>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</si>
  <si>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</si>
  <si>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</si>
  <si>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</si>
  <si>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(mg/l CN-)</t>
  </si>
  <si>
    <t>Cianuros libre (mg/l CN-)</t>
  </si>
  <si>
    <t>Sulfuros (mg/l S=)</t>
  </si>
  <si>
    <t>Fenoles (mg/l C6H6O)</t>
  </si>
  <si>
    <t>Hidrocarburos totales (mg/l)</t>
  </si>
  <si>
    <t>Talio en suspensión (mg/kg Tl)</t>
  </si>
  <si>
    <t>Selenio suspensión (mg/kg Se)</t>
  </si>
  <si>
    <t>Zinc en suspensión (mg/kg Zn)</t>
  </si>
  <si>
    <t>Plomo suspensión (mg/kg Pb)</t>
  </si>
  <si>
    <t>Arsenico suspensión (mg/kg As)</t>
  </si>
  <si>
    <t>Bismuto suspensión (mg/kg Bi)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</si>
  <si>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</si>
  <si>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</si>
  <si>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</si>
  <si>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</si>
  <si>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</si>
  <si>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</si>
  <si>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Mercurio suspensión (mg/kg Hg)</t>
  </si>
  <si>
    <t>Niquel suspensión (mg/kg Ni)</t>
  </si>
  <si>
    <t>Plata suspensión (mg/kg Ag)</t>
  </si>
  <si>
    <t>General Bruguez</t>
  </si>
  <si>
    <t>PGB-250</t>
  </si>
  <si>
    <t>18/10/2018</t>
  </si>
  <si>
    <t>14:45</t>
  </si>
  <si>
    <t>Octubre 2018</t>
  </si>
  <si>
    <t>UMyCD</t>
  </si>
  <si>
    <t>Dirección Ejecutiva - Comisión Trinacional para el Desarrollo de la Cuenca del río Pilcomayo</t>
  </si>
  <si>
    <t>Pilcomayo</t>
  </si>
  <si>
    <t>Chaco Paraguayo</t>
  </si>
  <si>
    <t>24 44 53.88</t>
  </si>
  <si>
    <t>58 49 58.98</t>
  </si>
  <si>
    <t>Cadete Pando</t>
  </si>
  <si>
    <t>PCP-240</t>
  </si>
  <si>
    <t>13:00</t>
  </si>
  <si>
    <t>Confuso</t>
  </si>
  <si>
    <t>24 24 34.74</t>
  </si>
  <si>
    <t>58 53 9.84</t>
  </si>
  <si>
    <t>Verde Ruta PY09</t>
  </si>
  <si>
    <t>PR9V-210</t>
  </si>
  <si>
    <t>17/10/2018</t>
  </si>
  <si>
    <t>13:15</t>
  </si>
  <si>
    <t>Verde</t>
  </si>
  <si>
    <t>23 12 54.06</t>
  </si>
  <si>
    <t>59 12 9.36</t>
  </si>
  <si>
    <t>Montelindo en ruta PY09</t>
  </si>
  <si>
    <t>PR9M-260</t>
  </si>
  <si>
    <t>12:20</t>
  </si>
  <si>
    <t>Montelindo</t>
  </si>
  <si>
    <t>23 53 35.34</t>
  </si>
  <si>
    <t>58 26 47.1</t>
  </si>
  <si>
    <t>Negro Ruta PY09</t>
  </si>
  <si>
    <t>PR9N-230</t>
  </si>
  <si>
    <t>10:54</t>
  </si>
  <si>
    <t>Negro</t>
  </si>
  <si>
    <t>24 11 22.62</t>
  </si>
  <si>
    <t>58 18 0.6</t>
  </si>
  <si>
    <t>Villa Hayes</t>
  </si>
  <si>
    <t>PVH-280</t>
  </si>
  <si>
    <t>8:25</t>
  </si>
  <si>
    <t>25 6 26.46</t>
  </si>
  <si>
    <t>57 32 48.06</t>
  </si>
  <si>
    <t>Puente Loyola</t>
  </si>
  <si>
    <t>APL-320</t>
  </si>
  <si>
    <t>16/10/2018</t>
  </si>
  <si>
    <t>12:05</t>
  </si>
  <si>
    <t>Cuenca Paraguay</t>
  </si>
  <si>
    <t>25 15 52.2</t>
  </si>
  <si>
    <t>57 43 28.86</t>
  </si>
  <si>
    <t>Clorinda</t>
  </si>
  <si>
    <t>ACL-310</t>
  </si>
  <si>
    <t>11:10</t>
  </si>
  <si>
    <t>Porteño</t>
  </si>
  <si>
    <t>El Porteño</t>
  </si>
  <si>
    <t>25 15 55.44</t>
  </si>
  <si>
    <t>57 43 43.86</t>
  </si>
  <si>
    <t>Ruta 11</t>
  </si>
  <si>
    <t>AR11-290</t>
  </si>
  <si>
    <t>9:05</t>
  </si>
  <si>
    <t>25 47 16.26</t>
  </si>
  <si>
    <t>58 1 16.56</t>
  </si>
  <si>
    <t>San Josecito</t>
  </si>
  <si>
    <t>BSJ-130</t>
  </si>
  <si>
    <t>06/09/2018</t>
  </si>
  <si>
    <t>8:05</t>
  </si>
  <si>
    <t>Septiembre 2018</t>
  </si>
  <si>
    <t>Pilaya</t>
  </si>
  <si>
    <t>Unidad 6</t>
  </si>
  <si>
    <t>21 9 7.56</t>
  </si>
  <si>
    <t>64 14 2.58</t>
  </si>
  <si>
    <t>Puente Aruma - Automática</t>
  </si>
  <si>
    <t>BPA-140</t>
  </si>
  <si>
    <t>05/09/2018</t>
  </si>
  <si>
    <t>15:00</t>
  </si>
  <si>
    <t>Unidad 7</t>
  </si>
  <si>
    <t>20 54 49.68</t>
  </si>
  <si>
    <t>64 6 37.62</t>
  </si>
  <si>
    <t>Villamontes</t>
  </si>
  <si>
    <t>BVI-150</t>
  </si>
  <si>
    <t>6:45</t>
  </si>
  <si>
    <t>21 15 29.16</t>
  </si>
  <si>
    <t>63 30 41.88</t>
  </si>
  <si>
    <t>El Potrillo</t>
  </si>
  <si>
    <t>AEP-180</t>
  </si>
  <si>
    <t>04/09/2018</t>
  </si>
  <si>
    <t>11:40</t>
  </si>
  <si>
    <t>La Estrella</t>
  </si>
  <si>
    <t>Bañado La Estrella</t>
  </si>
  <si>
    <t>23 8 14.46</t>
  </si>
  <si>
    <t>61 57 49.32</t>
  </si>
  <si>
    <t>María Cristina</t>
  </si>
  <si>
    <t>AMC-190</t>
  </si>
  <si>
    <t>03/09/2018</t>
  </si>
  <si>
    <t>14:20</t>
  </si>
  <si>
    <t>22 40 1.02</t>
  </si>
  <si>
    <t>62 12 36.54</t>
  </si>
  <si>
    <t>Misión La Paz - SNIH</t>
  </si>
  <si>
    <t>AML-170</t>
  </si>
  <si>
    <t>10:50</t>
  </si>
  <si>
    <t>Cuenca Baja</t>
  </si>
  <si>
    <t>22 22 41.22</t>
  </si>
  <si>
    <t>62 31 7.02</t>
  </si>
  <si>
    <t>Ruta 28-Vertedero</t>
  </si>
  <si>
    <t>AR28-300</t>
  </si>
  <si>
    <t>02/09/2018</t>
  </si>
  <si>
    <t>24 21 31.02</t>
  </si>
  <si>
    <t>60 18 23.04</t>
  </si>
  <si>
    <t>Salida Laguna Salada</t>
  </si>
  <si>
    <t>ASL-270</t>
  </si>
  <si>
    <t>10:00</t>
  </si>
  <si>
    <t>Salada</t>
  </si>
  <si>
    <t>24 42 25.86</t>
  </si>
  <si>
    <t>59 38 47.1</t>
  </si>
  <si>
    <t>Ruta 95</t>
  </si>
  <si>
    <t>AR95-220</t>
  </si>
  <si>
    <t>7:00</t>
  </si>
  <si>
    <t>25 8 55.2</t>
  </si>
  <si>
    <t>59 40 45.9</t>
  </si>
  <si>
    <t>Liviara</t>
  </si>
  <si>
    <t>ALI-020</t>
  </si>
  <si>
    <t>30/08/2018</t>
  </si>
  <si>
    <t>11:00</t>
  </si>
  <si>
    <t>Agosto 2018</t>
  </si>
  <si>
    <t>Orosmayo</t>
  </si>
  <si>
    <t>22 31 59.76</t>
  </si>
  <si>
    <t>66 20 53.1</t>
  </si>
  <si>
    <t>La Quiaca</t>
  </si>
  <si>
    <t>ALQ-040</t>
  </si>
  <si>
    <t>28/08/2018</t>
  </si>
  <si>
    <t>14:50</t>
  </si>
  <si>
    <t>Unidad 5</t>
  </si>
  <si>
    <t>22 5 51.66</t>
  </si>
  <si>
    <t>65 35 9.84</t>
  </si>
  <si>
    <t>Palca Grande</t>
  </si>
  <si>
    <t>BPG-110</t>
  </si>
  <si>
    <t>27/08/2018</t>
  </si>
  <si>
    <t>16:45</t>
  </si>
  <si>
    <t>Tumusla</t>
  </si>
  <si>
    <t>Unidad 4</t>
  </si>
  <si>
    <t>20 44 32.16</t>
  </si>
  <si>
    <t>65 14 28.32</t>
  </si>
  <si>
    <t>El Puente</t>
  </si>
  <si>
    <t>BEP-100</t>
  </si>
  <si>
    <t>San Juan del Oro</t>
  </si>
  <si>
    <t>21 14 19.14</t>
  </si>
  <si>
    <t>65 12 38.52</t>
  </si>
  <si>
    <t>Chuquiago</t>
  </si>
  <si>
    <t>BCH-060</t>
  </si>
  <si>
    <t>16/08/2018</t>
  </si>
  <si>
    <t>15:25</t>
  </si>
  <si>
    <t>21 33 37.44</t>
  </si>
  <si>
    <t>65 38 51.72</t>
  </si>
  <si>
    <t>La Angostura</t>
  </si>
  <si>
    <t>BTP-090</t>
  </si>
  <si>
    <t>14:00</t>
  </si>
  <si>
    <t>Tupiza</t>
  </si>
  <si>
    <t>21 30 15.6</t>
  </si>
  <si>
    <t>65 42 21.96</t>
  </si>
  <si>
    <t>Cotagaita</t>
  </si>
  <si>
    <t>BCO-070</t>
  </si>
  <si>
    <t>10:45</t>
  </si>
  <si>
    <t>20 49 14.46</t>
  </si>
  <si>
    <t>65 40 2.88</t>
  </si>
  <si>
    <t>BTU-080</t>
  </si>
  <si>
    <t>8:30</t>
  </si>
  <si>
    <t>20 29 11.22</t>
  </si>
  <si>
    <t>65 37 11.64</t>
  </si>
  <si>
    <t>Potosí - Naciente río La Ribera</t>
  </si>
  <si>
    <t>BNR-010</t>
  </si>
  <si>
    <t>15/08/2018</t>
  </si>
  <si>
    <t>13:25</t>
  </si>
  <si>
    <t>De la Ribera</t>
  </si>
  <si>
    <t>Unidad 1</t>
  </si>
  <si>
    <t>19 35 51.42</t>
  </si>
  <si>
    <t>65 43 52.44</t>
  </si>
  <si>
    <t>Tarapaya</t>
  </si>
  <si>
    <t>BTA-050</t>
  </si>
  <si>
    <t>10:40</t>
  </si>
  <si>
    <t>19 28 18.66</t>
  </si>
  <si>
    <t>65 47 39.6</t>
  </si>
  <si>
    <t>San Antonio - Potosí</t>
  </si>
  <si>
    <t>BSA-030</t>
  </si>
  <si>
    <t>8:40</t>
  </si>
  <si>
    <t>Aljamayu</t>
  </si>
  <si>
    <t>19 34 41.28</t>
  </si>
  <si>
    <t>65 48 12.06</t>
  </si>
  <si>
    <t>Tacobamba - Agua arriba confluencia Pilcomayo - Tacobamba</t>
  </si>
  <si>
    <t>BTC-116</t>
  </si>
  <si>
    <t>14/08/2018</t>
  </si>
  <si>
    <t>11:55</t>
  </si>
  <si>
    <t>Tacobamba</t>
  </si>
  <si>
    <t>19 8 37.5</t>
  </si>
  <si>
    <t>65 33 55.86</t>
  </si>
  <si>
    <t>Pilcomayo - Agua arriba confluencia Pilcomayo - Tacobamba</t>
  </si>
  <si>
    <t>BPT-118</t>
  </si>
  <si>
    <t>10:20</t>
  </si>
  <si>
    <t>19 7 56.58</t>
  </si>
  <si>
    <t>65 34 19.98</t>
  </si>
  <si>
    <t>Colavi - Canutillos</t>
  </si>
  <si>
    <t>BC7-113</t>
  </si>
  <si>
    <t>13/08/2018</t>
  </si>
  <si>
    <t>13:20</t>
  </si>
  <si>
    <t>Colavi</t>
  </si>
  <si>
    <t>19 19 17.4</t>
  </si>
  <si>
    <t>65 33 7.26</t>
  </si>
  <si>
    <t>Puente Mendez</t>
  </si>
  <si>
    <t>BPM-120</t>
  </si>
  <si>
    <t>9:10</t>
  </si>
  <si>
    <t>Unidad 2</t>
  </si>
  <si>
    <t>19 21 25.32</t>
  </si>
  <si>
    <t>65 10 25.08</t>
  </si>
  <si>
    <t>10/06/2018</t>
  </si>
  <si>
    <t>0:00</t>
  </si>
  <si>
    <t>Junio 2018</t>
  </si>
  <si>
    <t>SIPH</t>
  </si>
  <si>
    <t>Subsecretaría de Recursos Hídricos de la Nación  Argentina</t>
  </si>
  <si>
    <t>NA</t>
  </si>
  <si>
    <t>29/05/2018</t>
  </si>
  <si>
    <t>15:15</t>
  </si>
  <si>
    <t>Mayo 2018</t>
  </si>
  <si>
    <t>Unidad de Monitoreo y Centro de Datos</t>
  </si>
  <si>
    <t>22 22 41.28</t>
  </si>
  <si>
    <t>62 31 6.96</t>
  </si>
  <si>
    <t>21 15 32.16</t>
  </si>
  <si>
    <t>63 30 42.0</t>
  </si>
  <si>
    <t>23/05/2018</t>
  </si>
  <si>
    <t>21 14 21.36</t>
  </si>
  <si>
    <t>65 12 32.04</t>
  </si>
  <si>
    <t>8:50</t>
  </si>
  <si>
    <t>65 14 28.38</t>
  </si>
  <si>
    <t>22/05/2018</t>
  </si>
  <si>
    <t>13:45</t>
  </si>
  <si>
    <t>65 33 7.08</t>
  </si>
  <si>
    <t>9:00</t>
  </si>
  <si>
    <t>19 28 18.6</t>
  </si>
  <si>
    <t>21/05/2018</t>
  </si>
  <si>
    <t>14:10</t>
  </si>
  <si>
    <t>19 7 58.8</t>
  </si>
  <si>
    <t>65 34 12.3</t>
  </si>
  <si>
    <t>19 7 56.52</t>
  </si>
  <si>
    <t>65 34 19.32</t>
  </si>
  <si>
    <t>19/03/2018</t>
  </si>
  <si>
    <t>15:45</t>
  </si>
  <si>
    <t>Marzo 2018</t>
  </si>
  <si>
    <t>24 44 54</t>
  </si>
  <si>
    <t>58 49 59.1</t>
  </si>
  <si>
    <t>13:30</t>
  </si>
  <si>
    <t>24 24 34.68</t>
  </si>
  <si>
    <t>58 53 10.2</t>
  </si>
  <si>
    <t>General Díaz</t>
  </si>
  <si>
    <t>PGD-200</t>
  </si>
  <si>
    <t>18/03/2018</t>
  </si>
  <si>
    <t>23 34 9.3</t>
  </si>
  <si>
    <t>60 31 22.26</t>
  </si>
  <si>
    <t>15/03/2018</t>
  </si>
  <si>
    <t>18:30</t>
  </si>
  <si>
    <t>25 6 26.58</t>
  </si>
  <si>
    <t>57 32 48.24</t>
  </si>
  <si>
    <t>23 12 54.3</t>
  </si>
  <si>
    <t>59 12 9.48</t>
  </si>
  <si>
    <t>12:00</t>
  </si>
  <si>
    <t>23 53 34.74</t>
  </si>
  <si>
    <t>58 26 47.16</t>
  </si>
  <si>
    <t>10:30</t>
  </si>
  <si>
    <t>24 11 22.8</t>
  </si>
  <si>
    <t>58 18 0.96</t>
  </si>
  <si>
    <t>14/03/2018</t>
  </si>
  <si>
    <t>12:15</t>
  </si>
  <si>
    <t>25 15 52.08</t>
  </si>
  <si>
    <t>57 43 29.04</t>
  </si>
  <si>
    <t>11:15</t>
  </si>
  <si>
    <t>25 15 55.62</t>
  </si>
  <si>
    <t>57 43 44.22</t>
  </si>
  <si>
    <t>9:15</t>
  </si>
  <si>
    <t>25 47 16.32</t>
  </si>
  <si>
    <t>58 1 16.98</t>
  </si>
  <si>
    <t>01/03/2018</t>
  </si>
  <si>
    <t>15:30</t>
  </si>
  <si>
    <t>21 9 5.1</t>
  </si>
  <si>
    <t>64 14 17.7</t>
  </si>
  <si>
    <t>20 54 49.62</t>
  </si>
  <si>
    <t>28/02/2018</t>
  </si>
  <si>
    <t>Febrero 2018</t>
  </si>
  <si>
    <t>21 15 29.1</t>
  </si>
  <si>
    <t>63 30 41.28</t>
  </si>
  <si>
    <t>27/02/2018</t>
  </si>
  <si>
    <t>22 22 42.42</t>
  </si>
  <si>
    <t>62 31 7.38</t>
  </si>
  <si>
    <t>26/02/2018</t>
  </si>
  <si>
    <t>23 8 15.6</t>
  </si>
  <si>
    <t>61 57 49.38</t>
  </si>
  <si>
    <t>25/02/2018</t>
  </si>
  <si>
    <t>9:50</t>
  </si>
  <si>
    <t>24 41 46.62</t>
  </si>
  <si>
    <t>59 49 2.88</t>
  </si>
  <si>
    <t>59 40 46.26</t>
  </si>
  <si>
    <t>22/02/2018</t>
  </si>
  <si>
    <t>12:10</t>
  </si>
  <si>
    <t>22 31 46.02</t>
  </si>
  <si>
    <t>66 20 58.8</t>
  </si>
  <si>
    <t>21/02/2018</t>
  </si>
  <si>
    <t>8:35</t>
  </si>
  <si>
    <t>22 5 51.9</t>
  </si>
  <si>
    <t>20/02/2018</t>
  </si>
  <si>
    <t>9:30</t>
  </si>
  <si>
    <t>20 44 30.96</t>
  </si>
  <si>
    <t>65 14 25.14</t>
  </si>
  <si>
    <t>19/02/2018</t>
  </si>
  <si>
    <t>16:30</t>
  </si>
  <si>
    <t>21 14 21.90</t>
  </si>
  <si>
    <t>65 12 32.61</t>
  </si>
  <si>
    <t>07/02/2018</t>
  </si>
  <si>
    <t>17:00</t>
  </si>
  <si>
    <t>21 30 15.66</t>
  </si>
  <si>
    <t>65 42 24</t>
  </si>
  <si>
    <t>21 33 40.8</t>
  </si>
  <si>
    <t>65 38 52.08</t>
  </si>
  <si>
    <t>20 49 15.9</t>
  </si>
  <si>
    <t>65 39 57.6</t>
  </si>
  <si>
    <t>8:45</t>
  </si>
  <si>
    <t>20 29 15.24</t>
  </si>
  <si>
    <t>65 37 5.46</t>
  </si>
  <si>
    <t>06/02/2018</t>
  </si>
  <si>
    <t>12:35</t>
  </si>
  <si>
    <t>19 35 51.6</t>
  </si>
  <si>
    <t>65 43 52.8</t>
  </si>
  <si>
    <t>10:10</t>
  </si>
  <si>
    <t>19 28 18.72</t>
  </si>
  <si>
    <t>65 47 36.6</t>
  </si>
  <si>
    <t>19 34 41.04</t>
  </si>
  <si>
    <t>65 48 12.24</t>
  </si>
  <si>
    <t>05/02/2018</t>
  </si>
  <si>
    <t>13:10</t>
  </si>
  <si>
    <t>19 7 55.92</t>
  </si>
  <si>
    <t>65 34 12.12</t>
  </si>
  <si>
    <t>19 7 57.42</t>
  </si>
  <si>
    <t>65 34 18.42</t>
  </si>
  <si>
    <t>04/02/2018</t>
  </si>
  <si>
    <t>16:00</t>
  </si>
  <si>
    <t>19 19 17.76</t>
  </si>
  <si>
    <t>65 33 7.68</t>
  </si>
  <si>
    <t>19 21 29.76</t>
  </si>
  <si>
    <t>65 10 21.48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</si>
</sst>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3"/>
      <c r="DE1" s="3"/>
    </row>
    <row r="2">
      <c r="A2" s="4" t="s">
        <v>107</v>
      </c>
      <c r="B2" s="4" t="s">
        <v>108</v>
      </c>
      <c r="C2" s="5" t="s">
        <v>109</v>
      </c>
      <c r="D2" s="5" t="s">
        <v>110</v>
      </c>
      <c r="E2" s="4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  <c r="K2" s="4" t="s">
        <v>117</v>
      </c>
      <c r="L2" s="4">
        <v>-24.7483</v>
      </c>
      <c r="M2" s="4">
        <v>-58.833</v>
      </c>
      <c r="N2" s="4"/>
      <c r="O2" s="4"/>
      <c r="P2" s="4">
        <v>177.0</v>
      </c>
      <c r="Q2" s="4">
        <v>95.4</v>
      </c>
      <c r="R2" s="4">
        <v>7.39</v>
      </c>
      <c r="S2" s="4">
        <v>-29.7</v>
      </c>
      <c r="T2" s="4">
        <v>5650.0</v>
      </c>
      <c r="U2" s="4">
        <v>3.1</v>
      </c>
      <c r="V2" s="4">
        <v>31.7</v>
      </c>
      <c r="W2" s="4">
        <v>3.45</v>
      </c>
      <c r="X2" s="4">
        <v>48.1</v>
      </c>
      <c r="Y2" s="4">
        <v>52.9</v>
      </c>
      <c r="Z2" s="4">
        <v>3540.2</v>
      </c>
      <c r="AA2" s="4">
        <v>3511.0</v>
      </c>
      <c r="AB2" s="4">
        <v>29.2</v>
      </c>
      <c r="AC2" s="4">
        <v>125.0</v>
      </c>
      <c r="AD2" s="4">
        <v>562.5</v>
      </c>
      <c r="AE2" s="4">
        <v>0.0</v>
      </c>
      <c r="AF2" s="4">
        <v>119.6</v>
      </c>
      <c r="AG2" s="4">
        <v>1189.6</v>
      </c>
      <c r="AH2" s="4">
        <v>817.57</v>
      </c>
      <c r="AI2" s="4">
        <v>113.36</v>
      </c>
      <c r="AJ2" s="4">
        <v>100.15</v>
      </c>
      <c r="AK2" s="4">
        <v>1189.95</v>
      </c>
      <c r="AL2" s="4">
        <v>11.45</v>
      </c>
      <c r="AM2" s="4">
        <v>117.09</v>
      </c>
      <c r="AN2" s="4">
        <v>100.26</v>
      </c>
      <c r="AO2" s="4">
        <v>1244.68</v>
      </c>
      <c r="AP2" s="4">
        <v>13.38</v>
      </c>
      <c r="AQ2" s="4"/>
      <c r="AR2" s="4">
        <v>2.45</v>
      </c>
      <c r="AS2" s="4">
        <v>0.783</v>
      </c>
      <c r="AT2" s="4">
        <v>0.049</v>
      </c>
      <c r="AU2" s="4">
        <v>0.048</v>
      </c>
      <c r="AV2" s="4">
        <v>0.54</v>
      </c>
      <c r="AW2" s="4">
        <v>1.03</v>
      </c>
      <c r="AX2" s="4">
        <v>4.0</v>
      </c>
      <c r="AY2" s="4">
        <v>125.6</v>
      </c>
      <c r="AZ2" s="4"/>
      <c r="BA2" s="4">
        <v>149280.0</v>
      </c>
      <c r="BB2" s="4">
        <v>4980.0</v>
      </c>
      <c r="BC2" s="4"/>
      <c r="BD2" s="4"/>
      <c r="BE2" s="6">
        <v>2.463E7</v>
      </c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>
        <f t="shared" ref="CL2:CM2" si="1">0.5*0.001</f>
        <v>0.0005</v>
      </c>
      <c r="CM2" s="4">
        <f t="shared" si="1"/>
        <v>0.0005</v>
      </c>
      <c r="CN2" s="4">
        <f t="shared" ref="CN2:CN3" si="3">0.5*0.5</f>
        <v>0.25</v>
      </c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>
      <c r="A3" s="4" t="s">
        <v>118</v>
      </c>
      <c r="B3" s="4" t="s">
        <v>119</v>
      </c>
      <c r="C3" s="5" t="s">
        <v>109</v>
      </c>
      <c r="D3" s="5" t="s">
        <v>120</v>
      </c>
      <c r="E3" s="4" t="s">
        <v>111</v>
      </c>
      <c r="F3" s="4" t="s">
        <v>112</v>
      </c>
      <c r="G3" s="4" t="s">
        <v>113</v>
      </c>
      <c r="H3" s="4" t="s">
        <v>121</v>
      </c>
      <c r="I3" s="4" t="s">
        <v>115</v>
      </c>
      <c r="J3" s="4" t="s">
        <v>122</v>
      </c>
      <c r="K3" s="4" t="s">
        <v>123</v>
      </c>
      <c r="L3" s="4">
        <v>-24.4097</v>
      </c>
      <c r="M3" s="4">
        <v>-58.8861</v>
      </c>
      <c r="N3" s="4"/>
      <c r="O3" s="4"/>
      <c r="P3" s="4">
        <v>7910.0</v>
      </c>
      <c r="Q3" s="4">
        <v>57.6</v>
      </c>
      <c r="R3" s="4">
        <v>6.56</v>
      </c>
      <c r="S3" s="4">
        <v>20.0</v>
      </c>
      <c r="T3" s="4">
        <v>126.0</v>
      </c>
      <c r="U3" s="4">
        <v>0.0</v>
      </c>
      <c r="V3" s="4">
        <v>28.3</v>
      </c>
      <c r="W3" s="4">
        <v>2.2</v>
      </c>
      <c r="X3" s="4">
        <v>27.3</v>
      </c>
      <c r="Y3" s="4">
        <v>4.71</v>
      </c>
      <c r="Z3" s="4">
        <v>91.8</v>
      </c>
      <c r="AA3" s="4">
        <v>88.0</v>
      </c>
      <c r="AB3" s="4">
        <v>3.8</v>
      </c>
      <c r="AC3" s="4">
        <v>150.0</v>
      </c>
      <c r="AD3" s="4">
        <v>23.0</v>
      </c>
      <c r="AE3" s="4">
        <v>0.0</v>
      </c>
      <c r="AF3" s="4">
        <v>33.8</v>
      </c>
      <c r="AG3" s="4">
        <v>11.7</v>
      </c>
      <c r="AH3" s="4">
        <v>3.21</v>
      </c>
      <c r="AI3" s="4">
        <v>6.02</v>
      </c>
      <c r="AJ3" s="4">
        <v>2.63</v>
      </c>
      <c r="AK3" s="4">
        <v>12.85</v>
      </c>
      <c r="AL3" s="4">
        <v>8.15</v>
      </c>
      <c r="AM3" s="4">
        <v>6.06</v>
      </c>
      <c r="AN3" s="4">
        <v>2.74</v>
      </c>
      <c r="AO3" s="4">
        <v>14.16</v>
      </c>
      <c r="AP3" s="4">
        <v>10.57</v>
      </c>
      <c r="AQ3" s="4"/>
      <c r="AR3" s="4">
        <v>3.37</v>
      </c>
      <c r="AS3" s="4">
        <v>1.0</v>
      </c>
      <c r="AT3" s="4">
        <v>0.04</v>
      </c>
      <c r="AU3" s="4">
        <v>0.036</v>
      </c>
      <c r="AV3" s="4">
        <v>0.19</v>
      </c>
      <c r="AW3" s="4">
        <v>0.173</v>
      </c>
      <c r="AX3" s="4">
        <v>7.4</v>
      </c>
      <c r="AY3" s="4">
        <v>67.63</v>
      </c>
      <c r="AZ3" s="4"/>
      <c r="BA3" s="4">
        <v>29900.0</v>
      </c>
      <c r="BB3" s="4">
        <v>3700.0</v>
      </c>
      <c r="BC3" s="4"/>
      <c r="BD3" s="4"/>
      <c r="BE3" s="6">
        <v>1.6474E7</v>
      </c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>
        <f t="shared" ref="CL3:CM3" si="2">0.5*0.001</f>
        <v>0.0005</v>
      </c>
      <c r="CM3" s="4">
        <f t="shared" si="2"/>
        <v>0.0005</v>
      </c>
      <c r="CN3" s="4">
        <f t="shared" si="3"/>
        <v>0.25</v>
      </c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>
      <c r="A4" s="4" t="s">
        <v>124</v>
      </c>
      <c r="B4" s="4" t="s">
        <v>125</v>
      </c>
      <c r="C4" s="5" t="s">
        <v>126</v>
      </c>
      <c r="D4" s="5" t="s">
        <v>127</v>
      </c>
      <c r="E4" s="4" t="s">
        <v>111</v>
      </c>
      <c r="F4" s="4" t="s">
        <v>112</v>
      </c>
      <c r="G4" s="4" t="s">
        <v>113</v>
      </c>
      <c r="H4" s="4" t="s">
        <v>128</v>
      </c>
      <c r="J4" s="4" t="s">
        <v>129</v>
      </c>
      <c r="K4" s="4" t="s">
        <v>130</v>
      </c>
      <c r="L4" s="4">
        <v>-23.215</v>
      </c>
      <c r="M4" s="4">
        <v>-59.2026</v>
      </c>
      <c r="N4" s="4"/>
      <c r="O4" s="4"/>
      <c r="P4" s="4">
        <v>12.57</v>
      </c>
      <c r="Q4" s="4"/>
      <c r="R4" s="4">
        <v>8.86</v>
      </c>
      <c r="S4" s="4">
        <v>-119.6</v>
      </c>
      <c r="T4" s="4">
        <v>79500.0</v>
      </c>
      <c r="U4" s="4">
        <v>55.6</v>
      </c>
      <c r="V4" s="4">
        <v>34.0</v>
      </c>
      <c r="W4" s="4">
        <v>14.16</v>
      </c>
      <c r="X4" s="4"/>
      <c r="Y4" s="4">
        <v>3.76</v>
      </c>
      <c r="Z4" s="4">
        <v>55601.3</v>
      </c>
      <c r="AA4" s="4">
        <v>55555.0</v>
      </c>
      <c r="AB4" s="4">
        <v>46.3</v>
      </c>
      <c r="AC4" s="4">
        <v>88.0</v>
      </c>
      <c r="AD4" s="4">
        <v>7790.0</v>
      </c>
      <c r="AE4" s="4">
        <v>272.7</v>
      </c>
      <c r="AF4" s="4">
        <v>580.7</v>
      </c>
      <c r="AG4" s="4">
        <v>24992.3</v>
      </c>
      <c r="AH4" s="4">
        <v>37531.6</v>
      </c>
      <c r="AI4" s="4">
        <v>951.95</v>
      </c>
      <c r="AJ4" s="4">
        <v>1604.97</v>
      </c>
      <c r="AK4" s="4">
        <v>26631.3</v>
      </c>
      <c r="AL4" s="4">
        <v>343.22</v>
      </c>
      <c r="AM4" s="4">
        <v>999.16</v>
      </c>
      <c r="AN4" s="4">
        <v>1645.71</v>
      </c>
      <c r="AO4" s="4">
        <v>27573.3</v>
      </c>
      <c r="AP4" s="4">
        <v>400.84</v>
      </c>
      <c r="AQ4" s="4"/>
      <c r="AR4" s="4">
        <v>3.07</v>
      </c>
      <c r="AS4" s="4">
        <v>0.978</v>
      </c>
      <c r="AT4" s="4">
        <v>0.006</v>
      </c>
      <c r="AU4" s="4">
        <v>0.022</v>
      </c>
      <c r="AV4" s="4">
        <v>0.42</v>
      </c>
      <c r="AW4" s="4">
        <v>0.378</v>
      </c>
      <c r="AX4" s="4">
        <v>7.1</v>
      </c>
      <c r="AY4" s="4">
        <v>323.67</v>
      </c>
      <c r="AZ4" s="4"/>
      <c r="BA4" s="4">
        <v>18900.0</v>
      </c>
      <c r="BB4" s="4">
        <v>1260.0</v>
      </c>
      <c r="BC4" s="4"/>
      <c r="BD4" s="4"/>
      <c r="BE4" s="6">
        <v>1.1781E7</v>
      </c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>
        <f t="shared" ref="CL4:CM4" si="4">0.5*0.001</f>
        <v>0.0005</v>
      </c>
      <c r="CM4" s="4">
        <f t="shared" si="4"/>
        <v>0.0005</v>
      </c>
      <c r="CN4" s="4">
        <v>0.5</v>
      </c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>
      <c r="A5" s="4" t="s">
        <v>131</v>
      </c>
      <c r="B5" s="4" t="s">
        <v>132</v>
      </c>
      <c r="C5" s="5" t="s">
        <v>126</v>
      </c>
      <c r="D5" s="5" t="s">
        <v>133</v>
      </c>
      <c r="E5" s="4" t="s">
        <v>111</v>
      </c>
      <c r="F5" s="4" t="s">
        <v>112</v>
      </c>
      <c r="G5" s="4" t="s">
        <v>113</v>
      </c>
      <c r="H5" s="4" t="s">
        <v>134</v>
      </c>
      <c r="J5" s="4" t="s">
        <v>135</v>
      </c>
      <c r="K5" s="4" t="s">
        <v>136</v>
      </c>
      <c r="L5" s="4">
        <v>-23.8932</v>
      </c>
      <c r="M5" s="4">
        <v>-58.4464</v>
      </c>
      <c r="N5" s="4"/>
      <c r="O5" s="4"/>
      <c r="P5" s="4">
        <v>31.4</v>
      </c>
      <c r="Q5" s="4">
        <v>172.8</v>
      </c>
      <c r="R5" s="4">
        <v>8.03</v>
      </c>
      <c r="S5" s="4">
        <v>-68.5</v>
      </c>
      <c r="T5" s="4">
        <v>31800.0</v>
      </c>
      <c r="U5" s="4">
        <v>20.0</v>
      </c>
      <c r="V5" s="4">
        <v>30.9</v>
      </c>
      <c r="W5" s="4">
        <v>6.34</v>
      </c>
      <c r="X5" s="4">
        <v>86.9</v>
      </c>
      <c r="Y5" s="4">
        <v>57.0</v>
      </c>
      <c r="Z5" s="4">
        <v>22347.0</v>
      </c>
      <c r="AA5" s="4">
        <v>22305.0</v>
      </c>
      <c r="AB5" s="4">
        <v>42.0</v>
      </c>
      <c r="AC5" s="4">
        <v>62.0</v>
      </c>
      <c r="AD5" s="4">
        <v>3360.0</v>
      </c>
      <c r="AE5" s="4">
        <v>40.4</v>
      </c>
      <c r="AF5" s="4">
        <v>293.0</v>
      </c>
      <c r="AG5" s="4">
        <v>9477.1</v>
      </c>
      <c r="AH5" s="4">
        <v>5720.79</v>
      </c>
      <c r="AI5" s="4">
        <v>1104.48</v>
      </c>
      <c r="AJ5" s="4">
        <v>489.97</v>
      </c>
      <c r="AK5" s="4">
        <v>7983.02</v>
      </c>
      <c r="AL5" s="4">
        <v>72.84</v>
      </c>
      <c r="AM5" s="4">
        <v>1129.88</v>
      </c>
      <c r="AN5" s="4">
        <v>529.22</v>
      </c>
      <c r="AO5" s="4">
        <v>8260.62</v>
      </c>
      <c r="AP5" s="4">
        <v>79.53</v>
      </c>
      <c r="AQ5" s="4"/>
      <c r="AR5" s="4">
        <v>4.906</v>
      </c>
      <c r="AS5" s="4">
        <v>1.0</v>
      </c>
      <c r="AT5" s="4">
        <v>0.134</v>
      </c>
      <c r="AU5" s="4">
        <v>0.067</v>
      </c>
      <c r="AV5" s="4">
        <v>0.3</v>
      </c>
      <c r="AW5" s="4">
        <v>0.204</v>
      </c>
      <c r="AX5" s="4">
        <v>7.4</v>
      </c>
      <c r="AY5" s="4">
        <v>124.64</v>
      </c>
      <c r="AZ5" s="4"/>
      <c r="BA5" s="4">
        <v>6200.0</v>
      </c>
      <c r="BB5" s="4">
        <v>624.0</v>
      </c>
      <c r="BC5" s="4"/>
      <c r="BD5" s="4"/>
      <c r="BE5" s="4">
        <v>3410000.0</v>
      </c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>
        <f t="shared" ref="CL5:CM5" si="5">0.5*0.001</f>
        <v>0.0005</v>
      </c>
      <c r="CM5" s="4">
        <f t="shared" si="5"/>
        <v>0.0005</v>
      </c>
      <c r="CN5" s="4">
        <f t="shared" ref="CN5:CN10" si="7">0.5*0.5</f>
        <v>0.25</v>
      </c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>
      <c r="A6" s="4" t="s">
        <v>137</v>
      </c>
      <c r="B6" s="4" t="s">
        <v>138</v>
      </c>
      <c r="C6" s="5" t="s">
        <v>126</v>
      </c>
      <c r="D6" s="5" t="s">
        <v>139</v>
      </c>
      <c r="E6" s="4" t="s">
        <v>111</v>
      </c>
      <c r="F6" s="4" t="s">
        <v>112</v>
      </c>
      <c r="G6" s="4" t="s">
        <v>113</v>
      </c>
      <c r="H6" s="4" t="s">
        <v>140</v>
      </c>
      <c r="J6" s="4" t="s">
        <v>141</v>
      </c>
      <c r="K6" s="4" t="s">
        <v>142</v>
      </c>
      <c r="L6" s="4">
        <v>-24.1896</v>
      </c>
      <c r="M6" s="4">
        <v>-58.3002</v>
      </c>
      <c r="N6" s="4"/>
      <c r="O6" s="4"/>
      <c r="P6" s="4">
        <v>3480.0</v>
      </c>
      <c r="Q6" s="4">
        <v>61.0</v>
      </c>
      <c r="R6" s="4">
        <v>6.77</v>
      </c>
      <c r="S6" s="4">
        <v>8.3</v>
      </c>
      <c r="T6" s="4">
        <v>288.0</v>
      </c>
      <c r="U6" s="4">
        <v>0.0</v>
      </c>
      <c r="V6" s="4">
        <v>24.3</v>
      </c>
      <c r="W6" s="4">
        <v>2.49</v>
      </c>
      <c r="X6" s="4">
        <v>30.2</v>
      </c>
      <c r="Y6" s="4">
        <v>17.6</v>
      </c>
      <c r="Z6" s="4">
        <v>212.5</v>
      </c>
      <c r="AA6" s="4">
        <v>209.0</v>
      </c>
      <c r="AB6" s="4">
        <v>3.5</v>
      </c>
      <c r="AC6" s="4">
        <v>100.0</v>
      </c>
      <c r="AD6" s="4">
        <v>39.0</v>
      </c>
      <c r="AE6" s="4">
        <v>0.0</v>
      </c>
      <c r="AF6" s="4">
        <v>31.2</v>
      </c>
      <c r="AG6" s="4">
        <v>68.6</v>
      </c>
      <c r="AH6" s="4">
        <v>42.51</v>
      </c>
      <c r="AI6" s="4">
        <v>8.2</v>
      </c>
      <c r="AJ6" s="4">
        <v>5.62</v>
      </c>
      <c r="AK6" s="4">
        <v>49.75</v>
      </c>
      <c r="AL6" s="4">
        <v>40.14</v>
      </c>
      <c r="AM6" s="4">
        <v>8.32</v>
      </c>
      <c r="AN6" s="4">
        <v>5.67</v>
      </c>
      <c r="AO6" s="4">
        <v>51.22</v>
      </c>
      <c r="AP6" s="4">
        <v>48.32</v>
      </c>
      <c r="AQ6" s="4"/>
      <c r="AR6" s="4">
        <v>1.806</v>
      </c>
      <c r="AS6" s="4">
        <v>0.529</v>
      </c>
      <c r="AT6" s="4">
        <v>0.16</v>
      </c>
      <c r="AU6" s="4">
        <v>0.147</v>
      </c>
      <c r="AV6" s="4">
        <v>0.487</v>
      </c>
      <c r="AW6" s="4">
        <v>1.12</v>
      </c>
      <c r="AX6" s="4">
        <v>2.4</v>
      </c>
      <c r="AY6" s="4">
        <v>77.3</v>
      </c>
      <c r="AZ6" s="4"/>
      <c r="BA6" s="4">
        <v>25200.0</v>
      </c>
      <c r="BB6" s="4">
        <v>3780.0</v>
      </c>
      <c r="BC6" s="4"/>
      <c r="BD6" s="4"/>
      <c r="BE6" s="6">
        <v>1.386E7</v>
      </c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>
        <f t="shared" ref="CL6:CM6" si="6">0.5*0.001</f>
        <v>0.0005</v>
      </c>
      <c r="CM6" s="4">
        <f t="shared" si="6"/>
        <v>0.0005</v>
      </c>
      <c r="CN6" s="4">
        <f t="shared" si="7"/>
        <v>0.25</v>
      </c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>
      <c r="A7" s="4" t="s">
        <v>143</v>
      </c>
      <c r="B7" s="4" t="s">
        <v>144</v>
      </c>
      <c r="C7" s="5" t="s">
        <v>126</v>
      </c>
      <c r="D7" s="5" t="s">
        <v>145</v>
      </c>
      <c r="E7" s="4" t="s">
        <v>111</v>
      </c>
      <c r="F7" s="4" t="s">
        <v>112</v>
      </c>
      <c r="G7" s="4" t="s">
        <v>113</v>
      </c>
      <c r="H7" s="4" t="s">
        <v>121</v>
      </c>
      <c r="J7" s="4" t="s">
        <v>146</v>
      </c>
      <c r="K7" s="4" t="s">
        <v>147</v>
      </c>
      <c r="L7" s="4">
        <v>-25.1073</v>
      </c>
      <c r="M7" s="4">
        <v>-57.5467</v>
      </c>
      <c r="N7" s="4"/>
      <c r="O7" s="4"/>
      <c r="P7" s="4">
        <v>9300.0</v>
      </c>
      <c r="Q7" s="4">
        <v>83.6</v>
      </c>
      <c r="R7" s="4">
        <v>6.58</v>
      </c>
      <c r="S7" s="4">
        <v>18.8</v>
      </c>
      <c r="T7" s="4">
        <v>107.8</v>
      </c>
      <c r="U7" s="4">
        <v>0.0</v>
      </c>
      <c r="V7" s="4">
        <v>24.4</v>
      </c>
      <c r="W7" s="4">
        <v>3.41</v>
      </c>
      <c r="X7" s="4">
        <v>41.1</v>
      </c>
      <c r="Y7" s="4">
        <v>25.6</v>
      </c>
      <c r="Z7" s="4">
        <v>86.9</v>
      </c>
      <c r="AA7" s="4">
        <v>76.0</v>
      </c>
      <c r="AB7" s="4">
        <v>10.9</v>
      </c>
      <c r="AC7" s="4">
        <v>125.0</v>
      </c>
      <c r="AD7" s="4">
        <v>25.0</v>
      </c>
      <c r="AE7" s="4">
        <v>0.0</v>
      </c>
      <c r="AF7" s="4">
        <v>20.2</v>
      </c>
      <c r="AG7" s="4">
        <v>13.7</v>
      </c>
      <c r="AH7" s="4">
        <v>7.81</v>
      </c>
      <c r="AI7" s="4">
        <v>4.67</v>
      </c>
      <c r="AJ7" s="4">
        <v>1.76</v>
      </c>
      <c r="AK7" s="4">
        <v>15.56</v>
      </c>
      <c r="AL7" s="4">
        <v>25.2</v>
      </c>
      <c r="AM7" s="4">
        <v>5.08</v>
      </c>
      <c r="AN7" s="4">
        <v>1.79</v>
      </c>
      <c r="AO7" s="4">
        <v>16.04</v>
      </c>
      <c r="AP7" s="4">
        <v>27.19</v>
      </c>
      <c r="AQ7" s="4"/>
      <c r="AR7" s="4">
        <v>0.745</v>
      </c>
      <c r="AS7" s="4">
        <v>0.223</v>
      </c>
      <c r="AT7" s="4">
        <v>0.064</v>
      </c>
      <c r="AU7" s="4">
        <v>0.037</v>
      </c>
      <c r="AV7" s="4">
        <v>0.987</v>
      </c>
      <c r="AW7" s="4">
        <v>0.193</v>
      </c>
      <c r="AX7" s="4">
        <v>3.5</v>
      </c>
      <c r="AY7" s="4">
        <v>67.63</v>
      </c>
      <c r="AZ7" s="4"/>
      <c r="BA7" s="4">
        <v>37800.0</v>
      </c>
      <c r="BB7" s="4">
        <v>2520.0</v>
      </c>
      <c r="BC7" s="4"/>
      <c r="BD7" s="4"/>
      <c r="BE7" s="6">
        <v>2.1483E7</v>
      </c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>
        <f t="shared" ref="CL7:CM7" si="8">0.5*0.001</f>
        <v>0.0005</v>
      </c>
      <c r="CM7" s="4">
        <f t="shared" si="8"/>
        <v>0.0005</v>
      </c>
      <c r="CN7" s="4">
        <f t="shared" si="7"/>
        <v>0.25</v>
      </c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>
      <c r="A8" s="4" t="s">
        <v>148</v>
      </c>
      <c r="B8" s="4" t="s">
        <v>149</v>
      </c>
      <c r="C8" s="5" t="s">
        <v>150</v>
      </c>
      <c r="D8" s="5" t="s">
        <v>151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152</v>
      </c>
      <c r="J8" s="4" t="s">
        <v>153</v>
      </c>
      <c r="K8" s="4" t="s">
        <v>154</v>
      </c>
      <c r="L8" s="4">
        <v>-25.2645</v>
      </c>
      <c r="M8" s="4">
        <v>-57.7247</v>
      </c>
      <c r="N8" s="4"/>
      <c r="O8" s="4"/>
      <c r="P8" s="4">
        <v>7300.0</v>
      </c>
      <c r="Q8" s="4">
        <v>63.2</v>
      </c>
      <c r="R8" s="4">
        <v>6.74</v>
      </c>
      <c r="S8" s="4">
        <v>9.5</v>
      </c>
      <c r="T8" s="4">
        <v>137.0</v>
      </c>
      <c r="U8" s="4">
        <v>0.0</v>
      </c>
      <c r="V8" s="4">
        <v>24.1</v>
      </c>
      <c r="W8" s="4">
        <v>2.6</v>
      </c>
      <c r="X8" s="4">
        <v>31.2</v>
      </c>
      <c r="Y8" s="4">
        <v>58.1</v>
      </c>
      <c r="Z8" s="4">
        <v>131.0</v>
      </c>
      <c r="AA8" s="4">
        <v>98.5</v>
      </c>
      <c r="AB8" s="4">
        <v>32.5</v>
      </c>
      <c r="AC8" s="4">
        <v>125.0</v>
      </c>
      <c r="AD8" s="4">
        <v>19.0</v>
      </c>
      <c r="AE8" s="4">
        <v>0.0</v>
      </c>
      <c r="AF8" s="4">
        <v>22.7</v>
      </c>
      <c r="AG8" s="4">
        <v>15.7</v>
      </c>
      <c r="AH8" s="4">
        <v>12.13</v>
      </c>
      <c r="AI8" s="4">
        <v>4.13</v>
      </c>
      <c r="AJ8" s="4">
        <v>2.25</v>
      </c>
      <c r="AK8" s="4">
        <v>20.75</v>
      </c>
      <c r="AL8" s="4">
        <v>4.16</v>
      </c>
      <c r="AM8" s="4">
        <v>5.18</v>
      </c>
      <c r="AN8" s="4">
        <v>2.32</v>
      </c>
      <c r="AO8" s="4">
        <v>20.84</v>
      </c>
      <c r="AP8" s="4">
        <v>6.11</v>
      </c>
      <c r="AQ8" s="4"/>
      <c r="AR8" s="4">
        <v>1.245</v>
      </c>
      <c r="AS8" s="4">
        <v>0.374</v>
      </c>
      <c r="AT8" s="4">
        <v>0.12</v>
      </c>
      <c r="AU8" s="4">
        <v>0.18</v>
      </c>
      <c r="AV8" s="4">
        <v>0.823</v>
      </c>
      <c r="AW8" s="4">
        <v>0.801</v>
      </c>
      <c r="AX8" s="4">
        <v>1.8</v>
      </c>
      <c r="AY8" s="4">
        <v>75.36</v>
      </c>
      <c r="AZ8" s="4"/>
      <c r="BA8" s="4">
        <v>44640.0</v>
      </c>
      <c r="BB8" s="4">
        <v>2480.0</v>
      </c>
      <c r="BC8" s="4"/>
      <c r="BD8" s="4"/>
      <c r="BE8" s="6">
        <v>1.2958E7</v>
      </c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>
        <f t="shared" ref="CL8:CM8" si="9">0.5*0.001</f>
        <v>0.0005</v>
      </c>
      <c r="CM8" s="4">
        <f t="shared" si="9"/>
        <v>0.0005</v>
      </c>
      <c r="CN8" s="4">
        <f t="shared" si="7"/>
        <v>0.25</v>
      </c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>
      <c r="A9" s="4" t="s">
        <v>155</v>
      </c>
      <c r="B9" s="4" t="s">
        <v>156</v>
      </c>
      <c r="C9" s="5" t="s">
        <v>150</v>
      </c>
      <c r="D9" s="5" t="s">
        <v>157</v>
      </c>
      <c r="E9" s="4" t="s">
        <v>111</v>
      </c>
      <c r="F9" s="4" t="s">
        <v>112</v>
      </c>
      <c r="G9" s="4" t="s">
        <v>113</v>
      </c>
      <c r="H9" s="4" t="s">
        <v>158</v>
      </c>
      <c r="I9" s="4" t="s">
        <v>159</v>
      </c>
      <c r="J9" s="4" t="s">
        <v>160</v>
      </c>
      <c r="K9" s="4" t="s">
        <v>161</v>
      </c>
      <c r="L9" s="4">
        <v>-25.2654</v>
      </c>
      <c r="M9" s="4">
        <v>-57.7289</v>
      </c>
      <c r="N9" s="4"/>
      <c r="O9" s="4"/>
      <c r="P9" s="4">
        <v>991.0</v>
      </c>
      <c r="Q9" s="4">
        <v>109.4</v>
      </c>
      <c r="R9" s="4">
        <v>7.05</v>
      </c>
      <c r="S9" s="4">
        <v>-9.0</v>
      </c>
      <c r="T9" s="4">
        <v>1008.0</v>
      </c>
      <c r="U9" s="4">
        <v>0.4</v>
      </c>
      <c r="V9" s="4">
        <v>23.4</v>
      </c>
      <c r="W9" s="4">
        <v>4.53</v>
      </c>
      <c r="X9" s="4">
        <v>53.7</v>
      </c>
      <c r="Y9" s="4">
        <v>25.5</v>
      </c>
      <c r="Z9" s="4">
        <v>662.0</v>
      </c>
      <c r="AA9" s="4">
        <v>642.3</v>
      </c>
      <c r="AB9" s="4">
        <v>19.7</v>
      </c>
      <c r="AC9" s="4">
        <v>150.0</v>
      </c>
      <c r="AD9" s="4">
        <v>120.0</v>
      </c>
      <c r="AE9" s="4">
        <v>0.0</v>
      </c>
      <c r="AF9" s="4">
        <v>60.6</v>
      </c>
      <c r="AG9" s="4">
        <v>124.4</v>
      </c>
      <c r="AH9" s="4">
        <v>239.47</v>
      </c>
      <c r="AI9" s="4">
        <v>44.82</v>
      </c>
      <c r="AJ9" s="4">
        <v>10.61</v>
      </c>
      <c r="AK9" s="4">
        <v>176.34</v>
      </c>
      <c r="AL9" s="4">
        <v>8.33</v>
      </c>
      <c r="AM9" s="4">
        <v>54.99</v>
      </c>
      <c r="AN9" s="4">
        <v>14.37</v>
      </c>
      <c r="AO9" s="4">
        <v>197.78</v>
      </c>
      <c r="AP9" s="4">
        <v>8.64</v>
      </c>
      <c r="AQ9" s="4"/>
      <c r="AR9" s="4">
        <v>0.871</v>
      </c>
      <c r="AS9" s="4">
        <v>0.247</v>
      </c>
      <c r="AT9" s="4">
        <v>0.12</v>
      </c>
      <c r="AU9" s="4">
        <v>0.074</v>
      </c>
      <c r="AV9" s="4">
        <v>0.54</v>
      </c>
      <c r="AW9" s="4">
        <v>0.26</v>
      </c>
      <c r="AX9" s="4">
        <v>1.4</v>
      </c>
      <c r="AY9" s="4">
        <v>83.09</v>
      </c>
      <c r="AZ9" s="4"/>
      <c r="BA9" s="4">
        <v>81580.0</v>
      </c>
      <c r="BB9" s="4">
        <v>12360.0</v>
      </c>
      <c r="BC9" s="4"/>
      <c r="BD9" s="4"/>
      <c r="BE9" s="6">
        <v>2.447E7</v>
      </c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>
        <f t="shared" ref="CL9:CM9" si="10">0.5*0.001</f>
        <v>0.0005</v>
      </c>
      <c r="CM9" s="4">
        <f t="shared" si="10"/>
        <v>0.0005</v>
      </c>
      <c r="CN9" s="4">
        <f t="shared" si="7"/>
        <v>0.25</v>
      </c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>
      <c r="A10" s="4" t="s">
        <v>162</v>
      </c>
      <c r="B10" s="4" t="s">
        <v>163</v>
      </c>
      <c r="C10" s="5" t="s">
        <v>150</v>
      </c>
      <c r="D10" s="5" t="s">
        <v>164</v>
      </c>
      <c r="E10" s="4" t="s">
        <v>111</v>
      </c>
      <c r="F10" s="4" t="s">
        <v>112</v>
      </c>
      <c r="G10" s="4" t="s">
        <v>113</v>
      </c>
      <c r="H10" s="4" t="s">
        <v>134</v>
      </c>
      <c r="J10" s="4" t="s">
        <v>165</v>
      </c>
      <c r="K10" s="4" t="s">
        <v>166</v>
      </c>
      <c r="L10" s="4">
        <v>-25.7878</v>
      </c>
      <c r="M10" s="4">
        <v>-58.0213</v>
      </c>
      <c r="N10" s="4"/>
      <c r="O10" s="4"/>
      <c r="P10" s="4">
        <v>532.0</v>
      </c>
      <c r="Q10" s="4"/>
      <c r="R10" s="4">
        <v>7.5</v>
      </c>
      <c r="S10" s="4">
        <v>-35.1</v>
      </c>
      <c r="T10" s="4">
        <v>1879.0</v>
      </c>
      <c r="U10" s="4">
        <v>0.9</v>
      </c>
      <c r="V10" s="4">
        <v>22.6</v>
      </c>
      <c r="W10" s="4">
        <v>6.09</v>
      </c>
      <c r="X10" s="4">
        <v>71.2</v>
      </c>
      <c r="Y10" s="4">
        <v>52.1</v>
      </c>
      <c r="Z10" s="4">
        <v>1216.0</v>
      </c>
      <c r="AA10" s="4">
        <v>1184.2</v>
      </c>
      <c r="AB10" s="4">
        <v>31.8</v>
      </c>
      <c r="AC10" s="4">
        <v>62.0</v>
      </c>
      <c r="AD10" s="4">
        <v>225.0</v>
      </c>
      <c r="AE10" s="4">
        <v>0.0</v>
      </c>
      <c r="AF10" s="4">
        <v>100.0</v>
      </c>
      <c r="AG10" s="4">
        <v>256.7</v>
      </c>
      <c r="AH10" s="4">
        <v>414.74</v>
      </c>
      <c r="AI10" s="4">
        <v>76.05</v>
      </c>
      <c r="AJ10" s="4">
        <v>31.81</v>
      </c>
      <c r="AK10" s="4">
        <v>350.69</v>
      </c>
      <c r="AL10" s="4">
        <v>7.31</v>
      </c>
      <c r="AM10" s="4">
        <v>87.35</v>
      </c>
      <c r="AN10" s="4">
        <v>33.94</v>
      </c>
      <c r="AO10" s="4">
        <v>400.41</v>
      </c>
      <c r="AP10" s="4">
        <v>8.31</v>
      </c>
      <c r="AQ10" s="4"/>
      <c r="AR10" s="4">
        <v>1.82</v>
      </c>
      <c r="AS10" s="4">
        <v>0.561</v>
      </c>
      <c r="AT10" s="4">
        <v>0.07</v>
      </c>
      <c r="AU10" s="4">
        <v>0.111</v>
      </c>
      <c r="AV10" s="4">
        <v>1.071</v>
      </c>
      <c r="AW10" s="4">
        <v>0.245</v>
      </c>
      <c r="AX10" s="4">
        <v>1.9</v>
      </c>
      <c r="AY10" s="4">
        <v>77.3</v>
      </c>
      <c r="AZ10" s="4"/>
      <c r="BA10" s="4">
        <v>12430.0</v>
      </c>
      <c r="BB10" s="4">
        <v>3660.0</v>
      </c>
      <c r="BC10" s="4"/>
      <c r="BD10" s="4"/>
      <c r="BE10" s="6">
        <v>1.7105E7</v>
      </c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f t="shared" ref="CL10:CM10" si="11">0.5*0.001</f>
        <v>0.0005</v>
      </c>
      <c r="CM10" s="4">
        <f t="shared" si="11"/>
        <v>0.0005</v>
      </c>
      <c r="CN10" s="4">
        <f t="shared" si="7"/>
        <v>0.25</v>
      </c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>
      <c r="A11" s="4" t="s">
        <v>167</v>
      </c>
      <c r="B11" s="4" t="s">
        <v>168</v>
      </c>
      <c r="C11" s="5" t="s">
        <v>169</v>
      </c>
      <c r="D11" s="5" t="s">
        <v>170</v>
      </c>
      <c r="E11" s="4" t="s">
        <v>171</v>
      </c>
      <c r="F11" s="4" t="s">
        <v>112</v>
      </c>
      <c r="G11" s="4" t="s">
        <v>113</v>
      </c>
      <c r="H11" s="4" t="s">
        <v>172</v>
      </c>
      <c r="I11" s="4" t="s">
        <v>173</v>
      </c>
      <c r="J11" s="4" t="s">
        <v>174</v>
      </c>
      <c r="K11" s="4" t="s">
        <v>175</v>
      </c>
      <c r="L11" s="4">
        <v>-21.1521</v>
      </c>
      <c r="M11" s="4">
        <v>-64.234</v>
      </c>
      <c r="N11" s="4">
        <v>0.379</v>
      </c>
      <c r="O11" s="4">
        <v>11.0</v>
      </c>
      <c r="P11" s="4">
        <v>830.0</v>
      </c>
      <c r="Q11" s="4">
        <v>195.3</v>
      </c>
      <c r="R11" s="4">
        <v>8.587</v>
      </c>
      <c r="S11" s="4">
        <v>-92.6</v>
      </c>
      <c r="T11" s="4">
        <v>1205.0</v>
      </c>
      <c r="U11" s="4">
        <v>0.5</v>
      </c>
      <c r="V11" s="4">
        <v>17.3</v>
      </c>
      <c r="W11" s="4">
        <v>9.0</v>
      </c>
      <c r="X11" s="4">
        <v>103.3</v>
      </c>
      <c r="Y11" s="4">
        <v>12.7</v>
      </c>
      <c r="Z11" s="4">
        <v>942.0</v>
      </c>
      <c r="AA11" s="4">
        <v>933.0</v>
      </c>
      <c r="AB11" s="4">
        <v>9.0</v>
      </c>
      <c r="AC11" s="4">
        <v>11.0</v>
      </c>
      <c r="AD11" s="4">
        <v>410.1</v>
      </c>
      <c r="AE11" s="4">
        <v>76.05</v>
      </c>
      <c r="AF11" s="4">
        <v>350.0</v>
      </c>
      <c r="AG11" s="4">
        <v>118.9</v>
      </c>
      <c r="AH11" s="4">
        <v>458.1</v>
      </c>
      <c r="AI11" s="4">
        <v>113.7</v>
      </c>
      <c r="AJ11" s="4">
        <v>64.1</v>
      </c>
      <c r="AK11" s="4">
        <v>84.7</v>
      </c>
      <c r="AL11" s="4">
        <v>30.0</v>
      </c>
      <c r="AM11" s="4">
        <v>113.8</v>
      </c>
      <c r="AN11" s="4">
        <v>68.5</v>
      </c>
      <c r="AO11" s="4">
        <v>105.0</v>
      </c>
      <c r="AP11" s="4">
        <v>31.4</v>
      </c>
      <c r="AQ11" s="4"/>
      <c r="AR11" s="4">
        <v>0.15</v>
      </c>
      <c r="AS11" s="4">
        <v>0.09</v>
      </c>
      <c r="AT11" s="4">
        <v>0.21</v>
      </c>
      <c r="AU11" s="4"/>
      <c r="AV11" s="4">
        <v>0.14</v>
      </c>
      <c r="AW11" s="4">
        <v>0.81</v>
      </c>
      <c r="AX11" s="4">
        <v>3.0</v>
      </c>
      <c r="AY11" s="4">
        <v>4.5</v>
      </c>
      <c r="AZ11" s="4"/>
      <c r="BA11" s="4"/>
      <c r="BB11" s="4"/>
      <c r="BC11" s="4">
        <v>120.0</v>
      </c>
      <c r="BD11" s="4">
        <v>43.0</v>
      </c>
      <c r="BE11" s="6">
        <v>1.5E7</v>
      </c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>
        <f t="shared" ref="CJ11:CJ12" si="12">0.5*0.02</f>
        <v>0.01</v>
      </c>
      <c r="CK11" s="4"/>
      <c r="CL11" s="4">
        <f t="shared" ref="CL11:CL12" si="13">0.5*1</f>
        <v>0.5</v>
      </c>
      <c r="CM11" s="4">
        <f t="shared" ref="CM11:CM12" si="14">0.5*0.001</f>
        <v>0.0005</v>
      </c>
      <c r="CN11" s="4">
        <f t="shared" ref="CN11:CN16" si="15">0.5*0.05</f>
        <v>0.025</v>
      </c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>
      <c r="A12" s="4" t="s">
        <v>176</v>
      </c>
      <c r="B12" s="4" t="s">
        <v>177</v>
      </c>
      <c r="C12" s="5" t="s">
        <v>178</v>
      </c>
      <c r="D12" s="5" t="s">
        <v>179</v>
      </c>
      <c r="E12" s="4" t="s">
        <v>171</v>
      </c>
      <c r="F12" s="4" t="s">
        <v>112</v>
      </c>
      <c r="G12" s="4" t="s">
        <v>113</v>
      </c>
      <c r="H12" s="4" t="s">
        <v>114</v>
      </c>
      <c r="I12" s="4" t="s">
        <v>180</v>
      </c>
      <c r="J12" s="4" t="s">
        <v>181</v>
      </c>
      <c r="K12" s="4" t="s">
        <v>182</v>
      </c>
      <c r="L12" s="4">
        <v>-20.9138</v>
      </c>
      <c r="M12" s="4">
        <v>-64.1105</v>
      </c>
      <c r="N12" s="4">
        <v>0.29</v>
      </c>
      <c r="O12" s="4">
        <v>28.0</v>
      </c>
      <c r="P12" s="4">
        <v>747.0</v>
      </c>
      <c r="Q12" s="4">
        <v>222.0</v>
      </c>
      <c r="R12" s="4">
        <v>8.677</v>
      </c>
      <c r="S12" s="4">
        <v>-98.9</v>
      </c>
      <c r="T12" s="4">
        <v>1338.0</v>
      </c>
      <c r="U12" s="4">
        <v>0.6</v>
      </c>
      <c r="V12" s="4">
        <v>21.1</v>
      </c>
      <c r="W12" s="4">
        <v>9.53</v>
      </c>
      <c r="X12" s="4">
        <v>116.0</v>
      </c>
      <c r="Y12" s="4">
        <v>13.6</v>
      </c>
      <c r="Z12" s="4">
        <v>913.0</v>
      </c>
      <c r="AA12" s="4">
        <v>904.0</v>
      </c>
      <c r="AB12" s="4">
        <v>9.0</v>
      </c>
      <c r="AC12" s="4">
        <v>15.5</v>
      </c>
      <c r="AD12" s="4">
        <v>551.3</v>
      </c>
      <c r="AE12" s="4">
        <v>76.49</v>
      </c>
      <c r="AF12" s="4">
        <v>332.5</v>
      </c>
      <c r="AG12" s="4">
        <v>237.5</v>
      </c>
      <c r="AH12" s="4">
        <v>320.7</v>
      </c>
      <c r="AI12" s="4">
        <v>86.93</v>
      </c>
      <c r="AJ12" s="4">
        <v>45.6</v>
      </c>
      <c r="AK12" s="4">
        <v>155.0</v>
      </c>
      <c r="AL12" s="4">
        <v>7.63</v>
      </c>
      <c r="AM12" s="4">
        <v>91.7</v>
      </c>
      <c r="AN12" s="4">
        <v>46.1</v>
      </c>
      <c r="AO12" s="4">
        <v>163.0</v>
      </c>
      <c r="AP12" s="4">
        <v>8.6</v>
      </c>
      <c r="AQ12" s="4"/>
      <c r="AR12" s="4">
        <v>0.12</v>
      </c>
      <c r="AS12" s="4">
        <f>0.5*0.03</f>
        <v>0.015</v>
      </c>
      <c r="AT12" s="4">
        <v>0.21</v>
      </c>
      <c r="AU12" s="4"/>
      <c r="AV12" s="4">
        <v>0.16</v>
      </c>
      <c r="AW12" s="4">
        <v>0.52</v>
      </c>
      <c r="AX12" s="4">
        <v>1.6</v>
      </c>
      <c r="AY12" s="4">
        <v>4.0</v>
      </c>
      <c r="AZ12" s="4"/>
      <c r="BA12" s="4"/>
      <c r="BB12" s="4"/>
      <c r="BC12" s="4">
        <v>150.0</v>
      </c>
      <c r="BD12" s="4">
        <v>75.0</v>
      </c>
      <c r="BE12" s="4">
        <v>6600000.0</v>
      </c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>
        <f t="shared" si="12"/>
        <v>0.01</v>
      </c>
      <c r="CK12" s="4"/>
      <c r="CL12" s="4">
        <f t="shared" si="13"/>
        <v>0.5</v>
      </c>
      <c r="CM12" s="4">
        <f t="shared" si="14"/>
        <v>0.0005</v>
      </c>
      <c r="CN12" s="4">
        <f t="shared" si="15"/>
        <v>0.025</v>
      </c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>
      <c r="A13" s="4" t="s">
        <v>183</v>
      </c>
      <c r="B13" s="4" t="s">
        <v>184</v>
      </c>
      <c r="C13" s="5" t="s">
        <v>178</v>
      </c>
      <c r="D13" s="5" t="s">
        <v>185</v>
      </c>
      <c r="E13" s="4" t="s">
        <v>171</v>
      </c>
      <c r="F13" s="4" t="s">
        <v>112</v>
      </c>
      <c r="G13" s="4" t="s">
        <v>113</v>
      </c>
      <c r="H13" s="4" t="s">
        <v>114</v>
      </c>
      <c r="I13" s="4" t="s">
        <v>180</v>
      </c>
      <c r="J13" s="4" t="s">
        <v>186</v>
      </c>
      <c r="K13" s="4" t="s">
        <v>187</v>
      </c>
      <c r="L13" s="4">
        <v>-21.2581</v>
      </c>
      <c r="M13" s="4">
        <v>-63.5116</v>
      </c>
      <c r="N13" s="4">
        <v>0.21</v>
      </c>
      <c r="O13" s="4">
        <v>31.0</v>
      </c>
      <c r="P13" s="4">
        <v>663.0</v>
      </c>
      <c r="Q13" s="4">
        <v>196.4</v>
      </c>
      <c r="R13" s="4">
        <v>8.5</v>
      </c>
      <c r="S13" s="4">
        <v>-90.2</v>
      </c>
      <c r="T13" s="4">
        <v>1507.0</v>
      </c>
      <c r="U13" s="4">
        <v>0.7</v>
      </c>
      <c r="V13" s="4">
        <v>17.8</v>
      </c>
      <c r="W13" s="4">
        <v>8.95</v>
      </c>
      <c r="X13" s="4">
        <v>98.4</v>
      </c>
      <c r="Y13" s="4">
        <v>47.5</v>
      </c>
      <c r="Z13" s="4">
        <v>1040.0</v>
      </c>
      <c r="AA13" s="4">
        <v>1036.0</v>
      </c>
      <c r="AB13" s="4">
        <v>4.0</v>
      </c>
      <c r="AC13" s="4">
        <v>4.0</v>
      </c>
      <c r="AD13" s="4">
        <v>337.2</v>
      </c>
      <c r="AE13" s="4">
        <f>0.5*5</f>
        <v>2.5</v>
      </c>
      <c r="AF13" s="4">
        <v>125.0</v>
      </c>
      <c r="AG13" s="4">
        <v>227.6</v>
      </c>
      <c r="AH13" s="4">
        <v>282.2</v>
      </c>
      <c r="AI13" s="4">
        <v>57.5</v>
      </c>
      <c r="AJ13" s="4">
        <v>47.02</v>
      </c>
      <c r="AK13" s="4">
        <v>180.8</v>
      </c>
      <c r="AL13" s="4">
        <v>10.6</v>
      </c>
      <c r="AM13" s="4">
        <v>57.97</v>
      </c>
      <c r="AN13" s="4">
        <v>47.02</v>
      </c>
      <c r="AO13" s="4">
        <v>184.6</v>
      </c>
      <c r="AP13" s="4">
        <v>10.6</v>
      </c>
      <c r="AQ13" s="4"/>
      <c r="AR13" s="4">
        <v>0.31</v>
      </c>
      <c r="AS13" s="4">
        <v>0.15</v>
      </c>
      <c r="AT13" s="4">
        <v>0.17</v>
      </c>
      <c r="AU13" s="4">
        <f>0.5*0.02</f>
        <v>0.01</v>
      </c>
      <c r="AV13" s="4">
        <f>0.5*0.01</f>
        <v>0.005</v>
      </c>
      <c r="AW13" s="4">
        <v>1.4</v>
      </c>
      <c r="AX13" s="4">
        <f>0.5*5</f>
        <v>2.5</v>
      </c>
      <c r="AY13" s="4">
        <v>13.0</v>
      </c>
      <c r="AZ13" s="4">
        <v>6.0</v>
      </c>
      <c r="BA13" s="4">
        <v>0.0</v>
      </c>
      <c r="BB13" s="4">
        <v>0.0</v>
      </c>
      <c r="BC13" s="4"/>
      <c r="BD13" s="4"/>
      <c r="BE13" s="4">
        <v>140.0</v>
      </c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>
        <f>0.5*0.002</f>
        <v>0.001</v>
      </c>
      <c r="CL13" s="4">
        <f>0.5*0.001</f>
        <v>0.0005</v>
      </c>
      <c r="CM13" s="4"/>
      <c r="CN13" s="4">
        <f t="shared" si="15"/>
        <v>0.025</v>
      </c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>
      <c r="A14" s="4" t="s">
        <v>188</v>
      </c>
      <c r="B14" s="4" t="s">
        <v>189</v>
      </c>
      <c r="C14" s="5" t="s">
        <v>190</v>
      </c>
      <c r="D14" s="5" t="s">
        <v>191</v>
      </c>
      <c r="E14" s="4" t="s">
        <v>171</v>
      </c>
      <c r="F14" s="4" t="s">
        <v>112</v>
      </c>
      <c r="G14" s="4" t="s">
        <v>113</v>
      </c>
      <c r="H14" s="4" t="s">
        <v>192</v>
      </c>
      <c r="I14" s="4" t="s">
        <v>193</v>
      </c>
      <c r="J14" s="4" t="s">
        <v>194</v>
      </c>
      <c r="K14" s="4" t="s">
        <v>195</v>
      </c>
      <c r="L14" s="4">
        <v>-23.1374</v>
      </c>
      <c r="M14" s="4">
        <v>-61.9637</v>
      </c>
      <c r="N14" s="4"/>
      <c r="O14" s="4"/>
      <c r="P14" s="4">
        <v>670.0</v>
      </c>
      <c r="Q14" s="4">
        <v>205.0</v>
      </c>
      <c r="R14" s="4">
        <v>8.375</v>
      </c>
      <c r="S14" s="4">
        <v>-80.9</v>
      </c>
      <c r="T14" s="4">
        <v>1494.0</v>
      </c>
      <c r="U14" s="4">
        <v>0.7</v>
      </c>
      <c r="V14" s="4">
        <v>18.1</v>
      </c>
      <c r="W14" s="4">
        <v>9.3</v>
      </c>
      <c r="X14" s="4">
        <v>100.1</v>
      </c>
      <c r="Y14" s="4">
        <v>560.0</v>
      </c>
      <c r="Z14" s="4">
        <v>1430.0</v>
      </c>
      <c r="AA14" s="4">
        <v>940.0</v>
      </c>
      <c r="AB14" s="4">
        <v>478.0</v>
      </c>
      <c r="AC14" s="4">
        <v>4.0</v>
      </c>
      <c r="AD14" s="4">
        <v>436.0</v>
      </c>
      <c r="AE14" s="4"/>
      <c r="AF14" s="4">
        <v>172.0</v>
      </c>
      <c r="AG14" s="4">
        <v>208.0</v>
      </c>
      <c r="AH14" s="4">
        <v>358.0</v>
      </c>
      <c r="AI14" s="4">
        <v>89.0</v>
      </c>
      <c r="AJ14" s="4">
        <v>52.0</v>
      </c>
      <c r="AK14" s="4">
        <v>160.0</v>
      </c>
      <c r="AL14" s="4">
        <v>8.0</v>
      </c>
      <c r="AM14" s="4"/>
      <c r="AN14" s="4"/>
      <c r="AO14" s="4"/>
      <c r="AP14" s="4"/>
      <c r="AQ14" s="4"/>
      <c r="AR14" s="4"/>
      <c r="AS14" s="4">
        <f t="shared" ref="AS14:AS18" si="16">0.5*0.2</f>
        <v>0.1</v>
      </c>
      <c r="AT14" s="4">
        <v>0.09</v>
      </c>
      <c r="AU14" s="4">
        <f t="shared" ref="AU14:AU18" si="17">0.5*0.03</f>
        <v>0.015</v>
      </c>
      <c r="AV14" s="4">
        <v>3.0</v>
      </c>
      <c r="AW14" s="4"/>
      <c r="AX14" s="4">
        <v>2.0</v>
      </c>
      <c r="AY14" s="4">
        <f>0.5*2</f>
        <v>1</v>
      </c>
      <c r="AZ14" s="4"/>
      <c r="BA14" s="4"/>
      <c r="BB14" s="4"/>
      <c r="BC14" s="4">
        <v>280.0</v>
      </c>
      <c r="BD14" s="4">
        <f t="shared" ref="BD14:BD17" si="18">0.5*30</f>
        <v>15</v>
      </c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>
        <f t="shared" ref="CM14:CM16" si="19">0.5*0.001</f>
        <v>0.0005</v>
      </c>
      <c r="CN14" s="4">
        <f t="shared" si="15"/>
        <v>0.025</v>
      </c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>
      <c r="A15" s="4" t="s">
        <v>196</v>
      </c>
      <c r="B15" s="4" t="s">
        <v>197</v>
      </c>
      <c r="C15" s="5" t="s">
        <v>198</v>
      </c>
      <c r="D15" s="5" t="s">
        <v>199</v>
      </c>
      <c r="E15" s="4" t="s">
        <v>171</v>
      </c>
      <c r="F15" s="4" t="s">
        <v>112</v>
      </c>
      <c r="G15" s="4" t="s">
        <v>113</v>
      </c>
      <c r="H15" s="4" t="s">
        <v>192</v>
      </c>
      <c r="I15" s="4" t="s">
        <v>193</v>
      </c>
      <c r="J15" s="4" t="s">
        <v>200</v>
      </c>
      <c r="K15" s="4" t="s">
        <v>201</v>
      </c>
      <c r="L15" s="4">
        <v>-22.667</v>
      </c>
      <c r="M15" s="4">
        <v>-62.2102</v>
      </c>
      <c r="N15" s="4"/>
      <c r="O15" s="4"/>
      <c r="P15" s="4">
        <v>676.0</v>
      </c>
      <c r="Q15" s="4">
        <v>214.0</v>
      </c>
      <c r="R15" s="4">
        <v>8.335</v>
      </c>
      <c r="S15" s="4">
        <v>-78.9</v>
      </c>
      <c r="T15" s="4">
        <v>1479.0</v>
      </c>
      <c r="U15" s="4">
        <v>0.7</v>
      </c>
      <c r="V15" s="4">
        <v>19.1</v>
      </c>
      <c r="W15" s="4">
        <v>9.55</v>
      </c>
      <c r="X15" s="4">
        <v>105.2</v>
      </c>
      <c r="Y15" s="4">
        <v>492.0</v>
      </c>
      <c r="Z15" s="4">
        <v>1456.0</v>
      </c>
      <c r="AA15" s="4">
        <v>900.0</v>
      </c>
      <c r="AB15" s="4">
        <v>530.0</v>
      </c>
      <c r="AC15" s="4">
        <v>5.0</v>
      </c>
      <c r="AD15" s="4">
        <v>420.0</v>
      </c>
      <c r="AE15" s="4"/>
      <c r="AF15" s="4">
        <v>172.0</v>
      </c>
      <c r="AG15" s="4">
        <v>211.0</v>
      </c>
      <c r="AH15" s="4">
        <v>389.0</v>
      </c>
      <c r="AI15" s="4">
        <v>85.0</v>
      </c>
      <c r="AJ15" s="4">
        <v>50.0</v>
      </c>
      <c r="AK15" s="4">
        <v>160.0</v>
      </c>
      <c r="AL15" s="4">
        <v>8.0</v>
      </c>
      <c r="AM15" s="4"/>
      <c r="AN15" s="4"/>
      <c r="AO15" s="4"/>
      <c r="AP15" s="4"/>
      <c r="AQ15" s="4"/>
      <c r="AR15" s="4"/>
      <c r="AS15" s="4">
        <f t="shared" si="16"/>
        <v>0.1</v>
      </c>
      <c r="AT15" s="4">
        <v>0.05</v>
      </c>
      <c r="AU15" s="4">
        <f t="shared" si="17"/>
        <v>0.015</v>
      </c>
      <c r="AV15" s="4">
        <v>2.0</v>
      </c>
      <c r="AW15" s="4"/>
      <c r="AX15" s="4">
        <f>0.5*2</f>
        <v>1</v>
      </c>
      <c r="AY15" s="4">
        <v>6.0</v>
      </c>
      <c r="AZ15" s="4"/>
      <c r="BA15" s="4"/>
      <c r="BB15" s="4"/>
      <c r="BC15" s="4">
        <v>230.0</v>
      </c>
      <c r="BD15" s="4">
        <f t="shared" si="18"/>
        <v>15</v>
      </c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>
        <f t="shared" si="19"/>
        <v>0.0005</v>
      </c>
      <c r="CN15" s="4">
        <f t="shared" si="15"/>
        <v>0.025</v>
      </c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>
      <c r="A16" s="4" t="s">
        <v>202</v>
      </c>
      <c r="B16" s="4" t="s">
        <v>203</v>
      </c>
      <c r="C16" s="5" t="s">
        <v>198</v>
      </c>
      <c r="D16" s="5" t="s">
        <v>204</v>
      </c>
      <c r="E16" s="4" t="s">
        <v>171</v>
      </c>
      <c r="F16" s="4" t="s">
        <v>112</v>
      </c>
      <c r="G16" s="4" t="s">
        <v>113</v>
      </c>
      <c r="H16" s="4" t="s">
        <v>114</v>
      </c>
      <c r="I16" s="4" t="s">
        <v>205</v>
      </c>
      <c r="J16" s="4" t="s">
        <v>206</v>
      </c>
      <c r="K16" s="4" t="s">
        <v>207</v>
      </c>
      <c r="L16" s="4">
        <v>-22.3781</v>
      </c>
      <c r="M16" s="4">
        <v>-62.5186</v>
      </c>
      <c r="N16" s="4">
        <v>0.517</v>
      </c>
      <c r="O16" s="4">
        <v>22.0</v>
      </c>
      <c r="P16" s="4">
        <v>666.0</v>
      </c>
      <c r="Q16" s="4">
        <v>204.0</v>
      </c>
      <c r="R16" s="4">
        <v>8.366</v>
      </c>
      <c r="S16" s="4">
        <v>-79.8</v>
      </c>
      <c r="T16" s="4">
        <v>1502.0</v>
      </c>
      <c r="U16" s="4">
        <v>0.7</v>
      </c>
      <c r="V16" s="4">
        <v>15.5</v>
      </c>
      <c r="W16" s="4">
        <v>9.71</v>
      </c>
      <c r="X16" s="4">
        <v>99.7</v>
      </c>
      <c r="Y16" s="4">
        <v>348.0</v>
      </c>
      <c r="Z16" s="4">
        <v>1418.0</v>
      </c>
      <c r="AA16" s="4">
        <v>999.0</v>
      </c>
      <c r="AB16" s="4">
        <v>412.0</v>
      </c>
      <c r="AC16" s="4">
        <v>8.0</v>
      </c>
      <c r="AD16" s="4">
        <v>429.0</v>
      </c>
      <c r="AE16" s="4"/>
      <c r="AF16" s="4">
        <v>174.0</v>
      </c>
      <c r="AG16" s="4">
        <v>207.0</v>
      </c>
      <c r="AH16" s="4">
        <v>358.0</v>
      </c>
      <c r="AI16" s="4">
        <v>91.0</v>
      </c>
      <c r="AJ16" s="4">
        <v>49.0</v>
      </c>
      <c r="AK16" s="4">
        <v>160.0</v>
      </c>
      <c r="AL16" s="4">
        <v>8.0</v>
      </c>
      <c r="AM16" s="4"/>
      <c r="AN16" s="4"/>
      <c r="AO16" s="4"/>
      <c r="AP16" s="4"/>
      <c r="AQ16" s="4"/>
      <c r="AR16" s="4"/>
      <c r="AS16" s="4">
        <f t="shared" si="16"/>
        <v>0.1</v>
      </c>
      <c r="AT16" s="4">
        <v>0.07</v>
      </c>
      <c r="AU16" s="4">
        <f t="shared" si="17"/>
        <v>0.015</v>
      </c>
      <c r="AV16" s="4">
        <v>4.0</v>
      </c>
      <c r="AW16" s="4"/>
      <c r="AX16" s="4">
        <v>2.0</v>
      </c>
      <c r="AY16" s="4">
        <v>8.0</v>
      </c>
      <c r="AZ16" s="4"/>
      <c r="BA16" s="4"/>
      <c r="BB16" s="4"/>
      <c r="BC16" s="4">
        <v>930.0</v>
      </c>
      <c r="BD16" s="4">
        <f t="shared" si="18"/>
        <v>15</v>
      </c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>
        <f t="shared" si="19"/>
        <v>0.0005</v>
      </c>
      <c r="CN16" s="4">
        <f t="shared" si="15"/>
        <v>0.025</v>
      </c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>
      <c r="A17" s="4" t="s">
        <v>208</v>
      </c>
      <c r="B17" s="4" t="s">
        <v>209</v>
      </c>
      <c r="C17" s="5" t="s">
        <v>210</v>
      </c>
      <c r="D17" s="5" t="s">
        <v>127</v>
      </c>
      <c r="E17" s="4" t="s">
        <v>171</v>
      </c>
      <c r="F17" s="4" t="s">
        <v>112</v>
      </c>
      <c r="G17" s="4" t="s">
        <v>113</v>
      </c>
      <c r="H17" s="4" t="s">
        <v>192</v>
      </c>
      <c r="I17" s="4" t="s">
        <v>193</v>
      </c>
      <c r="J17" s="4" t="s">
        <v>211</v>
      </c>
      <c r="K17" s="4" t="s">
        <v>212</v>
      </c>
      <c r="L17" s="4">
        <v>-24.3586</v>
      </c>
      <c r="M17" s="4">
        <v>-60.3064</v>
      </c>
      <c r="N17" s="4"/>
      <c r="O17" s="4"/>
      <c r="P17" s="4">
        <v>738.0</v>
      </c>
      <c r="Q17" s="4">
        <v>115.6</v>
      </c>
      <c r="R17" s="4">
        <v>7.8</v>
      </c>
      <c r="S17" s="4">
        <v>-46.0</v>
      </c>
      <c r="T17" s="4">
        <v>1356.0</v>
      </c>
      <c r="U17" s="4">
        <v>0.6</v>
      </c>
      <c r="V17" s="4">
        <v>14.2</v>
      </c>
      <c r="W17" s="4">
        <v>5.66</v>
      </c>
      <c r="X17" s="4">
        <v>55.7</v>
      </c>
      <c r="Y17" s="4">
        <v>0.35</v>
      </c>
      <c r="Z17" s="4">
        <v>904.0</v>
      </c>
      <c r="AA17" s="4">
        <v>900.0</v>
      </c>
      <c r="AB17" s="4">
        <v>2.0</v>
      </c>
      <c r="AC17" s="4">
        <v>17.0</v>
      </c>
      <c r="AD17" s="4">
        <v>425.0</v>
      </c>
      <c r="AE17" s="4"/>
      <c r="AF17" s="4">
        <v>190.0</v>
      </c>
      <c r="AG17" s="4">
        <v>160.0</v>
      </c>
      <c r="AH17" s="4">
        <v>320.0</v>
      </c>
      <c r="AI17" s="4">
        <v>128.0</v>
      </c>
      <c r="AJ17" s="4">
        <v>25.0</v>
      </c>
      <c r="AK17" s="4">
        <v>143.0</v>
      </c>
      <c r="AL17" s="4">
        <v>7.0</v>
      </c>
      <c r="AM17" s="4"/>
      <c r="AN17" s="4"/>
      <c r="AO17" s="4"/>
      <c r="AP17" s="4"/>
      <c r="AQ17" s="4"/>
      <c r="AR17" s="4"/>
      <c r="AS17" s="4">
        <f t="shared" si="16"/>
        <v>0.1</v>
      </c>
      <c r="AT17" s="4">
        <v>0.09</v>
      </c>
      <c r="AU17" s="4">
        <f t="shared" si="17"/>
        <v>0.015</v>
      </c>
      <c r="AV17" s="4">
        <v>3.0</v>
      </c>
      <c r="AW17" s="4"/>
      <c r="AX17" s="4">
        <f>0.5*2</f>
        <v>1</v>
      </c>
      <c r="AY17" s="4">
        <v>17.0</v>
      </c>
      <c r="AZ17" s="4"/>
      <c r="BA17" s="4"/>
      <c r="BB17" s="4"/>
      <c r="BC17" s="4">
        <v>39000.0</v>
      </c>
      <c r="BD17" s="4">
        <f t="shared" si="18"/>
        <v>15</v>
      </c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>
      <c r="A18" s="4" t="s">
        <v>213</v>
      </c>
      <c r="B18" s="4" t="s">
        <v>214</v>
      </c>
      <c r="C18" s="5" t="s">
        <v>210</v>
      </c>
      <c r="D18" s="5" t="s">
        <v>215</v>
      </c>
      <c r="E18" s="4" t="s">
        <v>171</v>
      </c>
      <c r="F18" s="4" t="s">
        <v>112</v>
      </c>
      <c r="G18" s="4" t="s">
        <v>113</v>
      </c>
      <c r="H18" s="4" t="s">
        <v>216</v>
      </c>
      <c r="J18" s="4" t="s">
        <v>217</v>
      </c>
      <c r="K18" s="4" t="s">
        <v>218</v>
      </c>
      <c r="L18" s="4">
        <v>-24.7072</v>
      </c>
      <c r="M18" s="4">
        <v>-59.6464</v>
      </c>
      <c r="N18" s="4"/>
      <c r="O18" s="4"/>
      <c r="P18" s="4">
        <v>228.0</v>
      </c>
      <c r="Q18" s="4">
        <v>182.3</v>
      </c>
      <c r="R18" s="4">
        <v>8.088</v>
      </c>
      <c r="S18" s="4">
        <v>-64.0</v>
      </c>
      <c r="T18" s="4">
        <v>4400.0</v>
      </c>
      <c r="U18" s="4">
        <v>2.3</v>
      </c>
      <c r="V18" s="4">
        <v>15.7</v>
      </c>
      <c r="W18" s="4">
        <v>8.72</v>
      </c>
      <c r="X18" s="4">
        <v>87.8</v>
      </c>
      <c r="Y18" s="4">
        <v>57.7</v>
      </c>
      <c r="Z18" s="4">
        <v>3198.0</v>
      </c>
      <c r="AA18" s="4">
        <v>3012.0</v>
      </c>
      <c r="AB18" s="4">
        <v>134.0</v>
      </c>
      <c r="AC18" s="4">
        <v>16.0</v>
      </c>
      <c r="AD18" s="4">
        <v>828.0</v>
      </c>
      <c r="AE18" s="4"/>
      <c r="AF18" s="4">
        <v>261.0</v>
      </c>
      <c r="AG18" s="4">
        <v>596.0</v>
      </c>
      <c r="AH18" s="4">
        <v>1346.0</v>
      </c>
      <c r="AI18" s="4">
        <v>177.0</v>
      </c>
      <c r="AJ18" s="4">
        <v>94.0</v>
      </c>
      <c r="AK18" s="4">
        <v>820.0</v>
      </c>
      <c r="AL18" s="4">
        <v>69.0</v>
      </c>
      <c r="AM18" s="4"/>
      <c r="AN18" s="4"/>
      <c r="AO18" s="4"/>
      <c r="AP18" s="4"/>
      <c r="AQ18" s="4"/>
      <c r="AR18" s="4"/>
      <c r="AS18" s="4">
        <f t="shared" si="16"/>
        <v>0.1</v>
      </c>
      <c r="AT18" s="4">
        <v>0.14</v>
      </c>
      <c r="AU18" s="4">
        <f t="shared" si="17"/>
        <v>0.015</v>
      </c>
      <c r="AV18" s="4">
        <v>5.0</v>
      </c>
      <c r="AW18" s="4"/>
      <c r="AX18" s="4">
        <v>2.0</v>
      </c>
      <c r="AY18" s="4">
        <v>15.0</v>
      </c>
      <c r="AZ18" s="4"/>
      <c r="BA18" s="4"/>
      <c r="BB18" s="4"/>
      <c r="BC18" s="4">
        <v>750.0</v>
      </c>
      <c r="BD18" s="4">
        <v>91.0</v>
      </c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>
      <c r="A19" s="4" t="s">
        <v>219</v>
      </c>
      <c r="B19" s="4" t="s">
        <v>220</v>
      </c>
      <c r="C19" s="5" t="s">
        <v>210</v>
      </c>
      <c r="D19" s="5" t="s">
        <v>221</v>
      </c>
      <c r="E19" s="4" t="s">
        <v>171</v>
      </c>
      <c r="F19" s="4" t="s">
        <v>112</v>
      </c>
      <c r="G19" s="4" t="s">
        <v>113</v>
      </c>
      <c r="H19" s="4" t="s">
        <v>134</v>
      </c>
      <c r="J19" s="4" t="s">
        <v>222</v>
      </c>
      <c r="K19" s="4" t="s">
        <v>223</v>
      </c>
      <c r="L19" s="4">
        <v>-25.1487</v>
      </c>
      <c r="M19" s="4">
        <v>-59.6794</v>
      </c>
      <c r="N19" s="4"/>
      <c r="O19" s="4"/>
      <c r="P19" s="4">
        <v>28.3</v>
      </c>
      <c r="Q19" s="4">
        <v>151.3</v>
      </c>
      <c r="R19" s="4">
        <v>8.405</v>
      </c>
      <c r="S19" s="4">
        <v>-80.5</v>
      </c>
      <c r="T19" s="4">
        <v>35400.0</v>
      </c>
      <c r="U19" s="4">
        <v>21.8</v>
      </c>
      <c r="V19" s="4">
        <v>11.0</v>
      </c>
      <c r="W19" s="4">
        <v>7.96</v>
      </c>
      <c r="X19" s="4">
        <v>72.6</v>
      </c>
      <c r="Y19" s="4">
        <v>64.0</v>
      </c>
      <c r="Z19" s="4">
        <v>36004.0</v>
      </c>
      <c r="AA19" s="4">
        <v>33800.0</v>
      </c>
      <c r="AB19" s="4">
        <v>2198.0</v>
      </c>
      <c r="AC19" s="4">
        <v>27.0</v>
      </c>
      <c r="AD19" s="4">
        <v>4328.0</v>
      </c>
      <c r="AE19" s="4"/>
      <c r="AF19" s="4">
        <v>416.0</v>
      </c>
      <c r="AG19" s="4">
        <v>5561.0</v>
      </c>
      <c r="AH19" s="4">
        <v>20415.0</v>
      </c>
      <c r="AI19" s="4">
        <v>603.0</v>
      </c>
      <c r="AJ19" s="4">
        <v>685.0</v>
      </c>
      <c r="AK19" s="4">
        <v>10044.0</v>
      </c>
      <c r="AL19" s="4">
        <v>588.0</v>
      </c>
      <c r="AM19" s="4"/>
      <c r="AN19" s="4"/>
      <c r="AO19" s="4"/>
      <c r="AP19" s="4"/>
      <c r="AQ19" s="4"/>
      <c r="AR19" s="4"/>
      <c r="AS19" s="4">
        <v>2.3</v>
      </c>
      <c r="AT19" s="4">
        <f>0.5*0.05</f>
        <v>0.025</v>
      </c>
      <c r="AU19" s="4">
        <v>0.03</v>
      </c>
      <c r="AV19" s="4">
        <v>10.0</v>
      </c>
      <c r="AW19" s="4"/>
      <c r="AX19" s="4">
        <v>7.0</v>
      </c>
      <c r="AY19" s="4">
        <v>62.0</v>
      </c>
      <c r="AZ19" s="4"/>
      <c r="BA19" s="4"/>
      <c r="BB19" s="4"/>
      <c r="BC19" s="4">
        <v>1500.0</v>
      </c>
      <c r="BD19" s="4">
        <v>210.0</v>
      </c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>
      <c r="A20" s="4" t="s">
        <v>224</v>
      </c>
      <c r="B20" s="4" t="s">
        <v>225</v>
      </c>
      <c r="C20" s="5" t="s">
        <v>226</v>
      </c>
      <c r="D20" s="5" t="s">
        <v>227</v>
      </c>
      <c r="E20" s="4" t="s">
        <v>228</v>
      </c>
      <c r="F20" s="4" t="s">
        <v>112</v>
      </c>
      <c r="G20" s="4" t="s">
        <v>113</v>
      </c>
      <c r="H20" s="4" t="s">
        <v>229</v>
      </c>
      <c r="J20" s="4" t="s">
        <v>230</v>
      </c>
      <c r="K20" s="4" t="s">
        <v>231</v>
      </c>
      <c r="L20" s="4">
        <v>-22.5333</v>
      </c>
      <c r="M20" s="4">
        <v>-66.3481</v>
      </c>
      <c r="N20" s="4">
        <v>0.451</v>
      </c>
      <c r="O20" s="4">
        <v>0.0</v>
      </c>
      <c r="P20" s="4">
        <v>1180.0</v>
      </c>
      <c r="Q20" s="4">
        <v>140.9</v>
      </c>
      <c r="R20" s="4">
        <v>8.403</v>
      </c>
      <c r="S20" s="4">
        <v>-79.0</v>
      </c>
      <c r="T20" s="4">
        <v>847.0</v>
      </c>
      <c r="U20" s="4">
        <v>0.3</v>
      </c>
      <c r="V20" s="4">
        <v>5.3</v>
      </c>
      <c r="W20" s="4">
        <v>8.48</v>
      </c>
      <c r="X20" s="4">
        <v>106.3</v>
      </c>
      <c r="Y20" s="4">
        <v>16.6</v>
      </c>
      <c r="Z20" s="4">
        <v>569.0</v>
      </c>
      <c r="AA20" s="4">
        <v>562.0</v>
      </c>
      <c r="AB20" s="4">
        <v>7.0</v>
      </c>
      <c r="AC20" s="4">
        <v>5.0</v>
      </c>
      <c r="AD20" s="4">
        <v>136.1</v>
      </c>
      <c r="AE20" s="4">
        <v>10.0</v>
      </c>
      <c r="AF20" s="4">
        <v>95.0</v>
      </c>
      <c r="AG20" s="4">
        <v>173.5</v>
      </c>
      <c r="AH20" s="4">
        <v>58.1</v>
      </c>
      <c r="AI20" s="4">
        <v>37.67</v>
      </c>
      <c r="AJ20" s="4">
        <v>10.21</v>
      </c>
      <c r="AK20" s="4">
        <v>113.5</v>
      </c>
      <c r="AL20" s="4">
        <v>10.7</v>
      </c>
      <c r="AM20" s="4">
        <v>37.67</v>
      </c>
      <c r="AN20" s="4">
        <v>10.21</v>
      </c>
      <c r="AO20" s="4">
        <v>114.1</v>
      </c>
      <c r="AP20" s="4">
        <v>10.7</v>
      </c>
      <c r="AQ20" s="4"/>
      <c r="AR20" s="4">
        <v>0.31</v>
      </c>
      <c r="AS20" s="4">
        <v>0.15</v>
      </c>
      <c r="AT20" s="4">
        <f>0.5*0.06</f>
        <v>0.03</v>
      </c>
      <c r="AU20" s="4">
        <f t="shared" ref="AU20:AU28" si="20">0.5*0.02</f>
        <v>0.01</v>
      </c>
      <c r="AV20" s="4">
        <v>1.72</v>
      </c>
      <c r="AW20" s="4">
        <v>1.1</v>
      </c>
      <c r="AX20" s="4">
        <f>0.5*5</f>
        <v>2.5</v>
      </c>
      <c r="AY20" s="4">
        <v>5.0</v>
      </c>
      <c r="AZ20" s="4">
        <v>3.0</v>
      </c>
      <c r="BA20" s="4">
        <v>0.0</v>
      </c>
      <c r="BB20" s="4">
        <v>0.0</v>
      </c>
      <c r="BC20" s="4"/>
      <c r="BD20" s="4"/>
      <c r="BE20" s="4">
        <v>10.0</v>
      </c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>
        <f t="shared" ref="CK20:CK34" si="21">0.5*0.002</f>
        <v>0.001</v>
      </c>
      <c r="CL20" s="4">
        <f>0.5*0.001</f>
        <v>0.0005</v>
      </c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>
      <c r="A21" s="4" t="s">
        <v>232</v>
      </c>
      <c r="B21" s="4" t="s">
        <v>233</v>
      </c>
      <c r="C21" s="5" t="s">
        <v>234</v>
      </c>
      <c r="D21" s="5" t="s">
        <v>235</v>
      </c>
      <c r="E21" s="4" t="s">
        <v>228</v>
      </c>
      <c r="F21" s="4" t="s">
        <v>112</v>
      </c>
      <c r="G21" s="4" t="s">
        <v>113</v>
      </c>
      <c r="H21" s="4" t="s">
        <v>232</v>
      </c>
      <c r="I21" s="4" t="s">
        <v>236</v>
      </c>
      <c r="J21" s="4" t="s">
        <v>237</v>
      </c>
      <c r="K21" s="4" t="s">
        <v>238</v>
      </c>
      <c r="L21" s="4">
        <v>-22.0977</v>
      </c>
      <c r="M21" s="4">
        <v>-65.5861</v>
      </c>
      <c r="N21" s="4">
        <v>0.496</v>
      </c>
      <c r="O21" s="4">
        <v>0.0</v>
      </c>
      <c r="P21" s="4">
        <v>1027.0</v>
      </c>
      <c r="Q21" s="4">
        <v>76.1</v>
      </c>
      <c r="R21" s="4">
        <v>8.622</v>
      </c>
      <c r="S21" s="4">
        <v>-95.3</v>
      </c>
      <c r="T21" s="4">
        <v>969.0</v>
      </c>
      <c r="U21" s="4">
        <v>0.4</v>
      </c>
      <c r="V21" s="4">
        <v>18.9</v>
      </c>
      <c r="W21" s="4">
        <v>3.4</v>
      </c>
      <c r="X21" s="4">
        <v>55.7</v>
      </c>
      <c r="Y21" s="4">
        <v>110.0</v>
      </c>
      <c r="Z21" s="4">
        <v>673.0</v>
      </c>
      <c r="AA21" s="4">
        <v>590.0</v>
      </c>
      <c r="AB21" s="4">
        <v>83.0</v>
      </c>
      <c r="AC21" s="4">
        <v>44.0</v>
      </c>
      <c r="AD21" s="4">
        <v>190.1</v>
      </c>
      <c r="AE21" s="4">
        <v>5.0</v>
      </c>
      <c r="AF21" s="4">
        <v>250.0</v>
      </c>
      <c r="AG21" s="4">
        <v>92.7</v>
      </c>
      <c r="AH21" s="4">
        <v>83.6</v>
      </c>
      <c r="AI21" s="4">
        <v>23.24</v>
      </c>
      <c r="AJ21" s="4">
        <v>32.08</v>
      </c>
      <c r="AK21" s="4">
        <v>83.4</v>
      </c>
      <c r="AL21" s="4">
        <v>16.7</v>
      </c>
      <c r="AM21" s="4">
        <v>27.55</v>
      </c>
      <c r="AN21" s="4">
        <v>32.57</v>
      </c>
      <c r="AO21" s="4">
        <v>83.4</v>
      </c>
      <c r="AP21" s="4">
        <v>16.9</v>
      </c>
      <c r="AQ21" s="4"/>
      <c r="AR21" s="4">
        <v>10.49</v>
      </c>
      <c r="AS21" s="4">
        <v>9.93</v>
      </c>
      <c r="AT21" s="4">
        <v>10.73</v>
      </c>
      <c r="AU21" s="4">
        <f t="shared" si="20"/>
        <v>0.01</v>
      </c>
      <c r="AV21" s="4">
        <v>0.9</v>
      </c>
      <c r="AW21" s="4">
        <v>11.3</v>
      </c>
      <c r="AX21" s="4">
        <v>284.0</v>
      </c>
      <c r="AY21" s="4">
        <v>310.0</v>
      </c>
      <c r="AZ21" s="4">
        <v>1798.0</v>
      </c>
      <c r="BA21" s="4">
        <v>81000.0</v>
      </c>
      <c r="BB21" s="4">
        <v>72000.0</v>
      </c>
      <c r="BC21" s="4"/>
      <c r="BD21" s="4"/>
      <c r="BE21" s="4">
        <v>100000.0</v>
      </c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>
        <f t="shared" si="21"/>
        <v>0.001</v>
      </c>
      <c r="CL21" s="4">
        <v>0.058</v>
      </c>
      <c r="CM21" s="4">
        <f t="shared" ref="CM21:CM23" si="23">0.5*0.001</f>
        <v>0.0005</v>
      </c>
      <c r="CN21" s="4">
        <v>1.8</v>
      </c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>
      <c r="A22" s="4" t="s">
        <v>239</v>
      </c>
      <c r="B22" s="4" t="s">
        <v>240</v>
      </c>
      <c r="C22" s="5" t="s">
        <v>241</v>
      </c>
      <c r="D22" s="5" t="s">
        <v>242</v>
      </c>
      <c r="E22" s="4" t="s">
        <v>228</v>
      </c>
      <c r="F22" s="4" t="s">
        <v>112</v>
      </c>
      <c r="G22" s="4" t="s">
        <v>113</v>
      </c>
      <c r="H22" s="4" t="s">
        <v>243</v>
      </c>
      <c r="I22" s="4" t="s">
        <v>244</v>
      </c>
      <c r="J22" s="4" t="s">
        <v>245</v>
      </c>
      <c r="K22" s="4" t="s">
        <v>246</v>
      </c>
      <c r="L22" s="4">
        <v>-20.7423</v>
      </c>
      <c r="M22" s="4">
        <v>-65.2412</v>
      </c>
      <c r="N22" s="4">
        <v>0.48</v>
      </c>
      <c r="O22" s="4">
        <v>6.0</v>
      </c>
      <c r="P22" s="4">
        <v>865.0</v>
      </c>
      <c r="Q22" s="4">
        <v>160.5</v>
      </c>
      <c r="R22" s="4">
        <v>8.532</v>
      </c>
      <c r="S22" s="4">
        <v>-89.7</v>
      </c>
      <c r="T22" s="4">
        <v>1156.0</v>
      </c>
      <c r="U22" s="4">
        <v>0.5</v>
      </c>
      <c r="V22" s="4">
        <v>17.4</v>
      </c>
      <c r="W22" s="4">
        <v>7.4</v>
      </c>
      <c r="X22" s="4">
        <v>102.6</v>
      </c>
      <c r="Y22" s="4">
        <v>49.0</v>
      </c>
      <c r="Z22" s="4">
        <v>1017.0</v>
      </c>
      <c r="AA22" s="4">
        <v>966.0</v>
      </c>
      <c r="AB22" s="4">
        <v>51.0</v>
      </c>
      <c r="AC22" s="4">
        <v>6.0</v>
      </c>
      <c r="AD22" s="4">
        <v>520.5</v>
      </c>
      <c r="AE22" s="4">
        <v>5.0</v>
      </c>
      <c r="AF22" s="4">
        <v>120.0</v>
      </c>
      <c r="AG22" s="4">
        <v>54.1</v>
      </c>
      <c r="AH22" s="4">
        <v>422.8</v>
      </c>
      <c r="AI22" s="4">
        <v>33.66</v>
      </c>
      <c r="AJ22" s="4">
        <v>105.99</v>
      </c>
      <c r="AK22" s="4">
        <v>70.3</v>
      </c>
      <c r="AL22" s="4">
        <v>7.5</v>
      </c>
      <c r="AM22" s="4">
        <v>33.66</v>
      </c>
      <c r="AN22" s="4">
        <v>105.99</v>
      </c>
      <c r="AO22" s="4">
        <v>89.4</v>
      </c>
      <c r="AP22" s="4">
        <v>7.5</v>
      </c>
      <c r="AQ22" s="4"/>
      <c r="AR22" s="4">
        <v>0.46</v>
      </c>
      <c r="AS22" s="4">
        <v>0.15</v>
      </c>
      <c r="AT22" s="4">
        <v>1.12</v>
      </c>
      <c r="AU22" s="4">
        <f t="shared" si="20"/>
        <v>0.01</v>
      </c>
      <c r="AV22" s="4">
        <f t="shared" ref="AV22:AV29" si="24">0.5*0.01</f>
        <v>0.005</v>
      </c>
      <c r="AW22" s="4">
        <v>1.1</v>
      </c>
      <c r="AX22" s="4">
        <f t="shared" ref="AX22:AX28" si="25">0.5*5</f>
        <v>2.5</v>
      </c>
      <c r="AY22" s="4">
        <f t="shared" ref="AY22:AZ22" si="22">0.5*2</f>
        <v>1</v>
      </c>
      <c r="AZ22" s="4">
        <f t="shared" si="22"/>
        <v>1</v>
      </c>
      <c r="BA22" s="4">
        <v>88.0</v>
      </c>
      <c r="BB22" s="4">
        <v>38.0</v>
      </c>
      <c r="BC22" s="4"/>
      <c r="BD22" s="4"/>
      <c r="BE22" s="4">
        <v>8200.0</v>
      </c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>
        <f t="shared" si="21"/>
        <v>0.001</v>
      </c>
      <c r="CL22" s="4">
        <v>0.003</v>
      </c>
      <c r="CM22" s="4">
        <f t="shared" si="23"/>
        <v>0.0005</v>
      </c>
      <c r="CN22" s="4">
        <f t="shared" ref="CN22:CN23" si="27">0.5*0.05</f>
        <v>0.025</v>
      </c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>
      <c r="A23" s="4" t="s">
        <v>247</v>
      </c>
      <c r="B23" s="4" t="s">
        <v>248</v>
      </c>
      <c r="C23" s="5" t="s">
        <v>241</v>
      </c>
      <c r="D23" s="5" t="s">
        <v>110</v>
      </c>
      <c r="E23" s="4" t="s">
        <v>228</v>
      </c>
      <c r="F23" s="4" t="s">
        <v>112</v>
      </c>
      <c r="G23" s="4" t="s">
        <v>113</v>
      </c>
      <c r="H23" s="4" t="s">
        <v>249</v>
      </c>
      <c r="I23" s="4" t="s">
        <v>236</v>
      </c>
      <c r="J23" s="4" t="s">
        <v>250</v>
      </c>
      <c r="K23" s="4" t="s">
        <v>251</v>
      </c>
      <c r="L23" s="4">
        <v>-21.2386</v>
      </c>
      <c r="M23" s="4">
        <v>-65.2107</v>
      </c>
      <c r="N23" s="4">
        <v>0.522</v>
      </c>
      <c r="O23" s="4">
        <v>3.0</v>
      </c>
      <c r="P23" s="4">
        <v>723.0</v>
      </c>
      <c r="Q23" s="4">
        <v>183.0</v>
      </c>
      <c r="R23" s="4">
        <v>8.546</v>
      </c>
      <c r="S23" s="4">
        <v>-90.6</v>
      </c>
      <c r="T23" s="4">
        <v>1382.0</v>
      </c>
      <c r="U23" s="4">
        <v>0.6</v>
      </c>
      <c r="V23" s="4">
        <v>18.8</v>
      </c>
      <c r="W23" s="4">
        <v>8.2</v>
      </c>
      <c r="X23" s="4">
        <v>116.8</v>
      </c>
      <c r="Y23" s="4">
        <v>5.63</v>
      </c>
      <c r="Z23" s="4">
        <v>1192.0</v>
      </c>
      <c r="AA23" s="4">
        <v>1188.0</v>
      </c>
      <c r="AB23" s="4">
        <v>4.0</v>
      </c>
      <c r="AC23" s="4">
        <v>5.0</v>
      </c>
      <c r="AD23" s="4">
        <v>582.5</v>
      </c>
      <c r="AE23" s="4">
        <v>10.0</v>
      </c>
      <c r="AF23" s="4">
        <v>150.0</v>
      </c>
      <c r="AG23" s="4">
        <v>80.3</v>
      </c>
      <c r="AH23" s="4">
        <v>522.1</v>
      </c>
      <c r="AI23" s="4">
        <v>84.16</v>
      </c>
      <c r="AJ23" s="4">
        <v>90.43</v>
      </c>
      <c r="AK23" s="4">
        <v>104.4</v>
      </c>
      <c r="AL23" s="4">
        <v>7.2</v>
      </c>
      <c r="AM23" s="4">
        <v>84.16</v>
      </c>
      <c r="AN23" s="4">
        <v>90.43</v>
      </c>
      <c r="AO23" s="4">
        <v>106.2</v>
      </c>
      <c r="AP23" s="4">
        <v>7.2</v>
      </c>
      <c r="AQ23" s="4"/>
      <c r="AR23" s="4">
        <v>0.31</v>
      </c>
      <c r="AS23" s="4">
        <v>0.09</v>
      </c>
      <c r="AT23" s="4">
        <v>0.98</v>
      </c>
      <c r="AU23" s="4">
        <f t="shared" si="20"/>
        <v>0.01</v>
      </c>
      <c r="AV23" s="4">
        <f t="shared" si="24"/>
        <v>0.005</v>
      </c>
      <c r="AW23" s="4">
        <v>0.8</v>
      </c>
      <c r="AX23" s="4">
        <f t="shared" si="25"/>
        <v>2.5</v>
      </c>
      <c r="AY23" s="4">
        <f t="shared" ref="AY23:AZ23" si="26">0.5*2</f>
        <v>1</v>
      </c>
      <c r="AZ23" s="4">
        <f t="shared" si="26"/>
        <v>1</v>
      </c>
      <c r="BA23" s="4">
        <v>36.0</v>
      </c>
      <c r="BB23" s="4">
        <v>20.0</v>
      </c>
      <c r="BC23" s="4"/>
      <c r="BD23" s="4"/>
      <c r="BE23" s="4">
        <v>1400.0</v>
      </c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>
        <f t="shared" si="21"/>
        <v>0.001</v>
      </c>
      <c r="CL23" s="4">
        <v>0.001</v>
      </c>
      <c r="CM23" s="4">
        <f t="shared" si="23"/>
        <v>0.0005</v>
      </c>
      <c r="CN23" s="4">
        <f t="shared" si="27"/>
        <v>0.025</v>
      </c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>
      <c r="A24" s="4" t="s">
        <v>252</v>
      </c>
      <c r="B24" s="4" t="s">
        <v>253</v>
      </c>
      <c r="C24" s="5" t="s">
        <v>254</v>
      </c>
      <c r="D24" s="5" t="s">
        <v>255</v>
      </c>
      <c r="E24" s="4" t="s">
        <v>228</v>
      </c>
      <c r="F24" s="4" t="s">
        <v>112</v>
      </c>
      <c r="G24" s="4" t="s">
        <v>113</v>
      </c>
      <c r="H24" s="4" t="s">
        <v>249</v>
      </c>
      <c r="I24" s="4" t="s">
        <v>236</v>
      </c>
      <c r="J24" s="4" t="s">
        <v>256</v>
      </c>
      <c r="K24" s="4" t="s">
        <v>257</v>
      </c>
      <c r="L24" s="4">
        <v>-21.5604</v>
      </c>
      <c r="M24" s="4">
        <v>-65.6477</v>
      </c>
      <c r="N24" s="4">
        <v>0.734</v>
      </c>
      <c r="O24" s="4">
        <v>4.0</v>
      </c>
      <c r="P24" s="4">
        <v>862.0</v>
      </c>
      <c r="Q24" s="4">
        <v>150.6</v>
      </c>
      <c r="R24" s="4">
        <v>8.565</v>
      </c>
      <c r="S24" s="4">
        <v>-86.3</v>
      </c>
      <c r="T24" s="4">
        <v>1161.0</v>
      </c>
      <c r="U24" s="4">
        <v>0.5</v>
      </c>
      <c r="V24" s="4">
        <v>18.2</v>
      </c>
      <c r="W24" s="4">
        <v>6.83</v>
      </c>
      <c r="X24" s="4">
        <v>102.2</v>
      </c>
      <c r="Y24" s="4">
        <v>37.8</v>
      </c>
      <c r="Z24" s="4">
        <v>940.0</v>
      </c>
      <c r="AA24" s="4">
        <v>928.0</v>
      </c>
      <c r="AB24" s="4">
        <v>12.0</v>
      </c>
      <c r="AC24" s="4">
        <v>2.0</v>
      </c>
      <c r="AD24" s="4">
        <v>470.4</v>
      </c>
      <c r="AE24" s="4">
        <v>5.0</v>
      </c>
      <c r="AF24" s="4">
        <v>165.0</v>
      </c>
      <c r="AG24" s="4">
        <v>55.3</v>
      </c>
      <c r="AH24" s="4">
        <v>329.0</v>
      </c>
      <c r="AI24" s="4">
        <v>29.65</v>
      </c>
      <c r="AJ24" s="4">
        <v>96.3</v>
      </c>
      <c r="AK24" s="4">
        <v>98.0</v>
      </c>
      <c r="AL24" s="4">
        <v>5.5</v>
      </c>
      <c r="AM24" s="4">
        <v>30.46</v>
      </c>
      <c r="AN24" s="4">
        <v>96.8</v>
      </c>
      <c r="AO24" s="4">
        <v>98.0</v>
      </c>
      <c r="AP24" s="4">
        <v>5.6</v>
      </c>
      <c r="AQ24" s="4"/>
      <c r="AR24" s="4">
        <v>0.43</v>
      </c>
      <c r="AS24" s="4">
        <v>0.28</v>
      </c>
      <c r="AT24" s="4">
        <v>0.58</v>
      </c>
      <c r="AU24" s="4">
        <f t="shared" si="20"/>
        <v>0.01</v>
      </c>
      <c r="AV24" s="4">
        <f t="shared" si="24"/>
        <v>0.005</v>
      </c>
      <c r="AW24" s="4">
        <v>0.7</v>
      </c>
      <c r="AX24" s="4">
        <f t="shared" si="25"/>
        <v>2.5</v>
      </c>
      <c r="AY24" s="4">
        <f t="shared" ref="AY24:AZ24" si="28">0.5*2</f>
        <v>1</v>
      </c>
      <c r="AZ24" s="4">
        <f t="shared" si="28"/>
        <v>1</v>
      </c>
      <c r="BA24" s="4">
        <v>80.0</v>
      </c>
      <c r="BB24" s="4">
        <v>0.0</v>
      </c>
      <c r="BC24" s="4"/>
      <c r="BD24" s="4"/>
      <c r="BE24" s="4">
        <v>200.0</v>
      </c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>
        <f t="shared" si="21"/>
        <v>0.001</v>
      </c>
      <c r="CL24" s="4">
        <f t="shared" ref="CL24:CM24" si="29">0.5*0.001</f>
        <v>0.0005</v>
      </c>
      <c r="CM24" s="4">
        <f t="shared" si="29"/>
        <v>0.0005</v>
      </c>
      <c r="CN24" s="4">
        <v>0.09</v>
      </c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>
      <c r="A25" s="4" t="s">
        <v>258</v>
      </c>
      <c r="B25" s="4" t="s">
        <v>259</v>
      </c>
      <c r="C25" s="5" t="s">
        <v>254</v>
      </c>
      <c r="D25" s="5" t="s">
        <v>260</v>
      </c>
      <c r="E25" s="4" t="s">
        <v>228</v>
      </c>
      <c r="F25" s="4" t="s">
        <v>112</v>
      </c>
      <c r="G25" s="4" t="s">
        <v>113</v>
      </c>
      <c r="H25" s="4" t="s">
        <v>261</v>
      </c>
      <c r="I25" s="4" t="s">
        <v>236</v>
      </c>
      <c r="J25" s="4" t="s">
        <v>262</v>
      </c>
      <c r="K25" s="4" t="s">
        <v>263</v>
      </c>
      <c r="L25" s="4">
        <v>-21.5043</v>
      </c>
      <c r="M25" s="4">
        <v>-65.7061</v>
      </c>
      <c r="N25" s="4">
        <v>0.523</v>
      </c>
      <c r="O25" s="4">
        <v>1.0</v>
      </c>
      <c r="P25" s="4">
        <v>672.0</v>
      </c>
      <c r="Q25" s="4">
        <v>238.0</v>
      </c>
      <c r="R25" s="4">
        <v>8.817</v>
      </c>
      <c r="S25" s="4">
        <v>-101.6</v>
      </c>
      <c r="T25" s="4">
        <v>1489.0</v>
      </c>
      <c r="U25" s="4">
        <v>0.7</v>
      </c>
      <c r="V25" s="4">
        <v>20.8</v>
      </c>
      <c r="W25" s="4">
        <v>10.27</v>
      </c>
      <c r="X25" s="4">
        <v>162.9</v>
      </c>
      <c r="Y25" s="4">
        <v>24.9</v>
      </c>
      <c r="Z25" s="4">
        <v>1309.0</v>
      </c>
      <c r="AA25" s="4">
        <v>1306.0</v>
      </c>
      <c r="AB25" s="4">
        <v>3.0</v>
      </c>
      <c r="AC25" s="4">
        <v>10.0</v>
      </c>
      <c r="AD25" s="4">
        <v>714.7</v>
      </c>
      <c r="AE25" s="4">
        <f t="shared" ref="AE25:AE30" si="30">0.5*5</f>
        <v>2.5</v>
      </c>
      <c r="AF25" s="4">
        <v>165.0</v>
      </c>
      <c r="AG25" s="4">
        <v>60.1</v>
      </c>
      <c r="AH25" s="4">
        <v>614.0</v>
      </c>
      <c r="AI25" s="4">
        <v>26.45</v>
      </c>
      <c r="AJ25" s="4">
        <v>157.52</v>
      </c>
      <c r="AK25" s="4">
        <v>96.2</v>
      </c>
      <c r="AL25" s="4">
        <v>6.9</v>
      </c>
      <c r="AM25" s="4">
        <v>28.85</v>
      </c>
      <c r="AN25" s="4">
        <v>158.98</v>
      </c>
      <c r="AO25" s="4">
        <v>102.2</v>
      </c>
      <c r="AP25" s="4">
        <v>7.0</v>
      </c>
      <c r="AQ25" s="4"/>
      <c r="AR25" s="4">
        <v>0.83</v>
      </c>
      <c r="AS25" s="4">
        <v>0.71</v>
      </c>
      <c r="AT25" s="4">
        <v>2.58</v>
      </c>
      <c r="AU25" s="4">
        <f t="shared" si="20"/>
        <v>0.01</v>
      </c>
      <c r="AV25" s="4">
        <f t="shared" si="24"/>
        <v>0.005</v>
      </c>
      <c r="AW25" s="4">
        <v>1.4</v>
      </c>
      <c r="AX25" s="4">
        <f t="shared" si="25"/>
        <v>2.5</v>
      </c>
      <c r="AY25" s="4">
        <v>11.0</v>
      </c>
      <c r="AZ25" s="4">
        <v>10.0</v>
      </c>
      <c r="BA25" s="4">
        <v>170.0</v>
      </c>
      <c r="BB25" s="4">
        <v>20.0</v>
      </c>
      <c r="BC25" s="4"/>
      <c r="BD25" s="4"/>
      <c r="BE25" s="4">
        <v>150.0</v>
      </c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>
        <f t="shared" si="21"/>
        <v>0.001</v>
      </c>
      <c r="CL25" s="4">
        <v>0.002</v>
      </c>
      <c r="CM25" s="4">
        <f t="shared" ref="CM25:CM26" si="32">0.5*0.001</f>
        <v>0.0005</v>
      </c>
      <c r="CN25" s="4">
        <v>0.065</v>
      </c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>
      <c r="A26" s="4" t="s">
        <v>264</v>
      </c>
      <c r="B26" s="4" t="s">
        <v>265</v>
      </c>
      <c r="C26" s="5" t="s">
        <v>254</v>
      </c>
      <c r="D26" s="5" t="s">
        <v>266</v>
      </c>
      <c r="E26" s="4" t="s">
        <v>228</v>
      </c>
      <c r="F26" s="4" t="s">
        <v>112</v>
      </c>
      <c r="G26" s="4" t="s">
        <v>113</v>
      </c>
      <c r="H26" s="4" t="s">
        <v>264</v>
      </c>
      <c r="I26" s="4" t="s">
        <v>244</v>
      </c>
      <c r="J26" s="4" t="s">
        <v>267</v>
      </c>
      <c r="K26" s="4" t="s">
        <v>268</v>
      </c>
      <c r="L26" s="4">
        <v>-20.8207</v>
      </c>
      <c r="M26" s="4">
        <v>-65.6675</v>
      </c>
      <c r="N26" s="4">
        <v>0.804</v>
      </c>
      <c r="O26" s="4">
        <v>2.0</v>
      </c>
      <c r="P26" s="4">
        <v>615.0</v>
      </c>
      <c r="Q26" s="4">
        <v>160.5</v>
      </c>
      <c r="R26" s="4">
        <v>8.201</v>
      </c>
      <c r="S26" s="4">
        <v>-64.8</v>
      </c>
      <c r="T26" s="4">
        <v>1625.0</v>
      </c>
      <c r="U26" s="4">
        <v>0.8</v>
      </c>
      <c r="V26" s="4">
        <v>14.0</v>
      </c>
      <c r="W26" s="4">
        <v>7.91</v>
      </c>
      <c r="X26" s="4">
        <v>104.8</v>
      </c>
      <c r="Y26" s="4">
        <v>81.6</v>
      </c>
      <c r="Z26" s="4">
        <v>1669.0</v>
      </c>
      <c r="AA26" s="4">
        <v>1630.0</v>
      </c>
      <c r="AB26" s="4">
        <v>39.0</v>
      </c>
      <c r="AC26" s="4">
        <v>3.0</v>
      </c>
      <c r="AD26" s="4">
        <v>850.8</v>
      </c>
      <c r="AE26" s="4">
        <f t="shared" si="30"/>
        <v>2.5</v>
      </c>
      <c r="AF26" s="4">
        <v>700.0</v>
      </c>
      <c r="AG26" s="4">
        <v>40.0</v>
      </c>
      <c r="AH26" s="4">
        <v>800.6</v>
      </c>
      <c r="AI26" s="4">
        <v>44.88</v>
      </c>
      <c r="AJ26" s="4">
        <v>179.4</v>
      </c>
      <c r="AK26" s="4">
        <v>84.2</v>
      </c>
      <c r="AL26" s="4">
        <v>5.8</v>
      </c>
      <c r="AM26" s="4">
        <v>46.49</v>
      </c>
      <c r="AN26" s="4">
        <v>183.78</v>
      </c>
      <c r="AO26" s="4">
        <v>84.3</v>
      </c>
      <c r="AP26" s="4">
        <v>6.6</v>
      </c>
      <c r="AQ26" s="4"/>
      <c r="AR26" s="4">
        <v>0.34</v>
      </c>
      <c r="AS26" s="4">
        <v>0.15</v>
      </c>
      <c r="AT26" s="4">
        <v>3.1</v>
      </c>
      <c r="AU26" s="4">
        <f t="shared" si="20"/>
        <v>0.01</v>
      </c>
      <c r="AV26" s="4">
        <f t="shared" si="24"/>
        <v>0.005</v>
      </c>
      <c r="AW26" s="4">
        <v>0.7</v>
      </c>
      <c r="AX26" s="4">
        <f t="shared" si="25"/>
        <v>2.5</v>
      </c>
      <c r="AY26" s="4">
        <f t="shared" ref="AY26:AZ26" si="31">0.5*2</f>
        <v>1</v>
      </c>
      <c r="AZ26" s="4">
        <f t="shared" si="31"/>
        <v>1</v>
      </c>
      <c r="BA26" s="4">
        <v>40.0</v>
      </c>
      <c r="BB26" s="4">
        <v>15.0</v>
      </c>
      <c r="BC26" s="4"/>
      <c r="BD26" s="4"/>
      <c r="BE26" s="4">
        <v>10.0</v>
      </c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>
        <f t="shared" si="21"/>
        <v>0.001</v>
      </c>
      <c r="CL26" s="4">
        <v>0.002</v>
      </c>
      <c r="CM26" s="4">
        <f t="shared" si="32"/>
        <v>0.0005</v>
      </c>
      <c r="CN26" s="4">
        <f t="shared" ref="CN26:CN27" si="35">0.5*0.05</f>
        <v>0.025</v>
      </c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>
      <c r="A27" s="4" t="s">
        <v>243</v>
      </c>
      <c r="B27" s="4" t="s">
        <v>269</v>
      </c>
      <c r="C27" s="5" t="s">
        <v>254</v>
      </c>
      <c r="D27" s="5" t="s">
        <v>270</v>
      </c>
      <c r="E27" s="4" t="s">
        <v>228</v>
      </c>
      <c r="F27" s="4" t="s">
        <v>112</v>
      </c>
      <c r="G27" s="4" t="s">
        <v>113</v>
      </c>
      <c r="H27" s="4" t="s">
        <v>243</v>
      </c>
      <c r="I27" s="4" t="s">
        <v>244</v>
      </c>
      <c r="J27" s="4" t="s">
        <v>271</v>
      </c>
      <c r="K27" s="4" t="s">
        <v>272</v>
      </c>
      <c r="L27" s="4">
        <v>-20.4865</v>
      </c>
      <c r="M27" s="4">
        <v>-65.6199</v>
      </c>
      <c r="N27" s="4">
        <v>0.605</v>
      </c>
      <c r="O27" s="4">
        <v>5.0</v>
      </c>
      <c r="P27" s="4">
        <v>1527.0</v>
      </c>
      <c r="Q27" s="4">
        <v>155.9</v>
      </c>
      <c r="R27" s="4">
        <v>8.545</v>
      </c>
      <c r="S27" s="4">
        <v>-82.6</v>
      </c>
      <c r="T27" s="4">
        <v>655.0</v>
      </c>
      <c r="U27" s="4">
        <v>0.2</v>
      </c>
      <c r="V27" s="4">
        <v>9.6</v>
      </c>
      <c r="W27" s="4">
        <v>8.47</v>
      </c>
      <c r="X27" s="4">
        <v>100.4</v>
      </c>
      <c r="Y27" s="4">
        <v>132.0</v>
      </c>
      <c r="Z27" s="4">
        <v>551.0</v>
      </c>
      <c r="AA27" s="4">
        <v>480.0</v>
      </c>
      <c r="AB27" s="4">
        <v>123.0</v>
      </c>
      <c r="AC27" s="4">
        <v>12.0</v>
      </c>
      <c r="AD27" s="4">
        <v>298.3</v>
      </c>
      <c r="AE27" s="4">
        <f t="shared" si="30"/>
        <v>2.5</v>
      </c>
      <c r="AF27" s="4">
        <v>110.0</v>
      </c>
      <c r="AG27" s="4">
        <v>36.4</v>
      </c>
      <c r="AH27" s="4">
        <v>166.4</v>
      </c>
      <c r="AI27" s="4">
        <v>16.03</v>
      </c>
      <c r="AJ27" s="4">
        <v>62.71</v>
      </c>
      <c r="AK27" s="4">
        <v>58.8</v>
      </c>
      <c r="AL27" s="4">
        <v>4.7</v>
      </c>
      <c r="AM27" s="4">
        <v>17.63</v>
      </c>
      <c r="AN27" s="4">
        <v>63.2</v>
      </c>
      <c r="AO27" s="4">
        <v>59.9</v>
      </c>
      <c r="AP27" s="4">
        <v>4.7</v>
      </c>
      <c r="AQ27" s="4"/>
      <c r="AR27" s="4">
        <v>0.83</v>
      </c>
      <c r="AS27" s="4">
        <v>0.34</v>
      </c>
      <c r="AT27" s="4">
        <v>0.71</v>
      </c>
      <c r="AU27" s="4">
        <f t="shared" si="20"/>
        <v>0.01</v>
      </c>
      <c r="AV27" s="4">
        <f t="shared" si="24"/>
        <v>0.005</v>
      </c>
      <c r="AW27" s="4">
        <v>0.7</v>
      </c>
      <c r="AX27" s="4">
        <f t="shared" si="25"/>
        <v>2.5</v>
      </c>
      <c r="AY27" s="4">
        <f t="shared" ref="AY27:AZ27" si="33">0.5*2</f>
        <v>1</v>
      </c>
      <c r="AZ27" s="4">
        <f t="shared" si="33"/>
        <v>1</v>
      </c>
      <c r="BA27" s="4">
        <v>220.0</v>
      </c>
      <c r="BB27" s="4">
        <v>8.0</v>
      </c>
      <c r="BC27" s="4"/>
      <c r="BD27" s="4"/>
      <c r="BE27" s="4">
        <v>20.0</v>
      </c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>
        <f t="shared" si="21"/>
        <v>0.001</v>
      </c>
      <c r="CL27" s="4">
        <f t="shared" ref="CL27:CM27" si="34">0.5*0.001</f>
        <v>0.0005</v>
      </c>
      <c r="CM27" s="4">
        <f t="shared" si="34"/>
        <v>0.0005</v>
      </c>
      <c r="CN27" s="4">
        <f t="shared" si="35"/>
        <v>0.025</v>
      </c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>
      <c r="A28" s="4" t="s">
        <v>273</v>
      </c>
      <c r="B28" s="4" t="s">
        <v>274</v>
      </c>
      <c r="C28" s="5" t="s">
        <v>275</v>
      </c>
      <c r="D28" s="5" t="s">
        <v>276</v>
      </c>
      <c r="E28" s="4" t="s">
        <v>228</v>
      </c>
      <c r="F28" s="4" t="s">
        <v>112</v>
      </c>
      <c r="G28" s="4" t="s">
        <v>113</v>
      </c>
      <c r="H28" s="4" t="s">
        <v>277</v>
      </c>
      <c r="I28" s="4" t="s">
        <v>278</v>
      </c>
      <c r="J28" s="4" t="s">
        <v>279</v>
      </c>
      <c r="K28" s="4" t="s">
        <v>280</v>
      </c>
      <c r="L28" s="4">
        <v>-19.5976</v>
      </c>
      <c r="M28" s="4">
        <v>-65.7312</v>
      </c>
      <c r="N28" s="4">
        <v>0.046</v>
      </c>
      <c r="O28" s="4">
        <v>0.0</v>
      </c>
      <c r="P28" s="4">
        <v>5010.0</v>
      </c>
      <c r="Q28" s="4">
        <v>121.6</v>
      </c>
      <c r="R28" s="4">
        <v>7.7</v>
      </c>
      <c r="S28" s="4">
        <v>-36.3</v>
      </c>
      <c r="T28" s="4">
        <v>199.2</v>
      </c>
      <c r="U28" s="4">
        <v>0.0</v>
      </c>
      <c r="V28" s="4">
        <v>11.3</v>
      </c>
      <c r="W28" s="4">
        <v>6.35</v>
      </c>
      <c r="X28" s="4">
        <v>96.9</v>
      </c>
      <c r="Y28" s="4">
        <v>4.87</v>
      </c>
      <c r="Z28" s="4">
        <v>117.0</v>
      </c>
      <c r="AA28" s="4">
        <v>114.0</v>
      </c>
      <c r="AB28" s="4">
        <v>3.0</v>
      </c>
      <c r="AC28" s="4">
        <v>23.0</v>
      </c>
      <c r="AD28" s="4">
        <v>86.0</v>
      </c>
      <c r="AE28" s="4">
        <f t="shared" si="30"/>
        <v>2.5</v>
      </c>
      <c r="AF28" s="4">
        <v>75.0</v>
      </c>
      <c r="AG28" s="4">
        <v>6.2</v>
      </c>
      <c r="AH28" s="4">
        <v>15.4</v>
      </c>
      <c r="AI28" s="4">
        <v>21.64</v>
      </c>
      <c r="AJ28" s="4">
        <v>7.77</v>
      </c>
      <c r="AK28" s="4">
        <v>9.3</v>
      </c>
      <c r="AL28" s="4">
        <v>1.7</v>
      </c>
      <c r="AM28" s="4">
        <v>21.64</v>
      </c>
      <c r="AN28" s="4">
        <v>9.23</v>
      </c>
      <c r="AO28" s="4">
        <v>9.3</v>
      </c>
      <c r="AP28" s="4">
        <v>2.7</v>
      </c>
      <c r="AQ28" s="4"/>
      <c r="AR28" s="4">
        <v>0.18</v>
      </c>
      <c r="AS28" s="4">
        <v>0.09</v>
      </c>
      <c r="AT28" s="4">
        <v>0.08</v>
      </c>
      <c r="AU28" s="4">
        <f t="shared" si="20"/>
        <v>0.01</v>
      </c>
      <c r="AV28" s="4">
        <f t="shared" si="24"/>
        <v>0.005</v>
      </c>
      <c r="AW28" s="4">
        <v>0.7</v>
      </c>
      <c r="AX28" s="4">
        <f t="shared" si="25"/>
        <v>2.5</v>
      </c>
      <c r="AY28" s="4">
        <f t="shared" ref="AY28:AZ28" si="36">0.5*2</f>
        <v>1</v>
      </c>
      <c r="AZ28" s="4">
        <f t="shared" si="36"/>
        <v>1</v>
      </c>
      <c r="BA28" s="4">
        <v>90.0</v>
      </c>
      <c r="BB28" s="4">
        <v>0.0</v>
      </c>
      <c r="BC28" s="4"/>
      <c r="BD28" s="4"/>
      <c r="BE28" s="4">
        <v>140.0</v>
      </c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>
        <f t="shared" si="21"/>
        <v>0.001</v>
      </c>
      <c r="CL28" s="4">
        <v>0.002</v>
      </c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>
      <c r="A29" s="4" t="s">
        <v>281</v>
      </c>
      <c r="B29" s="4" t="s">
        <v>282</v>
      </c>
      <c r="C29" s="5" t="s">
        <v>275</v>
      </c>
      <c r="D29" s="5" t="s">
        <v>283</v>
      </c>
      <c r="E29" s="4" t="s">
        <v>228</v>
      </c>
      <c r="F29" s="4" t="s">
        <v>112</v>
      </c>
      <c r="G29" s="4" t="s">
        <v>113</v>
      </c>
      <c r="H29" s="4" t="s">
        <v>281</v>
      </c>
      <c r="I29" s="4" t="s">
        <v>278</v>
      </c>
      <c r="J29" s="4" t="s">
        <v>284</v>
      </c>
      <c r="K29" s="4" t="s">
        <v>285</v>
      </c>
      <c r="L29" s="4">
        <v>-19.4718</v>
      </c>
      <c r="M29" s="4">
        <v>-65.7943</v>
      </c>
      <c r="N29" s="4">
        <v>0.71</v>
      </c>
      <c r="O29" s="4">
        <v>1.0</v>
      </c>
      <c r="P29" s="4">
        <v>1160.0</v>
      </c>
      <c r="Q29" s="4">
        <v>131.1</v>
      </c>
      <c r="R29" s="4">
        <v>7.961</v>
      </c>
      <c r="S29" s="4">
        <v>-50.4</v>
      </c>
      <c r="T29" s="4">
        <v>861.0</v>
      </c>
      <c r="U29" s="4">
        <v>0.3</v>
      </c>
      <c r="V29" s="4">
        <v>7.7</v>
      </c>
      <c r="W29" s="4">
        <v>7.43</v>
      </c>
      <c r="X29" s="4">
        <v>92.6</v>
      </c>
      <c r="Y29" s="4">
        <v>98.9</v>
      </c>
      <c r="Z29" s="4">
        <v>622.0</v>
      </c>
      <c r="AA29" s="4">
        <v>544.0</v>
      </c>
      <c r="AB29" s="4">
        <v>78.0</v>
      </c>
      <c r="AC29" s="4">
        <v>16.0</v>
      </c>
      <c r="AD29" s="4">
        <v>214.2</v>
      </c>
      <c r="AE29" s="4">
        <f t="shared" si="30"/>
        <v>2.5</v>
      </c>
      <c r="AF29" s="4">
        <v>115.0</v>
      </c>
      <c r="AG29" s="4">
        <v>66.7</v>
      </c>
      <c r="AH29" s="4">
        <v>177.4</v>
      </c>
      <c r="AI29" s="4">
        <v>37.67</v>
      </c>
      <c r="AJ29" s="4">
        <v>29.17</v>
      </c>
      <c r="AK29" s="4">
        <v>81.9</v>
      </c>
      <c r="AL29" s="4">
        <v>12.5</v>
      </c>
      <c r="AM29" s="4">
        <v>38.47</v>
      </c>
      <c r="AN29" s="4">
        <v>29.17</v>
      </c>
      <c r="AO29" s="4">
        <v>83.7</v>
      </c>
      <c r="AP29" s="4">
        <v>12.5</v>
      </c>
      <c r="AQ29" s="4"/>
      <c r="AR29" s="4">
        <v>0.52</v>
      </c>
      <c r="AS29" s="4">
        <v>0.49</v>
      </c>
      <c r="AT29" s="4">
        <v>21.24</v>
      </c>
      <c r="AU29" s="4">
        <v>52.22</v>
      </c>
      <c r="AV29" s="4">
        <f t="shared" si="24"/>
        <v>0.005</v>
      </c>
      <c r="AW29" s="4">
        <v>4.2</v>
      </c>
      <c r="AX29" s="4">
        <v>26.0</v>
      </c>
      <c r="AY29" s="4">
        <v>45.0</v>
      </c>
      <c r="AZ29" s="4">
        <v>263.0</v>
      </c>
      <c r="BA29" s="4">
        <v>120.0</v>
      </c>
      <c r="BB29" s="4">
        <v>10.0</v>
      </c>
      <c r="BC29" s="4"/>
      <c r="BD29" s="4"/>
      <c r="BE29" s="4">
        <v>240.0</v>
      </c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>
        <f t="shared" si="21"/>
        <v>0.001</v>
      </c>
      <c r="CL29" s="4">
        <v>0.001</v>
      </c>
      <c r="CM29" s="4">
        <f t="shared" ref="CM29:CM30" si="37">0.5*0.001</f>
        <v>0.0005</v>
      </c>
      <c r="CN29" s="4">
        <v>2.3</v>
      </c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>
      <c r="A30" s="4" t="s">
        <v>286</v>
      </c>
      <c r="B30" s="4" t="s">
        <v>287</v>
      </c>
      <c r="C30" s="5" t="s">
        <v>275</v>
      </c>
      <c r="D30" s="5" t="s">
        <v>288</v>
      </c>
      <c r="E30" s="4" t="s">
        <v>228</v>
      </c>
      <c r="F30" s="4" t="s">
        <v>112</v>
      </c>
      <c r="G30" s="4" t="s">
        <v>113</v>
      </c>
      <c r="H30" s="4" t="s">
        <v>289</v>
      </c>
      <c r="I30" s="4" t="s">
        <v>278</v>
      </c>
      <c r="J30" s="4" t="s">
        <v>290</v>
      </c>
      <c r="K30" s="4" t="s">
        <v>291</v>
      </c>
      <c r="L30" s="4">
        <v>-19.5781</v>
      </c>
      <c r="M30" s="4">
        <v>-65.8034</v>
      </c>
      <c r="N30" s="4">
        <v>0.325</v>
      </c>
      <c r="O30" s="4">
        <v>0.0</v>
      </c>
      <c r="P30" s="4">
        <v>804.0</v>
      </c>
      <c r="Q30" s="4">
        <v>129.6</v>
      </c>
      <c r="R30" s="4">
        <v>7.143</v>
      </c>
      <c r="S30" s="4">
        <v>-5.5</v>
      </c>
      <c r="T30" s="4">
        <v>1243.0</v>
      </c>
      <c r="U30" s="4">
        <v>0.5</v>
      </c>
      <c r="V30" s="4">
        <v>4.7</v>
      </c>
      <c r="W30" s="4">
        <v>7.92</v>
      </c>
      <c r="X30" s="4">
        <v>93.7</v>
      </c>
      <c r="Y30" s="4">
        <v>424.0</v>
      </c>
      <c r="Z30" s="4">
        <v>1333.0</v>
      </c>
      <c r="AA30" s="4">
        <v>844.0</v>
      </c>
      <c r="AB30" s="4">
        <v>489.0</v>
      </c>
      <c r="AC30" s="4">
        <v>17.0</v>
      </c>
      <c r="AD30" s="4">
        <v>60.0</v>
      </c>
      <c r="AE30" s="4">
        <f t="shared" si="30"/>
        <v>2.5</v>
      </c>
      <c r="AF30" s="4">
        <f>0.5*5</f>
        <v>2.5</v>
      </c>
      <c r="AG30" s="4">
        <v>68.1</v>
      </c>
      <c r="AH30" s="4">
        <v>387.9</v>
      </c>
      <c r="AI30" s="4">
        <v>9.61</v>
      </c>
      <c r="AJ30" s="4">
        <v>8.75</v>
      </c>
      <c r="AK30" s="4">
        <v>79.6</v>
      </c>
      <c r="AL30" s="4">
        <v>21.5</v>
      </c>
      <c r="AM30" s="4">
        <v>9.61</v>
      </c>
      <c r="AN30" s="4">
        <v>8.75</v>
      </c>
      <c r="AO30" s="4">
        <v>79.6</v>
      </c>
      <c r="AP30" s="4">
        <v>21.6</v>
      </c>
      <c r="AQ30" s="4"/>
      <c r="AR30" s="4">
        <v>0.18</v>
      </c>
      <c r="AS30" s="4">
        <v>0.09</v>
      </c>
      <c r="AT30" s="4">
        <v>35.69</v>
      </c>
      <c r="AU30" s="4">
        <f t="shared" ref="AU30:AU34" si="38">0.5*0.02</f>
        <v>0.01</v>
      </c>
      <c r="AV30" s="4">
        <v>1.13</v>
      </c>
      <c r="AW30" s="4">
        <v>6.3</v>
      </c>
      <c r="AX30" s="4">
        <v>48.0</v>
      </c>
      <c r="AY30" s="4">
        <v>89.0</v>
      </c>
      <c r="AZ30" s="4">
        <v>514.0</v>
      </c>
      <c r="BA30" s="4">
        <v>180.0</v>
      </c>
      <c r="BB30" s="4">
        <v>64.0</v>
      </c>
      <c r="BC30" s="4"/>
      <c r="BD30" s="4"/>
      <c r="BE30" s="4">
        <v>0.0</v>
      </c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>
        <f t="shared" si="21"/>
        <v>0.001</v>
      </c>
      <c r="CL30" s="4">
        <v>0.004</v>
      </c>
      <c r="CM30" s="4">
        <f t="shared" si="37"/>
        <v>0.0005</v>
      </c>
      <c r="CN30" s="4">
        <v>3.6</v>
      </c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>
      <c r="A31" s="4" t="s">
        <v>292</v>
      </c>
      <c r="B31" s="4" t="s">
        <v>293</v>
      </c>
      <c r="C31" s="5" t="s">
        <v>294</v>
      </c>
      <c r="D31" s="5" t="s">
        <v>295</v>
      </c>
      <c r="E31" s="4" t="s">
        <v>228</v>
      </c>
      <c r="F31" s="4" t="s">
        <v>112</v>
      </c>
      <c r="G31" s="4" t="s">
        <v>113</v>
      </c>
      <c r="H31" s="4" t="s">
        <v>296</v>
      </c>
      <c r="J31" s="4" t="s">
        <v>297</v>
      </c>
      <c r="K31" s="4" t="s">
        <v>298</v>
      </c>
      <c r="L31" s="4">
        <v>-19.1437</v>
      </c>
      <c r="M31" s="4">
        <v>-65.5655</v>
      </c>
      <c r="N31" s="4">
        <v>0.796</v>
      </c>
      <c r="O31" s="4">
        <v>0.0</v>
      </c>
      <c r="P31" s="4">
        <v>1410.0</v>
      </c>
      <c r="Q31" s="4">
        <v>149.9</v>
      </c>
      <c r="R31" s="4">
        <v>8.609</v>
      </c>
      <c r="S31" s="4">
        <v>-89.0</v>
      </c>
      <c r="T31" s="4">
        <v>709.0</v>
      </c>
      <c r="U31" s="4">
        <v>0.3</v>
      </c>
      <c r="V31" s="4">
        <v>18.5</v>
      </c>
      <c r="W31" s="4">
        <v>6.76</v>
      </c>
      <c r="X31" s="4">
        <v>101.2</v>
      </c>
      <c r="Y31" s="4">
        <v>33.6</v>
      </c>
      <c r="Z31" s="4">
        <v>487.0</v>
      </c>
      <c r="AA31" s="4">
        <v>464.0</v>
      </c>
      <c r="AB31" s="4">
        <v>23.0</v>
      </c>
      <c r="AC31" s="4">
        <v>2.0</v>
      </c>
      <c r="AD31" s="4">
        <v>354.3</v>
      </c>
      <c r="AE31" s="4">
        <v>15.0</v>
      </c>
      <c r="AF31" s="4">
        <v>190.0</v>
      </c>
      <c r="AG31" s="4">
        <v>6.6</v>
      </c>
      <c r="AH31" s="4">
        <v>65.4</v>
      </c>
      <c r="AI31" s="4">
        <v>32.06</v>
      </c>
      <c r="AJ31" s="4">
        <v>66.6</v>
      </c>
      <c r="AK31" s="4">
        <v>20.4</v>
      </c>
      <c r="AL31" s="4">
        <v>5.4</v>
      </c>
      <c r="AM31" s="4">
        <v>36.07</v>
      </c>
      <c r="AN31" s="4">
        <v>67.58</v>
      </c>
      <c r="AO31" s="4">
        <v>20.5</v>
      </c>
      <c r="AP31" s="4">
        <v>5.9</v>
      </c>
      <c r="AQ31" s="4"/>
      <c r="AR31" s="4">
        <v>0.8</v>
      </c>
      <c r="AS31" s="4">
        <v>0.25</v>
      </c>
      <c r="AT31" s="4">
        <v>1.2</v>
      </c>
      <c r="AU31" s="4">
        <f t="shared" si="38"/>
        <v>0.01</v>
      </c>
      <c r="AV31" s="4">
        <f>0.5*0.01</f>
        <v>0.005</v>
      </c>
      <c r="AW31" s="4">
        <v>1.1</v>
      </c>
      <c r="AX31" s="4">
        <f t="shared" ref="AX31:AX34" si="41">0.5*5</f>
        <v>2.5</v>
      </c>
      <c r="AY31" s="4">
        <f t="shared" ref="AY31:AZ31" si="39">0.5*2</f>
        <v>1</v>
      </c>
      <c r="AZ31" s="4">
        <f t="shared" si="39"/>
        <v>1</v>
      </c>
      <c r="BA31" s="4">
        <v>10.0</v>
      </c>
      <c r="BB31" s="4">
        <v>3.0</v>
      </c>
      <c r="BC31" s="4"/>
      <c r="BD31" s="4"/>
      <c r="BE31" s="4">
        <v>120.0</v>
      </c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>
        <f t="shared" si="21"/>
        <v>0.001</v>
      </c>
      <c r="CL31" s="4">
        <f t="shared" ref="CL31:CM31" si="40">0.5*0.001</f>
        <v>0.0005</v>
      </c>
      <c r="CM31" s="4">
        <f t="shared" si="40"/>
        <v>0.0005</v>
      </c>
      <c r="CN31" s="4">
        <f>0.5*0.05</f>
        <v>0.025</v>
      </c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>
      <c r="A32" s="4" t="s">
        <v>299</v>
      </c>
      <c r="B32" s="4" t="s">
        <v>300</v>
      </c>
      <c r="C32" s="5" t="s">
        <v>294</v>
      </c>
      <c r="D32" s="5" t="s">
        <v>301</v>
      </c>
      <c r="E32" s="4" t="s">
        <v>228</v>
      </c>
      <c r="F32" s="4" t="s">
        <v>112</v>
      </c>
      <c r="G32" s="4" t="s">
        <v>113</v>
      </c>
      <c r="H32" s="4" t="s">
        <v>114</v>
      </c>
      <c r="J32" s="4" t="s">
        <v>302</v>
      </c>
      <c r="K32" s="4" t="s">
        <v>303</v>
      </c>
      <c r="L32" s="4">
        <v>-19.1324</v>
      </c>
      <c r="M32" s="4">
        <v>-65.5722</v>
      </c>
      <c r="N32" s="4">
        <v>0.915</v>
      </c>
      <c r="O32" s="4">
        <v>5.0</v>
      </c>
      <c r="P32" s="4">
        <v>1030.0</v>
      </c>
      <c r="Q32" s="4">
        <v>156.7</v>
      </c>
      <c r="R32" s="4">
        <v>8.465</v>
      </c>
      <c r="S32" s="4">
        <v>-78.7</v>
      </c>
      <c r="T32" s="4">
        <v>969.0</v>
      </c>
      <c r="U32" s="4">
        <v>0.4</v>
      </c>
      <c r="V32" s="4">
        <v>10.8</v>
      </c>
      <c r="W32" s="4">
        <v>8.75</v>
      </c>
      <c r="X32" s="4">
        <v>103.9</v>
      </c>
      <c r="Y32" s="4">
        <v>63.2</v>
      </c>
      <c r="Z32" s="4">
        <v>630.0</v>
      </c>
      <c r="AA32" s="4">
        <v>582.0</v>
      </c>
      <c r="AB32" s="4">
        <v>48.0</v>
      </c>
      <c r="AC32" s="4">
        <v>15.0</v>
      </c>
      <c r="AD32" s="4">
        <v>196.2</v>
      </c>
      <c r="AE32" s="4">
        <f t="shared" ref="AE32:AE34" si="43">0.5*5</f>
        <v>2.5</v>
      </c>
      <c r="AF32" s="4">
        <v>115.0</v>
      </c>
      <c r="AG32" s="4">
        <v>153.7</v>
      </c>
      <c r="AH32" s="4">
        <v>111.8</v>
      </c>
      <c r="AI32" s="4">
        <v>30.46</v>
      </c>
      <c r="AJ32" s="4">
        <v>29.17</v>
      </c>
      <c r="AK32" s="4">
        <v>141.6</v>
      </c>
      <c r="AL32" s="4">
        <v>9.1</v>
      </c>
      <c r="AM32" s="4">
        <v>33.66</v>
      </c>
      <c r="AN32" s="4">
        <v>30.14</v>
      </c>
      <c r="AO32" s="4">
        <v>143.4</v>
      </c>
      <c r="AP32" s="4">
        <v>9.2</v>
      </c>
      <c r="AQ32" s="4"/>
      <c r="AR32" s="4">
        <v>1.04</v>
      </c>
      <c r="AS32" s="4">
        <v>0.86</v>
      </c>
      <c r="AT32" s="4">
        <v>0.36</v>
      </c>
      <c r="AU32" s="4">
        <f t="shared" si="38"/>
        <v>0.01</v>
      </c>
      <c r="AV32" s="4">
        <v>2.21</v>
      </c>
      <c r="AW32" s="4">
        <v>7.8</v>
      </c>
      <c r="AX32" s="4">
        <f t="shared" si="41"/>
        <v>2.5</v>
      </c>
      <c r="AY32" s="4">
        <f t="shared" ref="AY32:AZ32" si="42">0.5*2</f>
        <v>1</v>
      </c>
      <c r="AZ32" s="4">
        <f t="shared" si="42"/>
        <v>1</v>
      </c>
      <c r="BA32" s="4">
        <v>11.0</v>
      </c>
      <c r="BB32" s="4">
        <v>9.0</v>
      </c>
      <c r="BC32" s="4"/>
      <c r="BD32" s="4"/>
      <c r="BE32" s="4">
        <v>110.0</v>
      </c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>
        <f t="shared" si="21"/>
        <v>0.001</v>
      </c>
      <c r="CL32" s="4">
        <v>0.002</v>
      </c>
      <c r="CM32" s="4">
        <f t="shared" ref="CM32:CM33" si="45">0.5*0.001</f>
        <v>0.0005</v>
      </c>
      <c r="CN32" s="4">
        <v>0.13</v>
      </c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>
      <c r="A33" s="4" t="s">
        <v>304</v>
      </c>
      <c r="B33" s="4" t="s">
        <v>305</v>
      </c>
      <c r="C33" s="5" t="s">
        <v>306</v>
      </c>
      <c r="D33" s="5" t="s">
        <v>307</v>
      </c>
      <c r="E33" s="4" t="s">
        <v>228</v>
      </c>
      <c r="F33" s="4" t="s">
        <v>112</v>
      </c>
      <c r="G33" s="4" t="s">
        <v>113</v>
      </c>
      <c r="H33" s="4" t="s">
        <v>308</v>
      </c>
      <c r="I33" s="4" t="s">
        <v>278</v>
      </c>
      <c r="J33" s="4" t="s">
        <v>309</v>
      </c>
      <c r="K33" s="4" t="s">
        <v>310</v>
      </c>
      <c r="L33" s="4">
        <v>-19.3215</v>
      </c>
      <c r="M33" s="4">
        <v>-65.552</v>
      </c>
      <c r="N33" s="4">
        <v>0.535</v>
      </c>
      <c r="O33" s="4">
        <v>0.0</v>
      </c>
      <c r="P33" s="4">
        <v>3660.0</v>
      </c>
      <c r="Q33" s="4">
        <v>136.5</v>
      </c>
      <c r="R33" s="4">
        <v>5.828</v>
      </c>
      <c r="S33" s="4">
        <v>67.2</v>
      </c>
      <c r="T33" s="4">
        <v>273.0</v>
      </c>
      <c r="U33" s="4">
        <v>0.0</v>
      </c>
      <c r="V33" s="4">
        <v>12.5</v>
      </c>
      <c r="W33" s="4">
        <v>6.95</v>
      </c>
      <c r="X33" s="4">
        <v>101.3</v>
      </c>
      <c r="Y33" s="4">
        <v>68.0</v>
      </c>
      <c r="Z33" s="4">
        <v>194.0</v>
      </c>
      <c r="AA33" s="4">
        <v>180.0</v>
      </c>
      <c r="AB33" s="4">
        <v>14.0</v>
      </c>
      <c r="AC33" s="4">
        <v>3.0</v>
      </c>
      <c r="AD33" s="4">
        <v>88.0</v>
      </c>
      <c r="AE33" s="4">
        <f t="shared" si="43"/>
        <v>2.5</v>
      </c>
      <c r="AF33" s="4">
        <f>0.5*5</f>
        <v>2.5</v>
      </c>
      <c r="AG33" s="4">
        <v>2.8</v>
      </c>
      <c r="AH33" s="4">
        <v>392.5</v>
      </c>
      <c r="AI33" s="4">
        <v>22.44</v>
      </c>
      <c r="AJ33" s="4">
        <v>7.77</v>
      </c>
      <c r="AK33" s="4">
        <v>2.1</v>
      </c>
      <c r="AL33" s="4">
        <v>1.2</v>
      </c>
      <c r="AM33" s="4">
        <v>25.65</v>
      </c>
      <c r="AN33" s="4">
        <v>13.61</v>
      </c>
      <c r="AO33" s="4">
        <v>2.2</v>
      </c>
      <c r="AP33" s="4">
        <v>1.2</v>
      </c>
      <c r="AQ33" s="4"/>
      <c r="AR33" s="4">
        <v>0.15</v>
      </c>
      <c r="AS33" s="4">
        <v>0.03</v>
      </c>
      <c r="AT33" s="4">
        <v>0.31</v>
      </c>
      <c r="AU33" s="4">
        <f t="shared" si="38"/>
        <v>0.01</v>
      </c>
      <c r="AV33" s="4">
        <v>3.14</v>
      </c>
      <c r="AW33" s="4">
        <v>1.1</v>
      </c>
      <c r="AX33" s="4">
        <f t="shared" si="41"/>
        <v>2.5</v>
      </c>
      <c r="AY33" s="4">
        <f t="shared" ref="AY33:AZ33" si="44">0.5*2</f>
        <v>1</v>
      </c>
      <c r="AZ33" s="4">
        <f t="shared" si="44"/>
        <v>1</v>
      </c>
      <c r="BA33" s="4">
        <v>0.0</v>
      </c>
      <c r="BB33" s="4">
        <v>0.0</v>
      </c>
      <c r="BC33" s="4"/>
      <c r="BD33" s="4"/>
      <c r="BE33" s="4">
        <v>0.0</v>
      </c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>
        <f t="shared" si="21"/>
        <v>0.001</v>
      </c>
      <c r="CL33" s="4">
        <v>0.002</v>
      </c>
      <c r="CM33" s="4">
        <f t="shared" si="45"/>
        <v>0.0005</v>
      </c>
      <c r="CN33" s="4">
        <f t="shared" ref="CN33:CN34" si="47">0.5*0.05</f>
        <v>0.025</v>
      </c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>
      <c r="A34" s="4" t="s">
        <v>311</v>
      </c>
      <c r="B34" s="4" t="s">
        <v>312</v>
      </c>
      <c r="C34" s="5" t="s">
        <v>306</v>
      </c>
      <c r="D34" s="5" t="s">
        <v>313</v>
      </c>
      <c r="E34" s="4" t="s">
        <v>228</v>
      </c>
      <c r="F34" s="4" t="s">
        <v>112</v>
      </c>
      <c r="G34" s="4" t="s">
        <v>113</v>
      </c>
      <c r="H34" s="4" t="s">
        <v>114</v>
      </c>
      <c r="I34" s="4" t="s">
        <v>314</v>
      </c>
      <c r="J34" s="4" t="s">
        <v>315</v>
      </c>
      <c r="K34" s="4" t="s">
        <v>316</v>
      </c>
      <c r="L34" s="4">
        <v>-19.357</v>
      </c>
      <c r="M34" s="4">
        <v>-65.1736</v>
      </c>
      <c r="N34" s="4">
        <v>0.823</v>
      </c>
      <c r="O34" s="4">
        <v>9.0</v>
      </c>
      <c r="P34" s="4">
        <v>855.0</v>
      </c>
      <c r="Q34" s="4">
        <v>161.0</v>
      </c>
      <c r="R34" s="4">
        <v>8.339</v>
      </c>
      <c r="S34" s="4">
        <v>-72.6</v>
      </c>
      <c r="T34" s="4">
        <v>1169.0</v>
      </c>
      <c r="U34" s="4">
        <v>0.5</v>
      </c>
      <c r="V34" s="4">
        <v>13.7</v>
      </c>
      <c r="W34" s="4">
        <v>7.97</v>
      </c>
      <c r="X34" s="4">
        <v>100.4</v>
      </c>
      <c r="Y34" s="4">
        <v>87.5</v>
      </c>
      <c r="Z34" s="4">
        <v>804.0</v>
      </c>
      <c r="AA34" s="4">
        <v>694.0</v>
      </c>
      <c r="AB34" s="4">
        <v>110.0</v>
      </c>
      <c r="AC34" s="4">
        <v>10.0</v>
      </c>
      <c r="AD34" s="4">
        <v>254.2</v>
      </c>
      <c r="AE34" s="4">
        <f t="shared" si="43"/>
        <v>2.5</v>
      </c>
      <c r="AF34" s="4">
        <v>125.0</v>
      </c>
      <c r="AG34" s="4">
        <v>195.2</v>
      </c>
      <c r="AH34" s="4">
        <v>133.8</v>
      </c>
      <c r="AI34" s="4">
        <v>46.49</v>
      </c>
      <c r="AJ34" s="4">
        <v>33.54</v>
      </c>
      <c r="AK34" s="4">
        <v>178.7</v>
      </c>
      <c r="AL34" s="4">
        <v>7.1</v>
      </c>
      <c r="AM34" s="4">
        <v>48.89</v>
      </c>
      <c r="AN34" s="4">
        <v>34.03</v>
      </c>
      <c r="AO34" s="4">
        <v>178.7</v>
      </c>
      <c r="AP34" s="4">
        <v>7.5</v>
      </c>
      <c r="AQ34" s="4"/>
      <c r="AR34" s="4">
        <v>0.31</v>
      </c>
      <c r="AS34" s="4">
        <v>0.28</v>
      </c>
      <c r="AT34" s="4">
        <v>0.21</v>
      </c>
      <c r="AU34" s="4">
        <f t="shared" si="38"/>
        <v>0.01</v>
      </c>
      <c r="AV34" s="4">
        <v>4.56</v>
      </c>
      <c r="AW34" s="4">
        <v>1.1</v>
      </c>
      <c r="AX34" s="4">
        <f t="shared" si="41"/>
        <v>2.5</v>
      </c>
      <c r="AY34" s="4">
        <f t="shared" ref="AY34:AZ34" si="46">0.5*2</f>
        <v>1</v>
      </c>
      <c r="AZ34" s="4">
        <f t="shared" si="46"/>
        <v>1</v>
      </c>
      <c r="BA34" s="4">
        <v>80.0</v>
      </c>
      <c r="BB34" s="4">
        <v>7.0</v>
      </c>
      <c r="BC34" s="4"/>
      <c r="BD34" s="4"/>
      <c r="BE34" s="4">
        <v>100.0</v>
      </c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>
        <f t="shared" si="21"/>
        <v>0.001</v>
      </c>
      <c r="CL34" s="4">
        <v>0.004</v>
      </c>
      <c r="CM34" s="4"/>
      <c r="CN34" s="4">
        <f t="shared" si="47"/>
        <v>0.025</v>
      </c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>
      <c r="A35" s="4" t="s">
        <v>202</v>
      </c>
      <c r="B35" s="4" t="s">
        <v>203</v>
      </c>
      <c r="C35" s="5" t="s">
        <v>317</v>
      </c>
      <c r="D35" s="5" t="s">
        <v>318</v>
      </c>
      <c r="E35" s="4" t="s">
        <v>319</v>
      </c>
      <c r="F35" s="4" t="s">
        <v>320</v>
      </c>
      <c r="G35" s="4" t="s">
        <v>321</v>
      </c>
      <c r="H35" s="4" t="s">
        <v>114</v>
      </c>
      <c r="I35" s="4" t="s">
        <v>205</v>
      </c>
      <c r="J35" s="4" t="s">
        <v>322</v>
      </c>
      <c r="K35" s="4" t="s">
        <v>322</v>
      </c>
      <c r="L35" s="4" t="s">
        <v>322</v>
      </c>
      <c r="M35" s="4" t="s">
        <v>322</v>
      </c>
      <c r="N35" s="4"/>
      <c r="O35" s="4"/>
      <c r="P35" s="4"/>
      <c r="Q35" s="4"/>
      <c r="R35" s="4">
        <v>7.75</v>
      </c>
      <c r="S35" s="4"/>
      <c r="T35" s="4">
        <v>1106.0</v>
      </c>
      <c r="U35" s="4"/>
      <c r="V35" s="4">
        <v>16.0</v>
      </c>
      <c r="W35" s="4">
        <v>7.3</v>
      </c>
      <c r="X35" s="4"/>
      <c r="Y35" s="4">
        <v>690.0</v>
      </c>
      <c r="Z35" s="4">
        <v>1603.0</v>
      </c>
      <c r="AA35" s="4">
        <v>652.0</v>
      </c>
      <c r="AB35" s="4">
        <v>951.0</v>
      </c>
      <c r="AC35" s="4"/>
      <c r="AD35" s="4">
        <v>267.0</v>
      </c>
      <c r="AE35" s="4"/>
      <c r="AF35" s="4">
        <v>137.5</v>
      </c>
      <c r="AG35" s="4">
        <v>120.0</v>
      </c>
      <c r="AH35" s="4">
        <v>266.0</v>
      </c>
      <c r="AI35" s="4">
        <v>60.5</v>
      </c>
      <c r="AJ35" s="4">
        <v>28.0</v>
      </c>
      <c r="AK35" s="4"/>
      <c r="AL35" s="4"/>
      <c r="AM35" s="4"/>
      <c r="AN35" s="4"/>
      <c r="AO35" s="4"/>
      <c r="AP35" s="4"/>
      <c r="AQ35" s="4">
        <v>2.9</v>
      </c>
      <c r="AR35" s="4"/>
      <c r="AS35" s="4">
        <f>0.5*0.5</f>
        <v>0.25</v>
      </c>
      <c r="AT35" s="4">
        <f t="shared" ref="AT35:AT36" si="48">0.5*0.05</f>
        <v>0.025</v>
      </c>
      <c r="AU35" s="4"/>
      <c r="AV35" s="4">
        <v>6.0</v>
      </c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>
        <v>3.0</v>
      </c>
      <c r="BK35" s="4">
        <v>27.0</v>
      </c>
      <c r="BL35" s="4">
        <f t="shared" ref="BL35:BL37" si="49">0.5*1</f>
        <v>0.5</v>
      </c>
      <c r="BM35" s="4"/>
      <c r="BN35" s="4">
        <v>13.0</v>
      </c>
      <c r="BO35" s="4"/>
      <c r="BP35" s="4">
        <v>0.4</v>
      </c>
      <c r="BQ35" s="4">
        <v>3.0</v>
      </c>
      <c r="BR35" s="4">
        <v>0.35</v>
      </c>
      <c r="BS35" s="4">
        <f t="shared" ref="BS35:BS76" si="51">0.5*0.04</f>
        <v>0.02</v>
      </c>
      <c r="BT35" s="4">
        <v>300.0</v>
      </c>
      <c r="BU35" s="4">
        <v>675.5</v>
      </c>
      <c r="BV35" s="4">
        <f t="shared" ref="BV35:BV47" si="52">0.5*1</f>
        <v>0.5</v>
      </c>
      <c r="BW35" s="4">
        <v>25.5</v>
      </c>
      <c r="BX35" s="4">
        <v>322.5</v>
      </c>
      <c r="BY35" s="4"/>
      <c r="BZ35" s="4">
        <f>0.5*25</f>
        <v>12.5</v>
      </c>
      <c r="CA35" s="4">
        <v>50.0</v>
      </c>
      <c r="CB35" s="4">
        <f>0.5*25</f>
        <v>12.5</v>
      </c>
      <c r="CC35" s="4">
        <f>0.5*1</f>
        <v>0.5</v>
      </c>
      <c r="CD35" s="4">
        <v>17.5</v>
      </c>
      <c r="CE35" s="4"/>
      <c r="CF35" s="4">
        <f t="shared" ref="CF35:CF53" si="54">0.5*0.1</f>
        <v>0.05</v>
      </c>
      <c r="CG35" s="4">
        <v>15000.0</v>
      </c>
      <c r="CH35" s="4">
        <v>675.5</v>
      </c>
      <c r="CI35" s="4">
        <f>0.5*25</f>
        <v>12.5</v>
      </c>
      <c r="CJ35" s="4"/>
      <c r="CK35" s="4"/>
      <c r="CL35" s="4"/>
      <c r="CM35" s="4"/>
      <c r="CN35" s="4">
        <f>0.5*0.5</f>
        <v>0.25</v>
      </c>
      <c r="CO35" s="4"/>
      <c r="CP35" s="4"/>
      <c r="CQ35" s="4">
        <v>38.91</v>
      </c>
      <c r="CR35" s="4"/>
      <c r="CS35" s="4"/>
      <c r="CT35" s="4"/>
      <c r="CU35" s="4">
        <v>0.0</v>
      </c>
      <c r="CV35" s="4"/>
      <c r="CW35" s="4"/>
      <c r="CX35" s="4">
        <v>23.66</v>
      </c>
      <c r="CY35" s="4">
        <v>15457.41</v>
      </c>
      <c r="CZ35" s="4">
        <v>310.73</v>
      </c>
      <c r="DA35" s="4"/>
      <c r="DB35" s="4"/>
      <c r="DC35" s="4"/>
    </row>
    <row r="36">
      <c r="A36" s="4" t="s">
        <v>202</v>
      </c>
      <c r="B36" s="4" t="s">
        <v>203</v>
      </c>
      <c r="C36" s="5" t="s">
        <v>323</v>
      </c>
      <c r="D36" s="5" t="s">
        <v>324</v>
      </c>
      <c r="E36" s="4" t="s">
        <v>325</v>
      </c>
      <c r="F36" s="4" t="s">
        <v>326</v>
      </c>
      <c r="G36" s="4" t="s">
        <v>113</v>
      </c>
      <c r="H36" s="4" t="s">
        <v>114</v>
      </c>
      <c r="I36" s="4" t="s">
        <v>205</v>
      </c>
      <c r="J36" s="4" t="s">
        <v>327</v>
      </c>
      <c r="K36" s="4" t="s">
        <v>328</v>
      </c>
      <c r="L36" s="4">
        <v>-22.3781</v>
      </c>
      <c r="M36" s="4">
        <v>-62.5186</v>
      </c>
      <c r="N36" s="4">
        <v>1.637</v>
      </c>
      <c r="O36" s="4">
        <v>111.0</v>
      </c>
      <c r="P36" s="4"/>
      <c r="Q36" s="4"/>
      <c r="R36" s="4">
        <v>8.08</v>
      </c>
      <c r="S36" s="4">
        <v>-75.0</v>
      </c>
      <c r="T36" s="4">
        <v>999.0</v>
      </c>
      <c r="U36" s="4">
        <v>0.3</v>
      </c>
      <c r="V36" s="4">
        <v>24.1</v>
      </c>
      <c r="W36" s="4">
        <v>6.21</v>
      </c>
      <c r="X36" s="4">
        <v>76.4</v>
      </c>
      <c r="Y36" s="4">
        <v>872.0</v>
      </c>
      <c r="Z36" s="4">
        <v>2204.0</v>
      </c>
      <c r="AA36" s="4">
        <v>660.0</v>
      </c>
      <c r="AB36" s="4">
        <v>1448.0</v>
      </c>
      <c r="AC36" s="4">
        <v>1.0</v>
      </c>
      <c r="AD36" s="4">
        <v>306.0</v>
      </c>
      <c r="AE36" s="4"/>
      <c r="AF36" s="4">
        <v>125.0</v>
      </c>
      <c r="AG36" s="4">
        <v>143.0</v>
      </c>
      <c r="AH36" s="4">
        <v>227.0</v>
      </c>
      <c r="AI36" s="4">
        <v>108.0</v>
      </c>
      <c r="AJ36" s="4">
        <v>8.7</v>
      </c>
      <c r="AK36" s="4">
        <v>105.0</v>
      </c>
      <c r="AL36" s="4">
        <v>5.2</v>
      </c>
      <c r="AM36" s="4"/>
      <c r="AN36" s="4"/>
      <c r="AO36" s="4"/>
      <c r="AP36" s="4"/>
      <c r="AQ36" s="4"/>
      <c r="AR36" s="4"/>
      <c r="AS36" s="4"/>
      <c r="AT36" s="4">
        <f t="shared" si="48"/>
        <v>0.025</v>
      </c>
      <c r="AU36" s="4">
        <f>0.5*0.03</f>
        <v>0.015</v>
      </c>
      <c r="AV36" s="4">
        <f>0.5*1</f>
        <v>0.5</v>
      </c>
      <c r="AW36" s="4"/>
      <c r="AX36" s="4">
        <f>0.5*2</f>
        <v>1</v>
      </c>
      <c r="AY36" s="4">
        <v>5.0</v>
      </c>
      <c r="AZ36" s="4"/>
      <c r="BA36" s="4"/>
      <c r="BB36" s="4"/>
      <c r="BC36" s="4"/>
      <c r="BD36" s="4"/>
      <c r="BE36" s="4"/>
      <c r="BF36" s="4">
        <f t="shared" ref="BF36:BF76" si="55">0.5*1</f>
        <v>0.5</v>
      </c>
      <c r="BG36" s="4">
        <f t="shared" ref="BG36:BG53" si="56">0.5*20</f>
        <v>10</v>
      </c>
      <c r="BH36" s="4">
        <f t="shared" ref="BH36:BH76" si="57">0.5*1</f>
        <v>0.5</v>
      </c>
      <c r="BI36" s="4">
        <f t="shared" ref="BI36:BI52" si="58">0.5*20</f>
        <v>10</v>
      </c>
      <c r="BJ36" s="4">
        <f t="shared" ref="BJ36:BJ74" si="59">0.5*1</f>
        <v>0.5</v>
      </c>
      <c r="BK36" s="4">
        <v>24.0</v>
      </c>
      <c r="BL36" s="4">
        <f t="shared" si="49"/>
        <v>0.5</v>
      </c>
      <c r="BM36" s="4">
        <f t="shared" ref="BM36:BR36" si="50">0.5*1</f>
        <v>0.5</v>
      </c>
      <c r="BN36" s="4">
        <f t="shared" si="50"/>
        <v>0.5</v>
      </c>
      <c r="BO36" s="4">
        <f t="shared" si="50"/>
        <v>0.5</v>
      </c>
      <c r="BP36" s="4">
        <f t="shared" si="50"/>
        <v>0.5</v>
      </c>
      <c r="BQ36" s="4">
        <f t="shared" si="50"/>
        <v>0.5</v>
      </c>
      <c r="BR36" s="4">
        <f t="shared" si="50"/>
        <v>0.5</v>
      </c>
      <c r="BS36" s="4">
        <f t="shared" si="51"/>
        <v>0.02</v>
      </c>
      <c r="BT36" s="4">
        <v>233.0</v>
      </c>
      <c r="BU36" s="4">
        <v>692.0</v>
      </c>
      <c r="BV36" s="4">
        <f t="shared" si="52"/>
        <v>0.5</v>
      </c>
      <c r="BW36" s="4">
        <f t="shared" ref="BW36:BW49" si="62">0.5*20</f>
        <v>10</v>
      </c>
      <c r="BX36" s="4">
        <v>576.0</v>
      </c>
      <c r="BY36" s="4">
        <f t="shared" ref="BY36:CE36" si="53">0.5*20</f>
        <v>10</v>
      </c>
      <c r="BZ36" s="4">
        <f t="shared" si="53"/>
        <v>10</v>
      </c>
      <c r="CA36" s="4">
        <f t="shared" si="53"/>
        <v>10</v>
      </c>
      <c r="CB36" s="4">
        <f t="shared" si="53"/>
        <v>10</v>
      </c>
      <c r="CC36" s="4">
        <f t="shared" si="53"/>
        <v>10</v>
      </c>
      <c r="CD36" s="4">
        <f t="shared" si="53"/>
        <v>10</v>
      </c>
      <c r="CE36" s="4">
        <f t="shared" si="53"/>
        <v>10</v>
      </c>
      <c r="CF36" s="4">
        <f t="shared" si="54"/>
        <v>0.05</v>
      </c>
      <c r="CG36" s="4">
        <v>9611.0</v>
      </c>
      <c r="CH36" s="4">
        <v>553.0</v>
      </c>
      <c r="CI36" s="4">
        <f t="shared" ref="CI36:CI39" si="64">0.5*20</f>
        <v>10</v>
      </c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>
        <v>6476.52</v>
      </c>
      <c r="CZ36" s="4">
        <v>381.22</v>
      </c>
      <c r="DA36" s="4"/>
      <c r="DB36" s="4"/>
      <c r="DC36" s="4"/>
    </row>
    <row r="37">
      <c r="A37" s="4" t="s">
        <v>183</v>
      </c>
      <c r="B37" s="4" t="s">
        <v>184</v>
      </c>
      <c r="C37" s="5" t="s">
        <v>323</v>
      </c>
      <c r="D37" s="5" t="s">
        <v>185</v>
      </c>
      <c r="E37" s="4" t="s">
        <v>325</v>
      </c>
      <c r="F37" s="4" t="s">
        <v>326</v>
      </c>
      <c r="G37" s="4" t="s">
        <v>113</v>
      </c>
      <c r="H37" s="4" t="s">
        <v>114</v>
      </c>
      <c r="I37" s="4" t="s">
        <v>180</v>
      </c>
      <c r="J37" s="4" t="s">
        <v>329</v>
      </c>
      <c r="K37" s="4" t="s">
        <v>330</v>
      </c>
      <c r="L37" s="4">
        <v>-21.2589</v>
      </c>
      <c r="M37" s="4">
        <v>-63.5117</v>
      </c>
      <c r="N37" s="4">
        <v>0.422</v>
      </c>
      <c r="O37" s="4">
        <v>72.0</v>
      </c>
      <c r="P37" s="4"/>
      <c r="Q37" s="4"/>
      <c r="R37" s="4">
        <v>8.23</v>
      </c>
      <c r="S37" s="4">
        <v>-92.0</v>
      </c>
      <c r="T37" s="4">
        <v>1023.0</v>
      </c>
      <c r="U37" s="4">
        <v>0.3</v>
      </c>
      <c r="V37" s="4">
        <v>22.5</v>
      </c>
      <c r="W37" s="4">
        <v>7.67</v>
      </c>
      <c r="X37" s="4">
        <v>92.0</v>
      </c>
      <c r="Y37" s="4">
        <v>64.2</v>
      </c>
      <c r="Z37" s="4">
        <v>746.0</v>
      </c>
      <c r="AA37" s="4">
        <v>698.0</v>
      </c>
      <c r="AB37" s="4">
        <v>48.0</v>
      </c>
      <c r="AC37" s="4"/>
      <c r="AD37" s="4">
        <v>278.3</v>
      </c>
      <c r="AE37" s="4">
        <v>5.0</v>
      </c>
      <c r="AF37" s="4">
        <v>115.0</v>
      </c>
      <c r="AG37" s="4">
        <v>124.1</v>
      </c>
      <c r="AH37" s="4">
        <v>180.9</v>
      </c>
      <c r="AI37" s="4">
        <v>48.89</v>
      </c>
      <c r="AJ37" s="4">
        <v>37.94</v>
      </c>
      <c r="AK37" s="4">
        <v>125.6</v>
      </c>
      <c r="AL37" s="4">
        <v>7.3</v>
      </c>
      <c r="AM37" s="4">
        <v>64.92</v>
      </c>
      <c r="AN37" s="4">
        <v>38.24</v>
      </c>
      <c r="AO37" s="4">
        <v>125.6</v>
      </c>
      <c r="AP37" s="4">
        <v>7.4</v>
      </c>
      <c r="AQ37" s="4"/>
      <c r="AR37" s="4"/>
      <c r="AS37" s="4"/>
      <c r="AT37" s="4"/>
      <c r="AU37" s="4"/>
      <c r="AV37" s="4"/>
      <c r="AW37" s="4"/>
      <c r="AX37" s="4">
        <v>26.0</v>
      </c>
      <c r="AY37" s="4">
        <v>33.0</v>
      </c>
      <c r="AZ37" s="4"/>
      <c r="BA37" s="4"/>
      <c r="BB37" s="4"/>
      <c r="BC37" s="4"/>
      <c r="BD37" s="4"/>
      <c r="BE37" s="4"/>
      <c r="BF37" s="4">
        <f t="shared" si="55"/>
        <v>0.5</v>
      </c>
      <c r="BG37" s="4">
        <f t="shared" si="56"/>
        <v>10</v>
      </c>
      <c r="BH37" s="4">
        <f t="shared" si="57"/>
        <v>0.5</v>
      </c>
      <c r="BI37" s="4">
        <f t="shared" si="58"/>
        <v>10</v>
      </c>
      <c r="BJ37" s="4">
        <f t="shared" si="59"/>
        <v>0.5</v>
      </c>
      <c r="BK37" s="4">
        <v>4.0</v>
      </c>
      <c r="BL37" s="4">
        <f t="shared" si="49"/>
        <v>0.5</v>
      </c>
      <c r="BM37" s="4">
        <f t="shared" ref="BM37:BN37" si="60">0.5*1</f>
        <v>0.5</v>
      </c>
      <c r="BN37" s="4">
        <f t="shared" si="60"/>
        <v>0.5</v>
      </c>
      <c r="BO37" s="4">
        <v>1.0</v>
      </c>
      <c r="BP37" s="4">
        <f t="shared" ref="BP37:BR37" si="61">0.5*1</f>
        <v>0.5</v>
      </c>
      <c r="BQ37" s="4">
        <f t="shared" si="61"/>
        <v>0.5</v>
      </c>
      <c r="BR37" s="4">
        <f t="shared" si="61"/>
        <v>0.5</v>
      </c>
      <c r="BS37" s="4">
        <f t="shared" si="51"/>
        <v>0.02</v>
      </c>
      <c r="BT37" s="4">
        <v>203.0</v>
      </c>
      <c r="BU37" s="4">
        <v>712.0</v>
      </c>
      <c r="BV37" s="4">
        <f t="shared" si="52"/>
        <v>0.5</v>
      </c>
      <c r="BW37" s="4">
        <f t="shared" si="62"/>
        <v>10</v>
      </c>
      <c r="BX37" s="4">
        <f t="shared" ref="BX37:CE37" si="63">0.5*20</f>
        <v>10</v>
      </c>
      <c r="BY37" s="4">
        <f t="shared" si="63"/>
        <v>10</v>
      </c>
      <c r="BZ37" s="4">
        <f t="shared" si="63"/>
        <v>10</v>
      </c>
      <c r="CA37" s="4">
        <f t="shared" si="63"/>
        <v>10</v>
      </c>
      <c r="CB37" s="4">
        <f t="shared" si="63"/>
        <v>10</v>
      </c>
      <c r="CC37" s="4">
        <f t="shared" si="63"/>
        <v>10</v>
      </c>
      <c r="CD37" s="4">
        <f t="shared" si="63"/>
        <v>10</v>
      </c>
      <c r="CE37" s="4">
        <f t="shared" si="63"/>
        <v>10</v>
      </c>
      <c r="CF37" s="4">
        <f t="shared" si="54"/>
        <v>0.05</v>
      </c>
      <c r="CG37" s="4">
        <v>900.0</v>
      </c>
      <c r="CH37" s="4">
        <v>571.0</v>
      </c>
      <c r="CI37" s="4">
        <f t="shared" si="64"/>
        <v>10</v>
      </c>
      <c r="CJ37" s="4"/>
      <c r="CK37" s="4"/>
      <c r="CL37" s="4">
        <v>0.005</v>
      </c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>
        <v>14520.83</v>
      </c>
      <c r="CZ37" s="4"/>
      <c r="DA37" s="4"/>
      <c r="DB37" s="4"/>
      <c r="DC37" s="4"/>
    </row>
    <row r="38">
      <c r="A38" s="4" t="s">
        <v>247</v>
      </c>
      <c r="B38" s="4" t="s">
        <v>248</v>
      </c>
      <c r="C38" s="5" t="s">
        <v>331</v>
      </c>
      <c r="D38" s="5" t="s">
        <v>227</v>
      </c>
      <c r="E38" s="4" t="s">
        <v>325</v>
      </c>
      <c r="F38" s="4" t="s">
        <v>326</v>
      </c>
      <c r="G38" s="4" t="s">
        <v>113</v>
      </c>
      <c r="H38" s="4" t="s">
        <v>249</v>
      </c>
      <c r="I38" s="4" t="s">
        <v>236</v>
      </c>
      <c r="J38" s="4" t="s">
        <v>332</v>
      </c>
      <c r="K38" s="4" t="s">
        <v>333</v>
      </c>
      <c r="L38" s="4">
        <v>-21.2393</v>
      </c>
      <c r="M38" s="4">
        <v>-65.2089</v>
      </c>
      <c r="N38" s="4">
        <v>0.723</v>
      </c>
      <c r="O38" s="4">
        <v>7.0</v>
      </c>
      <c r="P38" s="4"/>
      <c r="Q38" s="4">
        <v>172.8</v>
      </c>
      <c r="R38" s="4">
        <v>8.2</v>
      </c>
      <c r="S38" s="4"/>
      <c r="T38" s="4">
        <v>1286.0</v>
      </c>
      <c r="U38" s="4">
        <v>0.4</v>
      </c>
      <c r="V38" s="4">
        <v>12.8</v>
      </c>
      <c r="W38" s="4">
        <v>8.72</v>
      </c>
      <c r="X38" s="4">
        <v>108.6</v>
      </c>
      <c r="Y38" s="4">
        <v>46.6</v>
      </c>
      <c r="Z38" s="4">
        <v>1121.0</v>
      </c>
      <c r="AA38" s="4">
        <v>1078.0</v>
      </c>
      <c r="AB38" s="4">
        <v>43.0</v>
      </c>
      <c r="AC38" s="4"/>
      <c r="AD38" s="4">
        <v>516.0</v>
      </c>
      <c r="AE38" s="4">
        <v>25.0</v>
      </c>
      <c r="AF38" s="4">
        <v>150.0</v>
      </c>
      <c r="AG38" s="4">
        <v>71.4</v>
      </c>
      <c r="AH38" s="4">
        <v>450.4</v>
      </c>
      <c r="AI38" s="4">
        <v>83.36</v>
      </c>
      <c r="AJ38" s="4">
        <v>64.67</v>
      </c>
      <c r="AK38" s="4">
        <v>93.2</v>
      </c>
      <c r="AL38" s="4">
        <v>1.4</v>
      </c>
      <c r="AM38" s="4">
        <v>140.28</v>
      </c>
      <c r="AN38" s="4">
        <v>67.67</v>
      </c>
      <c r="AO38" s="4">
        <v>95.4</v>
      </c>
      <c r="AP38" s="4">
        <v>1.4</v>
      </c>
      <c r="AQ38" s="4"/>
      <c r="AR38" s="4"/>
      <c r="AS38" s="4"/>
      <c r="AT38" s="4"/>
      <c r="AU38" s="4"/>
      <c r="AV38" s="4"/>
      <c r="AW38" s="4"/>
      <c r="AX38" s="4">
        <v>19.0</v>
      </c>
      <c r="AY38" s="4">
        <v>29.0</v>
      </c>
      <c r="AZ38" s="4"/>
      <c r="BA38" s="4"/>
      <c r="BB38" s="4"/>
      <c r="BC38" s="4"/>
      <c r="BD38" s="4"/>
      <c r="BE38" s="4"/>
      <c r="BF38" s="4">
        <f t="shared" si="55"/>
        <v>0.5</v>
      </c>
      <c r="BG38" s="4">
        <f t="shared" si="56"/>
        <v>10</v>
      </c>
      <c r="BH38" s="4">
        <f t="shared" si="57"/>
        <v>0.5</v>
      </c>
      <c r="BI38" s="4">
        <f t="shared" si="58"/>
        <v>10</v>
      </c>
      <c r="BJ38" s="4">
        <f t="shared" si="59"/>
        <v>0.5</v>
      </c>
      <c r="BK38" s="4">
        <v>11.0</v>
      </c>
      <c r="BL38" s="4">
        <v>1.0</v>
      </c>
      <c r="BM38" s="4">
        <f t="shared" ref="BM38:BN38" si="65">0.5*1</f>
        <v>0.5</v>
      </c>
      <c r="BN38" s="4">
        <f t="shared" si="65"/>
        <v>0.5</v>
      </c>
      <c r="BO38" s="4">
        <v>1.0</v>
      </c>
      <c r="BP38" s="4">
        <f t="shared" ref="BP38:BR38" si="66">0.5*1</f>
        <v>0.5</v>
      </c>
      <c r="BQ38" s="4">
        <f t="shared" si="66"/>
        <v>0.5</v>
      </c>
      <c r="BR38" s="4">
        <f t="shared" si="66"/>
        <v>0.5</v>
      </c>
      <c r="BS38" s="4">
        <f t="shared" si="51"/>
        <v>0.02</v>
      </c>
      <c r="BT38" s="4">
        <v>351.0</v>
      </c>
      <c r="BU38" s="4">
        <v>2469.0</v>
      </c>
      <c r="BV38" s="4">
        <f t="shared" si="52"/>
        <v>0.5</v>
      </c>
      <c r="BW38" s="4">
        <f t="shared" si="62"/>
        <v>10</v>
      </c>
      <c r="BX38" s="4">
        <v>236.0</v>
      </c>
      <c r="BY38" s="4">
        <f t="shared" ref="BY38:BZ38" si="67">0.5*20</f>
        <v>10</v>
      </c>
      <c r="BZ38" s="4">
        <f t="shared" si="67"/>
        <v>10</v>
      </c>
      <c r="CA38" s="4">
        <v>114.0</v>
      </c>
      <c r="CB38" s="4">
        <f t="shared" ref="CB38:CE38" si="68">0.5*20</f>
        <v>10</v>
      </c>
      <c r="CC38" s="4">
        <f t="shared" si="68"/>
        <v>10</v>
      </c>
      <c r="CD38" s="4">
        <f t="shared" si="68"/>
        <v>10</v>
      </c>
      <c r="CE38" s="4">
        <f t="shared" si="68"/>
        <v>10</v>
      </c>
      <c r="CF38" s="4">
        <f t="shared" si="54"/>
        <v>0.05</v>
      </c>
      <c r="CG38" s="4">
        <v>3694.0</v>
      </c>
      <c r="CH38" s="4">
        <v>1186.0</v>
      </c>
      <c r="CI38" s="4">
        <f t="shared" si="64"/>
        <v>10</v>
      </c>
      <c r="CJ38" s="4"/>
      <c r="CK38" s="4"/>
      <c r="CL38" s="4">
        <v>0.004</v>
      </c>
      <c r="CM38" s="4"/>
      <c r="CN38" s="4"/>
      <c r="CO38" s="4"/>
      <c r="CP38" s="4"/>
      <c r="CQ38" s="4">
        <v>2651.16</v>
      </c>
      <c r="CR38" s="4"/>
      <c r="CS38" s="4"/>
      <c r="CT38" s="4"/>
      <c r="CU38" s="4"/>
      <c r="CV38" s="4"/>
      <c r="CW38" s="4"/>
      <c r="CX38" s="4"/>
      <c r="CY38" s="4">
        <v>77744.19</v>
      </c>
      <c r="CZ38" s="4">
        <v>5232.56</v>
      </c>
      <c r="DA38" s="4"/>
      <c r="DB38" s="4"/>
      <c r="DC38" s="4"/>
    </row>
    <row r="39">
      <c r="A39" s="4" t="s">
        <v>239</v>
      </c>
      <c r="B39" s="4" t="s">
        <v>240</v>
      </c>
      <c r="C39" s="5" t="s">
        <v>331</v>
      </c>
      <c r="D39" s="5" t="s">
        <v>334</v>
      </c>
      <c r="E39" s="4" t="s">
        <v>325</v>
      </c>
      <c r="F39" s="4" t="s">
        <v>326</v>
      </c>
      <c r="G39" s="4" t="s">
        <v>113</v>
      </c>
      <c r="H39" s="4" t="s">
        <v>243</v>
      </c>
      <c r="I39" s="4" t="s">
        <v>244</v>
      </c>
      <c r="J39" s="4" t="s">
        <v>245</v>
      </c>
      <c r="K39" s="4" t="s">
        <v>335</v>
      </c>
      <c r="L39" s="4">
        <v>-20.7423</v>
      </c>
      <c r="M39" s="4">
        <v>-65.2412</v>
      </c>
      <c r="N39" s="4">
        <v>0.652</v>
      </c>
      <c r="O39" s="4">
        <v>10.0</v>
      </c>
      <c r="P39" s="4"/>
      <c r="Q39" s="4">
        <v>159.8</v>
      </c>
      <c r="R39" s="4">
        <v>8.2</v>
      </c>
      <c r="S39" s="4"/>
      <c r="T39" s="4">
        <v>1073.0</v>
      </c>
      <c r="U39" s="4">
        <v>0.3</v>
      </c>
      <c r="V39" s="4">
        <v>10.4</v>
      </c>
      <c r="W39" s="4">
        <v>8.51</v>
      </c>
      <c r="X39" s="4">
        <v>100.0</v>
      </c>
      <c r="Y39" s="4">
        <v>368.0</v>
      </c>
      <c r="Z39" s="4">
        <v>1208.0</v>
      </c>
      <c r="AA39" s="4">
        <v>902.0</v>
      </c>
      <c r="AB39" s="4">
        <v>306.0</v>
      </c>
      <c r="AC39" s="4"/>
      <c r="AD39" s="4">
        <v>456.0</v>
      </c>
      <c r="AE39" s="4">
        <v>5.0</v>
      </c>
      <c r="AF39" s="4">
        <v>110.0</v>
      </c>
      <c r="AG39" s="4">
        <v>43.1</v>
      </c>
      <c r="AH39" s="4">
        <v>413.6</v>
      </c>
      <c r="AI39" s="4">
        <v>63.32</v>
      </c>
      <c r="AJ39" s="4">
        <v>78.49</v>
      </c>
      <c r="AK39" s="4">
        <v>70.1</v>
      </c>
      <c r="AL39" s="4">
        <v>1.4</v>
      </c>
      <c r="AM39" s="4">
        <v>79.35</v>
      </c>
      <c r="AN39" s="4">
        <v>78.88</v>
      </c>
      <c r="AO39" s="4">
        <v>71.6</v>
      </c>
      <c r="AP39" s="4">
        <v>1.5</v>
      </c>
      <c r="AQ39" s="4"/>
      <c r="AR39" s="4"/>
      <c r="AS39" s="4"/>
      <c r="AT39" s="4"/>
      <c r="AU39" s="4"/>
      <c r="AV39" s="4"/>
      <c r="AW39" s="4"/>
      <c r="AX39" s="4">
        <v>15.0</v>
      </c>
      <c r="AY39" s="4">
        <v>24.0</v>
      </c>
      <c r="AZ39" s="4"/>
      <c r="BA39" s="4"/>
      <c r="BB39" s="4"/>
      <c r="BC39" s="4"/>
      <c r="BD39" s="4"/>
      <c r="BE39" s="4"/>
      <c r="BF39" s="4">
        <f t="shared" si="55"/>
        <v>0.5</v>
      </c>
      <c r="BG39" s="4">
        <f t="shared" si="56"/>
        <v>10</v>
      </c>
      <c r="BH39" s="4">
        <f t="shared" si="57"/>
        <v>0.5</v>
      </c>
      <c r="BI39" s="4">
        <f t="shared" si="58"/>
        <v>10</v>
      </c>
      <c r="BJ39" s="4">
        <f t="shared" si="59"/>
        <v>0.5</v>
      </c>
      <c r="BK39" s="4">
        <v>19.0</v>
      </c>
      <c r="BL39" s="4">
        <v>2.0</v>
      </c>
      <c r="BM39" s="4">
        <f>0.5*1</f>
        <v>0.5</v>
      </c>
      <c r="BN39" s="4">
        <v>1.0</v>
      </c>
      <c r="BO39" s="4">
        <v>1.0</v>
      </c>
      <c r="BP39" s="4">
        <f t="shared" ref="BP39:BR39" si="69">0.5*1</f>
        <v>0.5</v>
      </c>
      <c r="BQ39" s="4">
        <f t="shared" si="69"/>
        <v>0.5</v>
      </c>
      <c r="BR39" s="4">
        <f t="shared" si="69"/>
        <v>0.5</v>
      </c>
      <c r="BS39" s="4">
        <f t="shared" si="51"/>
        <v>0.02</v>
      </c>
      <c r="BT39" s="4">
        <v>224.0</v>
      </c>
      <c r="BU39" s="4">
        <v>1266.0</v>
      </c>
      <c r="BV39" s="4">
        <f t="shared" si="52"/>
        <v>0.5</v>
      </c>
      <c r="BW39" s="4">
        <f t="shared" si="62"/>
        <v>10</v>
      </c>
      <c r="BX39" s="4">
        <f t="shared" ref="BX39:CE39" si="70">0.5*20</f>
        <v>10</v>
      </c>
      <c r="BY39" s="4">
        <f t="shared" si="70"/>
        <v>10</v>
      </c>
      <c r="BZ39" s="4">
        <f t="shared" si="70"/>
        <v>10</v>
      </c>
      <c r="CA39" s="4">
        <f t="shared" si="70"/>
        <v>10</v>
      </c>
      <c r="CB39" s="4">
        <f t="shared" si="70"/>
        <v>10</v>
      </c>
      <c r="CC39" s="4">
        <f t="shared" si="70"/>
        <v>10</v>
      </c>
      <c r="CD39" s="4">
        <f t="shared" si="70"/>
        <v>10</v>
      </c>
      <c r="CE39" s="4">
        <f t="shared" si="70"/>
        <v>10</v>
      </c>
      <c r="CF39" s="4">
        <f t="shared" si="54"/>
        <v>0.05</v>
      </c>
      <c r="CG39" s="4">
        <v>897.0</v>
      </c>
      <c r="CH39" s="4">
        <v>2681.0</v>
      </c>
      <c r="CI39" s="4">
        <f t="shared" si="64"/>
        <v>10</v>
      </c>
      <c r="CJ39" s="4"/>
      <c r="CK39" s="4"/>
      <c r="CL39" s="4">
        <v>0.003</v>
      </c>
      <c r="CM39" s="4"/>
      <c r="CN39" s="4"/>
      <c r="CO39" s="4"/>
      <c r="CP39" s="4"/>
      <c r="CQ39" s="4"/>
      <c r="CR39" s="4"/>
      <c r="CS39" s="4"/>
      <c r="CT39" s="4"/>
      <c r="CU39" s="4">
        <v>4624.18</v>
      </c>
      <c r="CV39" s="4"/>
      <c r="CW39" s="4"/>
      <c r="CX39" s="4"/>
      <c r="CY39" s="4">
        <v>2199.35</v>
      </c>
      <c r="CZ39" s="4"/>
      <c r="DA39" s="4"/>
      <c r="DB39" s="4"/>
      <c r="DC39" s="4"/>
    </row>
    <row r="40">
      <c r="A40" s="4" t="s">
        <v>304</v>
      </c>
      <c r="B40" s="4" t="s">
        <v>305</v>
      </c>
      <c r="C40" s="5" t="s">
        <v>336</v>
      </c>
      <c r="D40" s="5" t="s">
        <v>337</v>
      </c>
      <c r="E40" s="4" t="s">
        <v>325</v>
      </c>
      <c r="F40" s="4" t="s">
        <v>326</v>
      </c>
      <c r="G40" s="4" t="s">
        <v>113</v>
      </c>
      <c r="H40" s="4" t="s">
        <v>308</v>
      </c>
      <c r="I40" s="4" t="s">
        <v>278</v>
      </c>
      <c r="J40" s="4" t="s">
        <v>309</v>
      </c>
      <c r="K40" s="4" t="s">
        <v>338</v>
      </c>
      <c r="L40" s="4">
        <v>-19.3215</v>
      </c>
      <c r="M40" s="4">
        <v>-65.552</v>
      </c>
      <c r="N40" s="4"/>
      <c r="O40" s="4"/>
      <c r="P40" s="4"/>
      <c r="Q40" s="4">
        <v>134.9</v>
      </c>
      <c r="R40" s="4">
        <v>4.1</v>
      </c>
      <c r="S40" s="4"/>
      <c r="T40" s="4">
        <v>350.0</v>
      </c>
      <c r="U40" s="4">
        <v>0.0</v>
      </c>
      <c r="V40" s="4">
        <v>12.1</v>
      </c>
      <c r="W40" s="4">
        <v>6.92</v>
      </c>
      <c r="X40" s="4">
        <v>99.9</v>
      </c>
      <c r="Y40" s="4">
        <v>58.9</v>
      </c>
      <c r="Z40" s="4">
        <v>300.0</v>
      </c>
      <c r="AA40" s="4">
        <v>294.0</v>
      </c>
      <c r="AB40" s="4">
        <v>6.0</v>
      </c>
      <c r="AC40" s="4"/>
      <c r="AD40" s="4">
        <v>132.4</v>
      </c>
      <c r="AE40" s="4">
        <f t="shared" ref="AE40:AF40" si="71">0.5*5</f>
        <v>2.5</v>
      </c>
      <c r="AF40" s="4">
        <f t="shared" si="71"/>
        <v>2.5</v>
      </c>
      <c r="AG40" s="4">
        <v>6.9</v>
      </c>
      <c r="AH40" s="4">
        <v>134.6</v>
      </c>
      <c r="AI40" s="4">
        <v>21.64</v>
      </c>
      <c r="AJ40" s="4">
        <v>19.03</v>
      </c>
      <c r="AK40" s="4">
        <v>1.2</v>
      </c>
      <c r="AL40" s="4">
        <v>1.0</v>
      </c>
      <c r="AM40" s="4">
        <v>22.44</v>
      </c>
      <c r="AN40" s="4">
        <v>19.5</v>
      </c>
      <c r="AO40" s="4">
        <v>1.2</v>
      </c>
      <c r="AP40" s="4">
        <v>1.0</v>
      </c>
      <c r="AQ40" s="4"/>
      <c r="AR40" s="4"/>
      <c r="AS40" s="4"/>
      <c r="AT40" s="4"/>
      <c r="AU40" s="4"/>
      <c r="AV40" s="4"/>
      <c r="AW40" s="4"/>
      <c r="AX40" s="4">
        <f>0.5*5</f>
        <v>2.5</v>
      </c>
      <c r="AY40" s="4">
        <v>4.0</v>
      </c>
      <c r="AZ40" s="4"/>
      <c r="BA40" s="4"/>
      <c r="BB40" s="4"/>
      <c r="BC40" s="4"/>
      <c r="BD40" s="4"/>
      <c r="BE40" s="4"/>
      <c r="BF40" s="4">
        <f t="shared" si="55"/>
        <v>0.5</v>
      </c>
      <c r="BG40" s="4">
        <f t="shared" si="56"/>
        <v>10</v>
      </c>
      <c r="BH40" s="4">
        <f t="shared" si="57"/>
        <v>0.5</v>
      </c>
      <c r="BI40" s="4">
        <f t="shared" si="58"/>
        <v>10</v>
      </c>
      <c r="BJ40" s="4">
        <f t="shared" si="59"/>
        <v>0.5</v>
      </c>
      <c r="BK40" s="4">
        <v>3322.0</v>
      </c>
      <c r="BL40" s="4">
        <v>19.0</v>
      </c>
      <c r="BM40" s="4">
        <v>598.0</v>
      </c>
      <c r="BN40" s="4">
        <v>1040.0</v>
      </c>
      <c r="BO40" s="4">
        <f>0.5*1</f>
        <v>0.5</v>
      </c>
      <c r="BP40" s="4">
        <v>4.0</v>
      </c>
      <c r="BQ40" s="4">
        <f t="shared" ref="BQ40:BR40" si="72">0.5*1</f>
        <v>0.5</v>
      </c>
      <c r="BR40" s="4">
        <f t="shared" si="72"/>
        <v>0.5</v>
      </c>
      <c r="BS40" s="4">
        <f t="shared" si="51"/>
        <v>0.02</v>
      </c>
      <c r="BT40" s="4">
        <v>10633.0</v>
      </c>
      <c r="BU40" s="4">
        <v>50.0</v>
      </c>
      <c r="BV40" s="4">
        <f t="shared" si="52"/>
        <v>0.5</v>
      </c>
      <c r="BW40" s="4">
        <f t="shared" si="62"/>
        <v>10</v>
      </c>
      <c r="BX40" s="4">
        <v>4082.0</v>
      </c>
      <c r="BY40" s="4">
        <f t="shared" ref="BY40:BY53" si="76">0.5*20</f>
        <v>10</v>
      </c>
      <c r="BZ40" s="4">
        <v>632.0</v>
      </c>
      <c r="CA40" s="4">
        <v>1224.0</v>
      </c>
      <c r="CB40" s="4">
        <f t="shared" ref="CB40:CE40" si="73">0.5*20</f>
        <v>10</v>
      </c>
      <c r="CC40" s="4">
        <f t="shared" si="73"/>
        <v>10</v>
      </c>
      <c r="CD40" s="4">
        <f t="shared" si="73"/>
        <v>10</v>
      </c>
      <c r="CE40" s="4">
        <f t="shared" si="73"/>
        <v>10</v>
      </c>
      <c r="CF40" s="4">
        <f t="shared" si="54"/>
        <v>0.05</v>
      </c>
      <c r="CG40" s="4">
        <v>22077.0</v>
      </c>
      <c r="CH40" s="4">
        <f t="shared" ref="CH40:CI40" si="74">0.5*20</f>
        <v>10</v>
      </c>
      <c r="CI40" s="4">
        <f t="shared" si="74"/>
        <v>10</v>
      </c>
      <c r="CJ40" s="4"/>
      <c r="CK40" s="4"/>
      <c r="CL40" s="4">
        <v>0.003</v>
      </c>
      <c r="CM40" s="4"/>
      <c r="CN40" s="4"/>
      <c r="CO40" s="4"/>
      <c r="CP40" s="4"/>
      <c r="CQ40" s="4">
        <v>30666.67</v>
      </c>
      <c r="CR40" s="4"/>
      <c r="CS40" s="4"/>
      <c r="CT40" s="4"/>
      <c r="CU40" s="4"/>
      <c r="CV40" s="4"/>
      <c r="CW40" s="4">
        <v>5666.67</v>
      </c>
      <c r="CX40" s="4"/>
      <c r="CY40" s="4">
        <v>1907333.33</v>
      </c>
      <c r="CZ40" s="4">
        <v>126666.67</v>
      </c>
      <c r="DA40" s="4"/>
      <c r="DB40" s="4"/>
      <c r="DC40" s="4"/>
    </row>
    <row r="41">
      <c r="A41" s="4" t="s">
        <v>281</v>
      </c>
      <c r="B41" s="4" t="s">
        <v>282</v>
      </c>
      <c r="C41" s="5" t="s">
        <v>336</v>
      </c>
      <c r="D41" s="5" t="s">
        <v>339</v>
      </c>
      <c r="E41" s="4" t="s">
        <v>325</v>
      </c>
      <c r="F41" s="4" t="s">
        <v>326</v>
      </c>
      <c r="G41" s="4" t="s">
        <v>113</v>
      </c>
      <c r="H41" s="4" t="s">
        <v>281</v>
      </c>
      <c r="I41" s="4" t="s">
        <v>278</v>
      </c>
      <c r="J41" s="4" t="s">
        <v>340</v>
      </c>
      <c r="K41" s="4" t="s">
        <v>285</v>
      </c>
      <c r="L41" s="4">
        <v>-19.4718</v>
      </c>
      <c r="M41" s="4">
        <v>-65.7943</v>
      </c>
      <c r="N41" s="4">
        <v>0.581</v>
      </c>
      <c r="O41" s="4">
        <v>1.0</v>
      </c>
      <c r="P41" s="4"/>
      <c r="Q41" s="4">
        <v>137.4</v>
      </c>
      <c r="R41" s="4">
        <v>6.8</v>
      </c>
      <c r="S41" s="4"/>
      <c r="T41" s="4">
        <v>652.0</v>
      </c>
      <c r="U41" s="4">
        <v>0.1</v>
      </c>
      <c r="V41" s="4">
        <v>3.5</v>
      </c>
      <c r="W41" s="4">
        <v>8.66</v>
      </c>
      <c r="X41" s="4">
        <v>96.7</v>
      </c>
      <c r="Y41" s="4">
        <v>73.1</v>
      </c>
      <c r="Z41" s="4">
        <v>525.0</v>
      </c>
      <c r="AA41" s="4">
        <v>482.0</v>
      </c>
      <c r="AB41" s="4">
        <v>43.0</v>
      </c>
      <c r="AC41" s="4"/>
      <c r="AD41" s="4">
        <v>214.1</v>
      </c>
      <c r="AE41" s="4">
        <f>0.5*5</f>
        <v>2.5</v>
      </c>
      <c r="AF41" s="4">
        <v>60.0</v>
      </c>
      <c r="AG41" s="4">
        <v>39.7</v>
      </c>
      <c r="AH41" s="4">
        <v>180.9</v>
      </c>
      <c r="AI41" s="4">
        <v>68.13</v>
      </c>
      <c r="AJ41" s="4">
        <v>10.69</v>
      </c>
      <c r="AK41" s="4">
        <v>50.4</v>
      </c>
      <c r="AL41" s="4">
        <v>1.5</v>
      </c>
      <c r="AM41" s="4">
        <v>68.93</v>
      </c>
      <c r="AN41" s="4">
        <v>10.84</v>
      </c>
      <c r="AO41" s="4">
        <v>51.8</v>
      </c>
      <c r="AP41" s="4">
        <v>1.5</v>
      </c>
      <c r="AQ41" s="4"/>
      <c r="AR41" s="4"/>
      <c r="AS41" s="4"/>
      <c r="AT41" s="4"/>
      <c r="AU41" s="4"/>
      <c r="AV41" s="4"/>
      <c r="AW41" s="4"/>
      <c r="AX41" s="4">
        <v>23.0</v>
      </c>
      <c r="AY41" s="4">
        <v>40.0</v>
      </c>
      <c r="AZ41" s="4"/>
      <c r="BA41" s="4"/>
      <c r="BB41" s="4"/>
      <c r="BC41" s="4"/>
      <c r="BD41" s="4"/>
      <c r="BE41" s="4"/>
      <c r="BF41" s="4">
        <f t="shared" si="55"/>
        <v>0.5</v>
      </c>
      <c r="BG41" s="4">
        <f t="shared" si="56"/>
        <v>10</v>
      </c>
      <c r="BH41" s="4">
        <f t="shared" si="57"/>
        <v>0.5</v>
      </c>
      <c r="BI41" s="4">
        <f t="shared" si="58"/>
        <v>10</v>
      </c>
      <c r="BJ41" s="4">
        <f t="shared" si="59"/>
        <v>0.5</v>
      </c>
      <c r="BK41" s="4">
        <v>479.0</v>
      </c>
      <c r="BL41" s="4">
        <v>4.0</v>
      </c>
      <c r="BM41" s="4">
        <v>9.0</v>
      </c>
      <c r="BN41" s="4">
        <v>1258.0</v>
      </c>
      <c r="BO41" s="4">
        <v>13.0</v>
      </c>
      <c r="BP41" s="4">
        <v>4.0</v>
      </c>
      <c r="BQ41" s="4">
        <f t="shared" ref="BQ41:BR41" si="75">0.5*1</f>
        <v>0.5</v>
      </c>
      <c r="BR41" s="4">
        <f t="shared" si="75"/>
        <v>0.5</v>
      </c>
      <c r="BS41" s="4">
        <f t="shared" si="51"/>
        <v>0.02</v>
      </c>
      <c r="BT41" s="4">
        <v>579.0</v>
      </c>
      <c r="BU41" s="4">
        <v>295.0</v>
      </c>
      <c r="BV41" s="4">
        <f t="shared" si="52"/>
        <v>0.5</v>
      </c>
      <c r="BW41" s="4">
        <f t="shared" si="62"/>
        <v>10</v>
      </c>
      <c r="BX41" s="4">
        <v>638.0</v>
      </c>
      <c r="BY41" s="4">
        <f t="shared" si="76"/>
        <v>10</v>
      </c>
      <c r="BZ41" s="4">
        <v>31.0</v>
      </c>
      <c r="CA41" s="4">
        <v>3665.0</v>
      </c>
      <c r="CB41" s="4">
        <v>43.0</v>
      </c>
      <c r="CC41" s="4">
        <f t="shared" ref="CC41:CE41" si="77">0.5*20</f>
        <v>10</v>
      </c>
      <c r="CD41" s="4">
        <f t="shared" si="77"/>
        <v>10</v>
      </c>
      <c r="CE41" s="4">
        <f t="shared" si="77"/>
        <v>10</v>
      </c>
      <c r="CF41" s="4">
        <f t="shared" si="54"/>
        <v>0.05</v>
      </c>
      <c r="CG41" s="4">
        <v>6008.0</v>
      </c>
      <c r="CH41" s="4">
        <v>208.0</v>
      </c>
      <c r="CI41" s="4">
        <f>0.5*20</f>
        <v>10</v>
      </c>
      <c r="CJ41" s="4"/>
      <c r="CK41" s="4"/>
      <c r="CL41" s="4">
        <v>0.004</v>
      </c>
      <c r="CM41" s="4"/>
      <c r="CN41" s="4"/>
      <c r="CO41" s="4"/>
      <c r="CP41" s="4"/>
      <c r="CQ41" s="4">
        <v>55976.74</v>
      </c>
      <c r="CR41" s="4"/>
      <c r="CS41" s="4">
        <v>697.67</v>
      </c>
      <c r="CT41" s="4"/>
      <c r="CU41" s="4"/>
      <c r="CV41" s="4"/>
      <c r="CW41" s="4">
        <v>511.63</v>
      </c>
      <c r="CX41" s="4"/>
      <c r="CY41" s="4">
        <v>126255.81</v>
      </c>
      <c r="CZ41" s="4">
        <v>3697.67</v>
      </c>
      <c r="DA41" s="4"/>
      <c r="DB41" s="4"/>
      <c r="DC41" s="4"/>
    </row>
    <row r="42">
      <c r="A42" s="4" t="s">
        <v>292</v>
      </c>
      <c r="B42" s="4" t="s">
        <v>293</v>
      </c>
      <c r="C42" s="5" t="s">
        <v>341</v>
      </c>
      <c r="D42" s="5" t="s">
        <v>342</v>
      </c>
      <c r="E42" s="4" t="s">
        <v>325</v>
      </c>
      <c r="F42" s="4" t="s">
        <v>326</v>
      </c>
      <c r="G42" s="4" t="s">
        <v>113</v>
      </c>
      <c r="H42" s="4" t="s">
        <v>296</v>
      </c>
      <c r="J42" s="4" t="s">
        <v>343</v>
      </c>
      <c r="K42" s="4" t="s">
        <v>344</v>
      </c>
      <c r="L42" s="4">
        <v>-19.133</v>
      </c>
      <c r="M42" s="4">
        <v>-65.5701</v>
      </c>
      <c r="N42" s="4">
        <v>0.623</v>
      </c>
      <c r="O42" s="4">
        <v>0.0</v>
      </c>
      <c r="P42" s="4"/>
      <c r="Q42" s="4">
        <v>146.5</v>
      </c>
      <c r="R42" s="4">
        <v>8.6</v>
      </c>
      <c r="S42" s="4"/>
      <c r="T42" s="4">
        <v>600.0</v>
      </c>
      <c r="U42" s="4">
        <v>0.0</v>
      </c>
      <c r="V42" s="4">
        <v>19.5</v>
      </c>
      <c r="W42" s="4">
        <v>6.49</v>
      </c>
      <c r="X42" s="4">
        <v>99.4</v>
      </c>
      <c r="Y42" s="4">
        <v>31.0</v>
      </c>
      <c r="Z42" s="4">
        <v>422.0</v>
      </c>
      <c r="AA42" s="4">
        <v>416.0</v>
      </c>
      <c r="AB42" s="4">
        <v>6.0</v>
      </c>
      <c r="AC42" s="4"/>
      <c r="AD42" s="4">
        <v>243.3</v>
      </c>
      <c r="AE42" s="4">
        <v>10.0</v>
      </c>
      <c r="AF42" s="4">
        <v>175.0</v>
      </c>
      <c r="AG42" s="4">
        <v>5.9</v>
      </c>
      <c r="AH42" s="4">
        <v>146.69</v>
      </c>
      <c r="AI42" s="4">
        <v>50.5</v>
      </c>
      <c r="AJ42" s="4">
        <v>28.46</v>
      </c>
      <c r="AK42" s="4">
        <v>7.8</v>
      </c>
      <c r="AL42" s="4">
        <v>5.4</v>
      </c>
      <c r="AM42" s="4">
        <v>51.3</v>
      </c>
      <c r="AN42" s="4">
        <v>29.54</v>
      </c>
      <c r="AO42" s="4">
        <v>8.2</v>
      </c>
      <c r="AP42" s="4">
        <v>5.4</v>
      </c>
      <c r="AQ42" s="4"/>
      <c r="AR42" s="4"/>
      <c r="AS42" s="4"/>
      <c r="AT42" s="4"/>
      <c r="AU42" s="4"/>
      <c r="AV42" s="4"/>
      <c r="AW42" s="4"/>
      <c r="AX42" s="4">
        <v>27.0</v>
      </c>
      <c r="AY42" s="4">
        <v>40.0</v>
      </c>
      <c r="AZ42" s="4"/>
      <c r="BA42" s="4"/>
      <c r="BB42" s="4"/>
      <c r="BC42" s="4"/>
      <c r="BD42" s="4"/>
      <c r="BE42" s="4"/>
      <c r="BF42" s="4">
        <f t="shared" si="55"/>
        <v>0.5</v>
      </c>
      <c r="BG42" s="4">
        <f t="shared" si="56"/>
        <v>10</v>
      </c>
      <c r="BH42" s="4">
        <f t="shared" si="57"/>
        <v>0.5</v>
      </c>
      <c r="BI42" s="4">
        <f t="shared" si="58"/>
        <v>10</v>
      </c>
      <c r="BJ42" s="4">
        <f t="shared" si="59"/>
        <v>0.5</v>
      </c>
      <c r="BK42" s="4">
        <v>212.0</v>
      </c>
      <c r="BL42" s="4">
        <v>2.0</v>
      </c>
      <c r="BM42" s="4">
        <f t="shared" ref="BM42:BR42" si="78">0.5*1</f>
        <v>0.5</v>
      </c>
      <c r="BN42" s="4">
        <f t="shared" si="78"/>
        <v>0.5</v>
      </c>
      <c r="BO42" s="4">
        <f t="shared" si="78"/>
        <v>0.5</v>
      </c>
      <c r="BP42" s="4">
        <f t="shared" si="78"/>
        <v>0.5</v>
      </c>
      <c r="BQ42" s="4">
        <f t="shared" si="78"/>
        <v>0.5</v>
      </c>
      <c r="BR42" s="4">
        <f t="shared" si="78"/>
        <v>0.5</v>
      </c>
      <c r="BS42" s="4">
        <f t="shared" si="51"/>
        <v>0.02</v>
      </c>
      <c r="BT42" s="4">
        <v>169.0</v>
      </c>
      <c r="BU42" s="4">
        <v>136.0</v>
      </c>
      <c r="BV42" s="4">
        <f t="shared" si="52"/>
        <v>0.5</v>
      </c>
      <c r="BW42" s="4">
        <f t="shared" si="62"/>
        <v>10</v>
      </c>
      <c r="BX42" s="4">
        <v>286.0</v>
      </c>
      <c r="BY42" s="4">
        <f t="shared" si="76"/>
        <v>10</v>
      </c>
      <c r="BZ42" s="4">
        <f t="shared" ref="BZ42:BZ43" si="81">0.5*20</f>
        <v>10</v>
      </c>
      <c r="CA42" s="4">
        <v>135.0</v>
      </c>
      <c r="CB42" s="4">
        <v>41.0</v>
      </c>
      <c r="CC42" s="4">
        <f t="shared" ref="CC42:CE42" si="79">0.5*20</f>
        <v>10</v>
      </c>
      <c r="CD42" s="4">
        <f t="shared" si="79"/>
        <v>10</v>
      </c>
      <c r="CE42" s="4">
        <f t="shared" si="79"/>
        <v>10</v>
      </c>
      <c r="CF42" s="4">
        <f t="shared" si="54"/>
        <v>0.05</v>
      </c>
      <c r="CG42" s="4">
        <v>2821.0</v>
      </c>
      <c r="CH42" s="4">
        <v>76.0</v>
      </c>
      <c r="CI42" s="4">
        <v>26.0</v>
      </c>
      <c r="CJ42" s="4"/>
      <c r="CK42" s="4"/>
      <c r="CL42" s="4">
        <v>0.004</v>
      </c>
      <c r="CM42" s="4"/>
      <c r="CN42" s="4"/>
      <c r="CO42" s="4"/>
      <c r="CP42" s="4">
        <v>4333.33</v>
      </c>
      <c r="CQ42" s="4">
        <v>22500.0</v>
      </c>
      <c r="CR42" s="4"/>
      <c r="CS42" s="4">
        <v>6833.33</v>
      </c>
      <c r="CT42" s="4"/>
      <c r="CU42" s="4"/>
      <c r="CV42" s="4"/>
      <c r="CW42" s="4"/>
      <c r="CX42" s="4"/>
      <c r="CY42" s="4">
        <v>442000.0</v>
      </c>
      <c r="CZ42" s="4">
        <v>12333.33</v>
      </c>
      <c r="DA42" s="4"/>
      <c r="DB42" s="4"/>
      <c r="DC42" s="4"/>
    </row>
    <row r="43">
      <c r="A43" s="4" t="s">
        <v>299</v>
      </c>
      <c r="B43" s="4" t="s">
        <v>300</v>
      </c>
      <c r="C43" s="5" t="s">
        <v>341</v>
      </c>
      <c r="D43" s="5" t="s">
        <v>307</v>
      </c>
      <c r="E43" s="4" t="s">
        <v>325</v>
      </c>
      <c r="F43" s="4" t="s">
        <v>326</v>
      </c>
      <c r="G43" s="4" t="s">
        <v>113</v>
      </c>
      <c r="H43" s="4" t="s">
        <v>114</v>
      </c>
      <c r="J43" s="4" t="s">
        <v>345</v>
      </c>
      <c r="K43" s="4" t="s">
        <v>346</v>
      </c>
      <c r="L43" s="4">
        <v>-19.1324</v>
      </c>
      <c r="M43" s="4">
        <v>-65.572</v>
      </c>
      <c r="N43" s="4">
        <v>1.087</v>
      </c>
      <c r="O43" s="4">
        <v>8.0</v>
      </c>
      <c r="P43" s="4"/>
      <c r="Q43" s="4">
        <v>151.5</v>
      </c>
      <c r="R43" s="4">
        <v>8.32</v>
      </c>
      <c r="S43" s="4">
        <v>-83.1</v>
      </c>
      <c r="T43" s="4">
        <v>854.0</v>
      </c>
      <c r="U43" s="4">
        <v>0.2</v>
      </c>
      <c r="V43" s="4">
        <v>14.5</v>
      </c>
      <c r="W43" s="4">
        <v>7.41</v>
      </c>
      <c r="X43" s="4">
        <v>101.7</v>
      </c>
      <c r="Y43" s="4">
        <v>95.9</v>
      </c>
      <c r="Z43" s="4">
        <v>684.0</v>
      </c>
      <c r="AA43" s="4">
        <v>610.0</v>
      </c>
      <c r="AB43" s="4">
        <v>74.0</v>
      </c>
      <c r="AC43" s="4"/>
      <c r="AD43" s="4">
        <v>178.55</v>
      </c>
      <c r="AE43" s="4">
        <v>5.0</v>
      </c>
      <c r="AF43" s="4">
        <v>120.0</v>
      </c>
      <c r="AG43" s="4">
        <v>121.2</v>
      </c>
      <c r="AH43" s="4">
        <v>95.22</v>
      </c>
      <c r="AI43" s="4">
        <v>52.1</v>
      </c>
      <c r="AJ43" s="4">
        <v>11.77</v>
      </c>
      <c r="AK43" s="4">
        <v>54.0</v>
      </c>
      <c r="AL43" s="4">
        <v>8.3</v>
      </c>
      <c r="AM43" s="4">
        <v>55.31</v>
      </c>
      <c r="AN43" s="4">
        <v>12.08</v>
      </c>
      <c r="AO43" s="4">
        <v>56.9</v>
      </c>
      <c r="AP43" s="4">
        <v>8.3</v>
      </c>
      <c r="AQ43" s="4"/>
      <c r="AR43" s="4"/>
      <c r="AS43" s="4"/>
      <c r="AT43" s="4"/>
      <c r="AU43" s="4"/>
      <c r="AV43" s="4"/>
      <c r="AW43" s="4"/>
      <c r="AX43" s="4">
        <v>16.0</v>
      </c>
      <c r="AY43" s="4">
        <v>29.0</v>
      </c>
      <c r="AZ43" s="4"/>
      <c r="BA43" s="4"/>
      <c r="BB43" s="4"/>
      <c r="BC43" s="4"/>
      <c r="BD43" s="4"/>
      <c r="BE43" s="4"/>
      <c r="BF43" s="4">
        <f t="shared" si="55"/>
        <v>0.5</v>
      </c>
      <c r="BG43" s="4">
        <f t="shared" si="56"/>
        <v>10</v>
      </c>
      <c r="BH43" s="4">
        <f t="shared" si="57"/>
        <v>0.5</v>
      </c>
      <c r="BI43" s="4">
        <f t="shared" si="58"/>
        <v>10</v>
      </c>
      <c r="BJ43" s="4">
        <f t="shared" si="59"/>
        <v>0.5</v>
      </c>
      <c r="BK43" s="4">
        <v>220.0</v>
      </c>
      <c r="BL43" s="4">
        <f>0.5*1</f>
        <v>0.5</v>
      </c>
      <c r="BM43" s="4">
        <v>1.0</v>
      </c>
      <c r="BN43" s="4">
        <v>166.0</v>
      </c>
      <c r="BO43" s="4">
        <v>8.0</v>
      </c>
      <c r="BP43" s="4">
        <f t="shared" ref="BP43:BR43" si="80">0.5*1</f>
        <v>0.5</v>
      </c>
      <c r="BQ43" s="4">
        <f t="shared" si="80"/>
        <v>0.5</v>
      </c>
      <c r="BR43" s="4">
        <f t="shared" si="80"/>
        <v>0.5</v>
      </c>
      <c r="BS43" s="4">
        <f t="shared" si="51"/>
        <v>0.02</v>
      </c>
      <c r="BT43" s="4">
        <v>183.0</v>
      </c>
      <c r="BU43" s="4">
        <v>1107.0</v>
      </c>
      <c r="BV43" s="4">
        <f t="shared" si="52"/>
        <v>0.5</v>
      </c>
      <c r="BW43" s="4">
        <f t="shared" si="62"/>
        <v>10</v>
      </c>
      <c r="BX43" s="4">
        <v>415.0</v>
      </c>
      <c r="BY43" s="4">
        <f t="shared" si="76"/>
        <v>10</v>
      </c>
      <c r="BZ43" s="4">
        <f t="shared" si="81"/>
        <v>10</v>
      </c>
      <c r="CA43" s="4">
        <v>1196.0</v>
      </c>
      <c r="CB43" s="4">
        <f t="shared" ref="CB43:CE43" si="82">0.5*20</f>
        <v>10</v>
      </c>
      <c r="CC43" s="4">
        <f t="shared" si="82"/>
        <v>10</v>
      </c>
      <c r="CD43" s="4">
        <f t="shared" si="82"/>
        <v>10</v>
      </c>
      <c r="CE43" s="4">
        <f t="shared" si="82"/>
        <v>10</v>
      </c>
      <c r="CF43" s="4">
        <f t="shared" si="54"/>
        <v>0.05</v>
      </c>
      <c r="CG43" s="4">
        <v>3098.0</v>
      </c>
      <c r="CH43" s="4">
        <v>1195.0</v>
      </c>
      <c r="CI43" s="4">
        <f t="shared" ref="CI43:CI46" si="86">0.5*20</f>
        <v>10</v>
      </c>
      <c r="CJ43" s="4"/>
      <c r="CK43" s="4"/>
      <c r="CL43" s="4">
        <v>0.016</v>
      </c>
      <c r="CM43" s="4"/>
      <c r="CN43" s="4"/>
      <c r="CO43" s="4"/>
      <c r="CP43" s="4"/>
      <c r="CQ43" s="4">
        <v>13918.92</v>
      </c>
      <c r="CR43" s="4"/>
      <c r="CS43" s="4"/>
      <c r="CT43" s="4"/>
      <c r="CU43" s="4">
        <v>1189.19</v>
      </c>
      <c r="CV43" s="4"/>
      <c r="CW43" s="4"/>
      <c r="CX43" s="4"/>
      <c r="CY43" s="4">
        <v>39391.89</v>
      </c>
      <c r="CZ43" s="4">
        <v>2635.14</v>
      </c>
      <c r="DA43" s="4"/>
      <c r="DB43" s="4"/>
      <c r="DC43" s="4"/>
    </row>
    <row r="44">
      <c r="A44" s="4" t="s">
        <v>107</v>
      </c>
      <c r="B44" s="4" t="s">
        <v>108</v>
      </c>
      <c r="C44" s="5" t="s">
        <v>347</v>
      </c>
      <c r="D44" s="5" t="s">
        <v>348</v>
      </c>
      <c r="E44" s="4" t="s">
        <v>349</v>
      </c>
      <c r="F44" s="4" t="s">
        <v>326</v>
      </c>
      <c r="G44" s="4" t="s">
        <v>113</v>
      </c>
      <c r="H44" s="4" t="s">
        <v>114</v>
      </c>
      <c r="I44" s="4" t="s">
        <v>115</v>
      </c>
      <c r="J44" s="4" t="s">
        <v>350</v>
      </c>
      <c r="K44" s="4" t="s">
        <v>351</v>
      </c>
      <c r="L44" s="4">
        <v>-24.7483</v>
      </c>
      <c r="M44" s="4">
        <v>-58.8331</v>
      </c>
      <c r="N44" s="4"/>
      <c r="O44" s="4"/>
      <c r="P44" s="4"/>
      <c r="Q44" s="4"/>
      <c r="R44" s="4">
        <v>7.38</v>
      </c>
      <c r="S44" s="4">
        <v>-27.0</v>
      </c>
      <c r="T44" s="4">
        <v>350.0</v>
      </c>
      <c r="U44" s="4"/>
      <c r="V44" s="4"/>
      <c r="W44" s="4">
        <v>2.62</v>
      </c>
      <c r="X44" s="4">
        <v>34.1</v>
      </c>
      <c r="Y44" s="4">
        <v>122.0</v>
      </c>
      <c r="Z44" s="4">
        <v>345.0</v>
      </c>
      <c r="AA44" s="4">
        <v>245.5</v>
      </c>
      <c r="AB44" s="4">
        <v>99.5</v>
      </c>
      <c r="AC44" s="4">
        <v>225.0</v>
      </c>
      <c r="AD44" s="4">
        <v>67.0</v>
      </c>
      <c r="AE44" s="4">
        <v>0.0</v>
      </c>
      <c r="AF44" s="4">
        <v>64.5</v>
      </c>
      <c r="AG44" s="4">
        <v>33.0</v>
      </c>
      <c r="AH44" s="4">
        <v>33.8</v>
      </c>
      <c r="AI44" s="4">
        <v>17.2</v>
      </c>
      <c r="AJ44" s="4">
        <v>5.83</v>
      </c>
      <c r="AK44" s="4">
        <v>35.19</v>
      </c>
      <c r="AL44" s="4">
        <v>16.51</v>
      </c>
      <c r="AM44" s="4"/>
      <c r="AN44" s="4"/>
      <c r="AO44" s="4"/>
      <c r="AP44" s="4"/>
      <c r="AQ44" s="4"/>
      <c r="AR44" s="4">
        <v>3.293</v>
      </c>
      <c r="AS44" s="4"/>
      <c r="AT44" s="4">
        <v>0.252</v>
      </c>
      <c r="AU44" s="4">
        <v>0.042</v>
      </c>
      <c r="AV44" s="4">
        <v>1.77</v>
      </c>
      <c r="AW44" s="4">
        <v>0.306</v>
      </c>
      <c r="AX44" s="4">
        <v>4.7</v>
      </c>
      <c r="AY44" s="4">
        <v>71.8</v>
      </c>
      <c r="AZ44" s="4"/>
      <c r="BA44" s="4">
        <v>34100.0</v>
      </c>
      <c r="BB44" s="4">
        <v>2480.0</v>
      </c>
      <c r="BC44" s="4"/>
      <c r="BD44" s="4"/>
      <c r="BE44" s="4">
        <v>6820.0</v>
      </c>
      <c r="BF44" s="4">
        <f t="shared" si="55"/>
        <v>0.5</v>
      </c>
      <c r="BG44" s="4">
        <f t="shared" si="56"/>
        <v>10</v>
      </c>
      <c r="BH44" s="4">
        <f t="shared" si="57"/>
        <v>0.5</v>
      </c>
      <c r="BI44" s="4">
        <f t="shared" si="58"/>
        <v>10</v>
      </c>
      <c r="BJ44" s="4">
        <f t="shared" si="59"/>
        <v>0.5</v>
      </c>
      <c r="BK44" s="4">
        <v>231.0</v>
      </c>
      <c r="BL44" s="4">
        <v>2.0</v>
      </c>
      <c r="BM44" s="4">
        <f t="shared" ref="BM44:BN44" si="83">0.5*1</f>
        <v>0.5</v>
      </c>
      <c r="BN44" s="4">
        <f t="shared" si="83"/>
        <v>0.5</v>
      </c>
      <c r="BO44" s="4">
        <v>4.0</v>
      </c>
      <c r="BP44" s="4">
        <f t="shared" ref="BP44:BR44" si="84">0.5*1</f>
        <v>0.5</v>
      </c>
      <c r="BQ44" s="4">
        <f t="shared" si="84"/>
        <v>0.5</v>
      </c>
      <c r="BR44" s="4">
        <f t="shared" si="84"/>
        <v>0.5</v>
      </c>
      <c r="BS44" s="4">
        <f t="shared" si="51"/>
        <v>0.02</v>
      </c>
      <c r="BT44" s="4">
        <v>795.0</v>
      </c>
      <c r="BU44" s="4">
        <v>148.0</v>
      </c>
      <c r="BV44" s="4">
        <f t="shared" si="52"/>
        <v>0.5</v>
      </c>
      <c r="BW44" s="4">
        <f t="shared" si="62"/>
        <v>10</v>
      </c>
      <c r="BX44" s="4">
        <v>239.0</v>
      </c>
      <c r="BY44" s="4">
        <f t="shared" si="76"/>
        <v>10</v>
      </c>
      <c r="BZ44" s="4">
        <v>209.0</v>
      </c>
      <c r="CA44" s="4">
        <v>123.0</v>
      </c>
      <c r="CB44" s="4">
        <f t="shared" ref="CB44:CE44" si="85">0.5*20</f>
        <v>10</v>
      </c>
      <c r="CC44" s="4">
        <f t="shared" si="85"/>
        <v>10</v>
      </c>
      <c r="CD44" s="4">
        <f t="shared" si="85"/>
        <v>10</v>
      </c>
      <c r="CE44" s="4">
        <f t="shared" si="85"/>
        <v>10</v>
      </c>
      <c r="CF44" s="4">
        <f t="shared" si="54"/>
        <v>0.05</v>
      </c>
      <c r="CG44" s="4">
        <v>3202.0</v>
      </c>
      <c r="CH44" s="4">
        <v>48.0</v>
      </c>
      <c r="CI44" s="4">
        <f t="shared" si="86"/>
        <v>10</v>
      </c>
      <c r="CJ44" s="4"/>
      <c r="CK44" s="4"/>
      <c r="CL44" s="4">
        <f t="shared" ref="CL44:CM44" si="87">0.5*0.001</f>
        <v>0.0005</v>
      </c>
      <c r="CM44" s="4">
        <f t="shared" si="87"/>
        <v>0.0005</v>
      </c>
      <c r="CN44" s="4">
        <f t="shared" ref="CN44:CN53" si="91">0.5*0.5</f>
        <v>0.25</v>
      </c>
      <c r="CO44" s="4"/>
      <c r="CP44" s="4"/>
      <c r="CQ44" s="4">
        <v>1236.18</v>
      </c>
      <c r="CR44" s="4"/>
      <c r="CS44" s="4"/>
      <c r="CT44" s="4"/>
      <c r="CU44" s="4"/>
      <c r="CV44" s="4"/>
      <c r="CW44" s="4">
        <v>2100.5</v>
      </c>
      <c r="CX44" s="4"/>
      <c r="CY44" s="4">
        <v>24190.95</v>
      </c>
      <c r="CZ44" s="4">
        <v>80.4</v>
      </c>
      <c r="DA44" s="4"/>
      <c r="DB44" s="4"/>
      <c r="DC44" s="4"/>
    </row>
    <row r="45">
      <c r="A45" s="4" t="s">
        <v>118</v>
      </c>
      <c r="B45" s="4" t="s">
        <v>119</v>
      </c>
      <c r="C45" s="5" t="s">
        <v>347</v>
      </c>
      <c r="D45" s="5" t="s">
        <v>352</v>
      </c>
      <c r="E45" s="4" t="s">
        <v>349</v>
      </c>
      <c r="F45" s="4" t="s">
        <v>326</v>
      </c>
      <c r="G45" s="4" t="s">
        <v>113</v>
      </c>
      <c r="H45" s="4" t="s">
        <v>121</v>
      </c>
      <c r="I45" s="4" t="s">
        <v>115</v>
      </c>
      <c r="J45" s="4" t="s">
        <v>353</v>
      </c>
      <c r="K45" s="4" t="s">
        <v>354</v>
      </c>
      <c r="L45" s="4">
        <v>-24.4096</v>
      </c>
      <c r="M45" s="4">
        <v>-58.8862</v>
      </c>
      <c r="N45" s="4"/>
      <c r="O45" s="4"/>
      <c r="P45" s="4"/>
      <c r="Q45" s="4"/>
      <c r="R45" s="4">
        <v>6.49</v>
      </c>
      <c r="S45" s="4">
        <v>26.0</v>
      </c>
      <c r="T45" s="4">
        <v>182.1</v>
      </c>
      <c r="U45" s="4"/>
      <c r="V45" s="4"/>
      <c r="W45" s="4">
        <v>0.25</v>
      </c>
      <c r="X45" s="4">
        <v>3.1</v>
      </c>
      <c r="Y45" s="4">
        <v>10.3</v>
      </c>
      <c r="Z45" s="4">
        <v>129.0</v>
      </c>
      <c r="AA45" s="4">
        <v>121.1</v>
      </c>
      <c r="AB45" s="4">
        <v>7.9</v>
      </c>
      <c r="AC45" s="4">
        <v>175.0</v>
      </c>
      <c r="AD45" s="4">
        <v>47.0</v>
      </c>
      <c r="AE45" s="4">
        <v>0.0</v>
      </c>
      <c r="AF45" s="4">
        <v>42.5</v>
      </c>
      <c r="AG45" s="4">
        <v>21.3</v>
      </c>
      <c r="AH45" s="4">
        <v>3.92</v>
      </c>
      <c r="AI45" s="4">
        <v>14.0</v>
      </c>
      <c r="AJ45" s="4">
        <v>2.91</v>
      </c>
      <c r="AK45" s="4">
        <v>17.22</v>
      </c>
      <c r="AL45" s="4">
        <v>12.47</v>
      </c>
      <c r="AM45" s="4"/>
      <c r="AN45" s="4"/>
      <c r="AO45" s="4"/>
      <c r="AP45" s="4"/>
      <c r="AQ45" s="4"/>
      <c r="AR45" s="4">
        <v>3.38</v>
      </c>
      <c r="AS45" s="4"/>
      <c r="AT45" s="4">
        <v>0.13</v>
      </c>
      <c r="AU45" s="4">
        <v>0.07</v>
      </c>
      <c r="AV45" s="4">
        <v>0.066</v>
      </c>
      <c r="AW45" s="4">
        <v>0.099</v>
      </c>
      <c r="AX45" s="4">
        <v>4.7</v>
      </c>
      <c r="AY45" s="4">
        <v>66.67</v>
      </c>
      <c r="AZ45" s="4"/>
      <c r="BA45" s="4">
        <v>52080.0</v>
      </c>
      <c r="BB45" s="4">
        <v>10850.0</v>
      </c>
      <c r="BC45" s="4"/>
      <c r="BD45" s="4"/>
      <c r="BE45" s="4">
        <v>8184.0</v>
      </c>
      <c r="BF45" s="4">
        <f t="shared" si="55"/>
        <v>0.5</v>
      </c>
      <c r="BG45" s="4">
        <f t="shared" si="56"/>
        <v>10</v>
      </c>
      <c r="BH45" s="4">
        <f t="shared" si="57"/>
        <v>0.5</v>
      </c>
      <c r="BI45" s="4">
        <f t="shared" si="58"/>
        <v>10</v>
      </c>
      <c r="BJ45" s="4">
        <f t="shared" si="59"/>
        <v>0.5</v>
      </c>
      <c r="BK45" s="4">
        <v>182.0</v>
      </c>
      <c r="BL45" s="4">
        <f t="shared" ref="BL45:BR45" si="88">0.5*1</f>
        <v>0.5</v>
      </c>
      <c r="BM45" s="4">
        <f t="shared" si="88"/>
        <v>0.5</v>
      </c>
      <c r="BN45" s="4">
        <f t="shared" si="88"/>
        <v>0.5</v>
      </c>
      <c r="BO45" s="4">
        <f t="shared" si="88"/>
        <v>0.5</v>
      </c>
      <c r="BP45" s="4">
        <f t="shared" si="88"/>
        <v>0.5</v>
      </c>
      <c r="BQ45" s="4">
        <f t="shared" si="88"/>
        <v>0.5</v>
      </c>
      <c r="BR45" s="4">
        <f t="shared" si="88"/>
        <v>0.5</v>
      </c>
      <c r="BS45" s="4">
        <f t="shared" si="51"/>
        <v>0.02</v>
      </c>
      <c r="BT45" s="4">
        <v>1213.0</v>
      </c>
      <c r="BU45" s="4">
        <v>77.0</v>
      </c>
      <c r="BV45" s="4">
        <f t="shared" si="52"/>
        <v>0.5</v>
      </c>
      <c r="BW45" s="4">
        <f t="shared" si="62"/>
        <v>10</v>
      </c>
      <c r="BX45" s="4">
        <v>154.0</v>
      </c>
      <c r="BY45" s="4">
        <f t="shared" si="76"/>
        <v>10</v>
      </c>
      <c r="BZ45" s="4">
        <v>81.0</v>
      </c>
      <c r="CA45" s="4">
        <v>72.0</v>
      </c>
      <c r="CB45" s="4">
        <f t="shared" ref="CB45:CC45" si="89">0.5*20</f>
        <v>10</v>
      </c>
      <c r="CC45" s="4">
        <f t="shared" si="89"/>
        <v>10</v>
      </c>
      <c r="CD45" s="4">
        <v>26.0</v>
      </c>
      <c r="CE45" s="4">
        <f>0.5*20</f>
        <v>10</v>
      </c>
      <c r="CF45" s="4">
        <f t="shared" si="54"/>
        <v>0.05</v>
      </c>
      <c r="CG45" s="4">
        <v>1522.0</v>
      </c>
      <c r="CH45" s="4">
        <v>21.0</v>
      </c>
      <c r="CI45" s="4">
        <f t="shared" si="86"/>
        <v>10</v>
      </c>
      <c r="CJ45" s="4"/>
      <c r="CK45" s="4"/>
      <c r="CL45" s="4">
        <f t="shared" ref="CL45:CM45" si="90">0.5*0.001</f>
        <v>0.0005</v>
      </c>
      <c r="CM45" s="4">
        <f t="shared" si="90"/>
        <v>0.0005</v>
      </c>
      <c r="CN45" s="4">
        <f t="shared" si="91"/>
        <v>0.25</v>
      </c>
      <c r="CO45" s="4"/>
      <c r="CP45" s="4"/>
      <c r="CQ45" s="4">
        <v>9113.92</v>
      </c>
      <c r="CR45" s="4">
        <v>1712.66</v>
      </c>
      <c r="CS45" s="4"/>
      <c r="CT45" s="4"/>
      <c r="CU45" s="4"/>
      <c r="CV45" s="4"/>
      <c r="CW45" s="4">
        <v>10253.16</v>
      </c>
      <c r="CX45" s="4"/>
      <c r="CY45" s="4">
        <v>39113.92</v>
      </c>
      <c r="CZ45" s="4"/>
      <c r="DA45" s="4"/>
      <c r="DB45" s="4"/>
      <c r="DC45" s="4"/>
    </row>
    <row r="46">
      <c r="A46" s="4" t="s">
        <v>355</v>
      </c>
      <c r="B46" s="4" t="s">
        <v>356</v>
      </c>
      <c r="C46" s="5" t="s">
        <v>357</v>
      </c>
      <c r="D46" s="5" t="s">
        <v>157</v>
      </c>
      <c r="E46" s="4" t="s">
        <v>349</v>
      </c>
      <c r="F46" s="4" t="s">
        <v>326</v>
      </c>
      <c r="G46" s="4" t="s">
        <v>113</v>
      </c>
      <c r="H46" s="4" t="s">
        <v>114</v>
      </c>
      <c r="I46" s="4" t="s">
        <v>115</v>
      </c>
      <c r="J46" s="4" t="s">
        <v>358</v>
      </c>
      <c r="K46" s="4" t="s">
        <v>359</v>
      </c>
      <c r="L46" s="4">
        <v>-23.5693</v>
      </c>
      <c r="M46" s="4">
        <v>-60.5229</v>
      </c>
      <c r="N46" s="4"/>
      <c r="O46" s="4"/>
      <c r="P46" s="4"/>
      <c r="Q46" s="4"/>
      <c r="R46" s="4">
        <v>7.46</v>
      </c>
      <c r="S46" s="4">
        <v>-31.0</v>
      </c>
      <c r="T46" s="4">
        <v>565.0</v>
      </c>
      <c r="U46" s="4"/>
      <c r="V46" s="4"/>
      <c r="W46" s="4">
        <v>2.06</v>
      </c>
      <c r="X46" s="4">
        <v>27.6</v>
      </c>
      <c r="Y46" s="4">
        <v>25.2</v>
      </c>
      <c r="Z46" s="4">
        <v>376.8</v>
      </c>
      <c r="AA46" s="4">
        <v>360.0</v>
      </c>
      <c r="AB46" s="4">
        <v>16.8</v>
      </c>
      <c r="AC46" s="4">
        <v>175.0</v>
      </c>
      <c r="AD46" s="4">
        <v>208.0</v>
      </c>
      <c r="AE46" s="4">
        <v>0.0</v>
      </c>
      <c r="AF46" s="4">
        <v>129.0</v>
      </c>
      <c r="AG46" s="4">
        <v>11.4</v>
      </c>
      <c r="AH46" s="4">
        <v>121.54</v>
      </c>
      <c r="AI46" s="4">
        <v>56.1</v>
      </c>
      <c r="AJ46" s="4">
        <v>16.5</v>
      </c>
      <c r="AK46" s="4">
        <v>30.48</v>
      </c>
      <c r="AL46" s="4">
        <v>6.25</v>
      </c>
      <c r="AM46" s="4"/>
      <c r="AN46" s="4"/>
      <c r="AO46" s="4"/>
      <c r="AP46" s="4"/>
      <c r="AQ46" s="4"/>
      <c r="AR46" s="4">
        <v>1.01</v>
      </c>
      <c r="AS46" s="4"/>
      <c r="AT46" s="4">
        <v>0.07</v>
      </c>
      <c r="AU46" s="4">
        <v>0.376</v>
      </c>
      <c r="AV46" s="4">
        <v>1.79</v>
      </c>
      <c r="AW46" s="4">
        <v>0.125</v>
      </c>
      <c r="AX46" s="4">
        <v>3.5</v>
      </c>
      <c r="AY46" s="4">
        <v>25.64</v>
      </c>
      <c r="AZ46" s="4"/>
      <c r="BA46" s="4">
        <v>37200.0</v>
      </c>
      <c r="BB46" s="4">
        <v>1860.0</v>
      </c>
      <c r="BC46" s="4"/>
      <c r="BD46" s="4"/>
      <c r="BE46" s="4">
        <v>46376.0</v>
      </c>
      <c r="BF46" s="4">
        <f t="shared" si="55"/>
        <v>0.5</v>
      </c>
      <c r="BG46" s="4">
        <f t="shared" si="56"/>
        <v>10</v>
      </c>
      <c r="BH46" s="4">
        <f t="shared" si="57"/>
        <v>0.5</v>
      </c>
      <c r="BI46" s="4">
        <f t="shared" si="58"/>
        <v>10</v>
      </c>
      <c r="BJ46" s="4">
        <f t="shared" si="59"/>
        <v>0.5</v>
      </c>
      <c r="BK46" s="4">
        <v>65.0</v>
      </c>
      <c r="BL46" s="4">
        <f t="shared" ref="BL46:BN46" si="92">0.5*1</f>
        <v>0.5</v>
      </c>
      <c r="BM46" s="4">
        <f t="shared" si="92"/>
        <v>0.5</v>
      </c>
      <c r="BN46" s="4">
        <f t="shared" si="92"/>
        <v>0.5</v>
      </c>
      <c r="BO46" s="4">
        <v>3.0</v>
      </c>
      <c r="BP46" s="4">
        <f t="shared" ref="BP46:BR46" si="93">0.5*1</f>
        <v>0.5</v>
      </c>
      <c r="BQ46" s="4">
        <f t="shared" si="93"/>
        <v>0.5</v>
      </c>
      <c r="BR46" s="4">
        <f t="shared" si="93"/>
        <v>0.5</v>
      </c>
      <c r="BS46" s="4">
        <f t="shared" si="51"/>
        <v>0.02</v>
      </c>
      <c r="BT46" s="4">
        <v>223.0</v>
      </c>
      <c r="BU46" s="4">
        <v>291.0</v>
      </c>
      <c r="BV46" s="4">
        <f t="shared" si="52"/>
        <v>0.5</v>
      </c>
      <c r="BW46" s="4">
        <f t="shared" si="62"/>
        <v>10</v>
      </c>
      <c r="BX46" s="4">
        <v>76.0</v>
      </c>
      <c r="BY46" s="4">
        <f t="shared" si="76"/>
        <v>10</v>
      </c>
      <c r="BZ46" s="4">
        <f t="shared" ref="BZ46:CE46" si="94">0.5*20</f>
        <v>10</v>
      </c>
      <c r="CA46" s="4">
        <f t="shared" si="94"/>
        <v>10</v>
      </c>
      <c r="CB46" s="4">
        <f t="shared" si="94"/>
        <v>10</v>
      </c>
      <c r="CC46" s="4">
        <f t="shared" si="94"/>
        <v>10</v>
      </c>
      <c r="CD46" s="4">
        <f t="shared" si="94"/>
        <v>10</v>
      </c>
      <c r="CE46" s="4">
        <f t="shared" si="94"/>
        <v>10</v>
      </c>
      <c r="CF46" s="4">
        <f t="shared" si="54"/>
        <v>0.05</v>
      </c>
      <c r="CG46" s="4">
        <v>403.0</v>
      </c>
      <c r="CH46" s="4">
        <v>187.0</v>
      </c>
      <c r="CI46" s="4">
        <f t="shared" si="86"/>
        <v>10</v>
      </c>
      <c r="CJ46" s="4"/>
      <c r="CK46" s="4"/>
      <c r="CL46" s="4">
        <f t="shared" ref="CL46:CM46" si="95">0.5*0.001</f>
        <v>0.0005</v>
      </c>
      <c r="CM46" s="4">
        <f t="shared" si="95"/>
        <v>0.0005</v>
      </c>
      <c r="CN46" s="4">
        <f t="shared" si="91"/>
        <v>0.25</v>
      </c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>
        <v>10714.29</v>
      </c>
      <c r="CZ46" s="4">
        <v>654.76</v>
      </c>
      <c r="DA46" s="4"/>
      <c r="DB46" s="4"/>
      <c r="DC46" s="4"/>
    </row>
    <row r="47">
      <c r="A47" s="4" t="s">
        <v>143</v>
      </c>
      <c r="B47" s="4" t="s">
        <v>144</v>
      </c>
      <c r="C47" s="5" t="s">
        <v>360</v>
      </c>
      <c r="D47" s="5" t="s">
        <v>361</v>
      </c>
      <c r="E47" s="4" t="s">
        <v>349</v>
      </c>
      <c r="F47" s="4" t="s">
        <v>326</v>
      </c>
      <c r="G47" s="4" t="s">
        <v>113</v>
      </c>
      <c r="H47" s="4" t="s">
        <v>121</v>
      </c>
      <c r="J47" s="4" t="s">
        <v>362</v>
      </c>
      <c r="K47" s="4" t="s">
        <v>363</v>
      </c>
      <c r="L47" s="4">
        <v>-25.1074</v>
      </c>
      <c r="M47" s="4">
        <v>-57.5467</v>
      </c>
      <c r="N47" s="4"/>
      <c r="O47" s="4"/>
      <c r="P47" s="4"/>
      <c r="Q47" s="4"/>
      <c r="R47" s="4">
        <v>6.63</v>
      </c>
      <c r="S47" s="4">
        <v>19.0</v>
      </c>
      <c r="T47" s="4">
        <v>94.0</v>
      </c>
      <c r="U47" s="4">
        <v>0.0</v>
      </c>
      <c r="V47" s="4">
        <v>28.0</v>
      </c>
      <c r="W47" s="4">
        <v>1.8</v>
      </c>
      <c r="X47" s="4">
        <v>23.87</v>
      </c>
      <c r="Y47" s="4">
        <v>20.4</v>
      </c>
      <c r="Z47" s="4">
        <v>71.5</v>
      </c>
      <c r="AA47" s="4">
        <v>61.5</v>
      </c>
      <c r="AB47" s="4">
        <v>10.0</v>
      </c>
      <c r="AC47" s="4">
        <v>225.0</v>
      </c>
      <c r="AD47" s="4">
        <v>33.0</v>
      </c>
      <c r="AE47" s="4">
        <v>0.0</v>
      </c>
      <c r="AF47" s="4">
        <v>18.5</v>
      </c>
      <c r="AG47" s="4">
        <v>16.1</v>
      </c>
      <c r="AH47" s="4">
        <v>3.42</v>
      </c>
      <c r="AI47" s="4">
        <v>8.0</v>
      </c>
      <c r="AJ47" s="4">
        <v>3.16</v>
      </c>
      <c r="AK47" s="4">
        <v>12.05</v>
      </c>
      <c r="AL47" s="4">
        <v>4.3</v>
      </c>
      <c r="AM47" s="4"/>
      <c r="AN47" s="4"/>
      <c r="AO47" s="4"/>
      <c r="AP47" s="4"/>
      <c r="AQ47" s="4"/>
      <c r="AR47" s="4">
        <v>0.558</v>
      </c>
      <c r="AS47" s="4"/>
      <c r="AT47" s="4">
        <v>0.12</v>
      </c>
      <c r="AU47" s="4">
        <v>0.108</v>
      </c>
      <c r="AV47" s="4">
        <v>1.03</v>
      </c>
      <c r="AW47" s="4">
        <v>0.281</v>
      </c>
      <c r="AX47" s="4">
        <v>1.5</v>
      </c>
      <c r="AY47" s="4">
        <v>56.41</v>
      </c>
      <c r="AZ47" s="4"/>
      <c r="BA47" s="4">
        <v>4960.0</v>
      </c>
      <c r="BB47" s="4">
        <v>2790.0</v>
      </c>
      <c r="BC47" s="4"/>
      <c r="BD47" s="4"/>
      <c r="BE47" s="4">
        <v>9548.0</v>
      </c>
      <c r="BF47" s="4">
        <f t="shared" si="55"/>
        <v>0.5</v>
      </c>
      <c r="BG47" s="4">
        <f t="shared" si="56"/>
        <v>10</v>
      </c>
      <c r="BH47" s="4">
        <f t="shared" si="57"/>
        <v>0.5</v>
      </c>
      <c r="BI47" s="4">
        <f t="shared" si="58"/>
        <v>10</v>
      </c>
      <c r="BJ47" s="4">
        <f t="shared" si="59"/>
        <v>0.5</v>
      </c>
      <c r="BK47" s="4">
        <v>16.0</v>
      </c>
      <c r="BL47" s="4">
        <f t="shared" ref="BL47:BM47" si="96">0.5*1</f>
        <v>0.5</v>
      </c>
      <c r="BM47" s="4">
        <f t="shared" si="96"/>
        <v>0.5</v>
      </c>
      <c r="BN47" s="4">
        <v>1.0</v>
      </c>
      <c r="BO47" s="4">
        <f t="shared" ref="BO47:BR47" si="97">0.5*1</f>
        <v>0.5</v>
      </c>
      <c r="BP47" s="4">
        <f t="shared" si="97"/>
        <v>0.5</v>
      </c>
      <c r="BQ47" s="4">
        <f t="shared" si="97"/>
        <v>0.5</v>
      </c>
      <c r="BR47" s="4">
        <f t="shared" si="97"/>
        <v>0.5</v>
      </c>
      <c r="BS47" s="4">
        <f t="shared" si="51"/>
        <v>0.02</v>
      </c>
      <c r="BT47" s="4">
        <v>421.0</v>
      </c>
      <c r="BU47" s="4">
        <v>66.0</v>
      </c>
      <c r="BV47" s="4">
        <f t="shared" si="52"/>
        <v>0.5</v>
      </c>
      <c r="BW47" s="4">
        <f t="shared" si="62"/>
        <v>10</v>
      </c>
      <c r="BX47" s="4">
        <v>25.0</v>
      </c>
      <c r="BY47" s="4">
        <f t="shared" si="76"/>
        <v>10</v>
      </c>
      <c r="BZ47" s="4">
        <f>0.5*20</f>
        <v>10</v>
      </c>
      <c r="CA47" s="4">
        <v>39.0</v>
      </c>
      <c r="CB47" s="4">
        <f t="shared" ref="CB47:CE47" si="98">0.5*20</f>
        <v>10</v>
      </c>
      <c r="CC47" s="4">
        <f t="shared" si="98"/>
        <v>10</v>
      </c>
      <c r="CD47" s="4">
        <f t="shared" si="98"/>
        <v>10</v>
      </c>
      <c r="CE47" s="4">
        <f t="shared" si="98"/>
        <v>10</v>
      </c>
      <c r="CF47" s="4">
        <f t="shared" si="54"/>
        <v>0.05</v>
      </c>
      <c r="CG47" s="4">
        <v>681.0</v>
      </c>
      <c r="CH47" s="4">
        <v>20.0</v>
      </c>
      <c r="CI47" s="4">
        <v>53.0</v>
      </c>
      <c r="CJ47" s="4"/>
      <c r="CK47" s="4"/>
      <c r="CL47" s="4">
        <f t="shared" ref="CL47:CM47" si="99">0.5*0.001</f>
        <v>0.0005</v>
      </c>
      <c r="CM47" s="4">
        <f t="shared" si="99"/>
        <v>0.0005</v>
      </c>
      <c r="CN47" s="4">
        <f t="shared" si="91"/>
        <v>0.25</v>
      </c>
      <c r="CO47" s="4"/>
      <c r="CP47" s="4">
        <v>5300.0</v>
      </c>
      <c r="CQ47" s="4">
        <v>3800.0</v>
      </c>
      <c r="CR47" s="4"/>
      <c r="CS47" s="4"/>
      <c r="CT47" s="4"/>
      <c r="CU47" s="4"/>
      <c r="CV47" s="4"/>
      <c r="CW47" s="4"/>
      <c r="CX47" s="4"/>
      <c r="CY47" s="4">
        <v>26000.0</v>
      </c>
      <c r="CZ47" s="4">
        <v>900.0</v>
      </c>
      <c r="DA47" s="4"/>
      <c r="DB47" s="4"/>
      <c r="DC47" s="4"/>
    </row>
    <row r="48">
      <c r="A48" s="4" t="s">
        <v>124</v>
      </c>
      <c r="B48" s="4" t="s">
        <v>125</v>
      </c>
      <c r="C48" s="5" t="s">
        <v>360</v>
      </c>
      <c r="D48" s="5" t="s">
        <v>110</v>
      </c>
      <c r="E48" s="4" t="s">
        <v>349</v>
      </c>
      <c r="F48" s="4" t="s">
        <v>326</v>
      </c>
      <c r="G48" s="4" t="s">
        <v>113</v>
      </c>
      <c r="H48" s="4" t="s">
        <v>128</v>
      </c>
      <c r="J48" s="4" t="s">
        <v>364</v>
      </c>
      <c r="K48" s="4" t="s">
        <v>365</v>
      </c>
      <c r="L48" s="4">
        <v>-23.2151</v>
      </c>
      <c r="M48" s="4">
        <v>-59.2026</v>
      </c>
      <c r="N48" s="4"/>
      <c r="O48" s="4"/>
      <c r="P48" s="4"/>
      <c r="Q48" s="4"/>
      <c r="R48" s="4">
        <v>7.54</v>
      </c>
      <c r="S48" s="4">
        <v>-37.0</v>
      </c>
      <c r="T48" s="4">
        <v>58.0</v>
      </c>
      <c r="U48" s="4">
        <v>0.0</v>
      </c>
      <c r="V48" s="4">
        <v>31.6</v>
      </c>
      <c r="W48" s="4">
        <v>2.69</v>
      </c>
      <c r="X48" s="4">
        <v>37.5</v>
      </c>
      <c r="Y48" s="4">
        <v>17.8</v>
      </c>
      <c r="Z48" s="4">
        <v>3702.5</v>
      </c>
      <c r="AA48" s="4">
        <v>3679.0</v>
      </c>
      <c r="AB48" s="4">
        <v>23.5</v>
      </c>
      <c r="AC48" s="4">
        <v>175.0</v>
      </c>
      <c r="AD48" s="4">
        <v>535.0</v>
      </c>
      <c r="AE48" s="4">
        <v>0.0</v>
      </c>
      <c r="AF48" s="4">
        <v>129.0</v>
      </c>
      <c r="AG48" s="4">
        <v>1219.2</v>
      </c>
      <c r="AH48" s="4">
        <v>1090.9</v>
      </c>
      <c r="AI48" s="4">
        <v>118.2</v>
      </c>
      <c r="AJ48" s="4">
        <v>58.3</v>
      </c>
      <c r="AK48" s="4">
        <v>1092.22</v>
      </c>
      <c r="AL48" s="4">
        <v>17.45</v>
      </c>
      <c r="AM48" s="4"/>
      <c r="AN48" s="4"/>
      <c r="AO48" s="4"/>
      <c r="AP48" s="4"/>
      <c r="AQ48" s="4"/>
      <c r="AR48" s="4">
        <v>4.15</v>
      </c>
      <c r="AS48" s="4"/>
      <c r="AT48" s="4">
        <v>0.37</v>
      </c>
      <c r="AU48" s="4">
        <v>1.98</v>
      </c>
      <c r="AV48" s="4">
        <v>6.86</v>
      </c>
      <c r="AW48" s="4">
        <v>1.115</v>
      </c>
      <c r="AX48" s="4">
        <v>6.4</v>
      </c>
      <c r="AY48" s="4">
        <v>148.72</v>
      </c>
      <c r="AZ48" s="4"/>
      <c r="BA48" s="4">
        <v>40300.0</v>
      </c>
      <c r="BB48" s="4">
        <v>775.0</v>
      </c>
      <c r="BC48" s="4"/>
      <c r="BD48" s="4"/>
      <c r="BE48" s="4">
        <v>20460.0</v>
      </c>
      <c r="BF48" s="4">
        <f t="shared" si="55"/>
        <v>0.5</v>
      </c>
      <c r="BG48" s="4">
        <f t="shared" si="56"/>
        <v>10</v>
      </c>
      <c r="BH48" s="4">
        <f t="shared" si="57"/>
        <v>0.5</v>
      </c>
      <c r="BI48" s="4">
        <f t="shared" si="58"/>
        <v>10</v>
      </c>
      <c r="BJ48" s="4">
        <f t="shared" si="59"/>
        <v>0.5</v>
      </c>
      <c r="BK48" s="4">
        <v>718.0</v>
      </c>
      <c r="BL48" s="4">
        <v>1.0</v>
      </c>
      <c r="BM48" s="4">
        <v>35.0</v>
      </c>
      <c r="BN48" s="4">
        <v>17.0</v>
      </c>
      <c r="BO48" s="4">
        <v>10.0</v>
      </c>
      <c r="BP48" s="4">
        <f t="shared" ref="BP48:BR48" si="100">0.5*1</f>
        <v>0.5</v>
      </c>
      <c r="BQ48" s="4">
        <f t="shared" si="100"/>
        <v>0.5</v>
      </c>
      <c r="BR48" s="4">
        <f t="shared" si="100"/>
        <v>0.5</v>
      </c>
      <c r="BS48" s="4">
        <f t="shared" si="51"/>
        <v>0.02</v>
      </c>
      <c r="BT48" s="4">
        <v>525.0</v>
      </c>
      <c r="BU48" s="4">
        <v>2525.0</v>
      </c>
      <c r="BV48" s="4">
        <v>2.0</v>
      </c>
      <c r="BW48" s="4">
        <f t="shared" si="62"/>
        <v>10</v>
      </c>
      <c r="BX48" s="4">
        <v>674.0</v>
      </c>
      <c r="BY48" s="4">
        <f t="shared" si="76"/>
        <v>10</v>
      </c>
      <c r="BZ48" s="4">
        <v>29.0</v>
      </c>
      <c r="CA48" s="4">
        <v>136.0</v>
      </c>
      <c r="CB48" s="4">
        <f t="shared" ref="CB48:CC48" si="101">0.5*20</f>
        <v>10</v>
      </c>
      <c r="CC48" s="4">
        <f t="shared" si="101"/>
        <v>10</v>
      </c>
      <c r="CD48" s="4">
        <v>46.0</v>
      </c>
      <c r="CE48" s="4">
        <f>0.5*20</f>
        <v>10</v>
      </c>
      <c r="CF48" s="4">
        <f t="shared" si="54"/>
        <v>0.05</v>
      </c>
      <c r="CG48" s="4">
        <v>983.0</v>
      </c>
      <c r="CH48" s="4">
        <v>2460.0</v>
      </c>
      <c r="CI48" s="4">
        <f t="shared" ref="CI48:CI52" si="104">0.5*20</f>
        <v>10</v>
      </c>
      <c r="CJ48" s="4"/>
      <c r="CK48" s="4"/>
      <c r="CL48" s="4">
        <f t="shared" ref="CL48:CL53" si="105">0.5*0.001</f>
        <v>0.0005</v>
      </c>
      <c r="CM48" s="4">
        <v>0.006</v>
      </c>
      <c r="CN48" s="4">
        <f t="shared" si="91"/>
        <v>0.25</v>
      </c>
      <c r="CO48" s="4"/>
      <c r="CP48" s="4"/>
      <c r="CQ48" s="4">
        <v>5063.83</v>
      </c>
      <c r="CR48" s="4">
        <v>1214.89</v>
      </c>
      <c r="CS48" s="4"/>
      <c r="CT48" s="4"/>
      <c r="CU48" s="4"/>
      <c r="CV48" s="4"/>
      <c r="CW48" s="4"/>
      <c r="CX48" s="4"/>
      <c r="CY48" s="4">
        <v>19489.36</v>
      </c>
      <c r="CZ48" s="4"/>
      <c r="DA48" s="4"/>
      <c r="DB48" s="4"/>
      <c r="DC48" s="4"/>
    </row>
    <row r="49">
      <c r="A49" s="4" t="s">
        <v>131</v>
      </c>
      <c r="B49" s="4" t="s">
        <v>132</v>
      </c>
      <c r="C49" s="5" t="s">
        <v>360</v>
      </c>
      <c r="D49" s="5" t="s">
        <v>366</v>
      </c>
      <c r="E49" s="4" t="s">
        <v>349</v>
      </c>
      <c r="F49" s="4" t="s">
        <v>326</v>
      </c>
      <c r="G49" s="4" t="s">
        <v>113</v>
      </c>
      <c r="H49" s="4" t="s">
        <v>134</v>
      </c>
      <c r="J49" s="4" t="s">
        <v>367</v>
      </c>
      <c r="K49" s="4" t="s">
        <v>368</v>
      </c>
      <c r="L49" s="4">
        <v>-23.893</v>
      </c>
      <c r="M49" s="4">
        <v>-58.4464</v>
      </c>
      <c r="N49" s="4"/>
      <c r="O49" s="4"/>
      <c r="P49" s="4"/>
      <c r="Q49" s="4"/>
      <c r="R49" s="4">
        <v>7.19</v>
      </c>
      <c r="S49" s="4">
        <v>-16.0</v>
      </c>
      <c r="T49" s="4">
        <v>56.5</v>
      </c>
      <c r="U49" s="4">
        <v>0.0</v>
      </c>
      <c r="V49" s="4">
        <v>30.5</v>
      </c>
      <c r="W49" s="4">
        <v>2.51</v>
      </c>
      <c r="X49" s="4">
        <v>34.1</v>
      </c>
      <c r="Y49" s="4">
        <v>116.0</v>
      </c>
      <c r="Z49" s="4">
        <v>1331.5</v>
      </c>
      <c r="AA49" s="4">
        <v>1266.0</v>
      </c>
      <c r="AB49" s="4">
        <v>65.5</v>
      </c>
      <c r="AC49" s="4">
        <v>200.0</v>
      </c>
      <c r="AD49" s="4">
        <v>285.0</v>
      </c>
      <c r="AE49" s="4">
        <v>0.0</v>
      </c>
      <c r="AF49" s="4">
        <v>69.0</v>
      </c>
      <c r="AG49" s="4">
        <v>416.8</v>
      </c>
      <c r="AH49" s="4">
        <v>204.5</v>
      </c>
      <c r="AI49" s="4">
        <v>72.0</v>
      </c>
      <c r="AJ49" s="4">
        <v>25.5</v>
      </c>
      <c r="AK49" s="4">
        <v>378.25</v>
      </c>
      <c r="AL49" s="4">
        <v>12.49</v>
      </c>
      <c r="AM49" s="4"/>
      <c r="AN49" s="4"/>
      <c r="AO49" s="4"/>
      <c r="AP49" s="4"/>
      <c r="AQ49" s="4"/>
      <c r="AR49" s="4">
        <v>3.259</v>
      </c>
      <c r="AS49" s="4"/>
      <c r="AT49" s="4">
        <v>0.149</v>
      </c>
      <c r="AU49" s="4">
        <v>0.53</v>
      </c>
      <c r="AV49" s="4">
        <v>2.63</v>
      </c>
      <c r="AW49" s="4">
        <v>0.632</v>
      </c>
      <c r="AX49" s="4">
        <v>2.3</v>
      </c>
      <c r="AY49" s="4">
        <v>107.69</v>
      </c>
      <c r="AZ49" s="4"/>
      <c r="BA49" s="4">
        <v>49600.0</v>
      </c>
      <c r="BB49" s="4">
        <v>1550.0</v>
      </c>
      <c r="BC49" s="4"/>
      <c r="BD49" s="4"/>
      <c r="BE49" s="4">
        <v>36828.0</v>
      </c>
      <c r="BF49" s="4">
        <f t="shared" si="55"/>
        <v>0.5</v>
      </c>
      <c r="BG49" s="4">
        <f t="shared" si="56"/>
        <v>10</v>
      </c>
      <c r="BH49" s="4">
        <f t="shared" si="57"/>
        <v>0.5</v>
      </c>
      <c r="BI49" s="4">
        <f t="shared" si="58"/>
        <v>10</v>
      </c>
      <c r="BJ49" s="4">
        <f t="shared" si="59"/>
        <v>0.5</v>
      </c>
      <c r="BK49" s="4">
        <v>215.0</v>
      </c>
      <c r="BL49" s="4">
        <v>1.0</v>
      </c>
      <c r="BM49" s="4">
        <f>0.5*1</f>
        <v>0.5</v>
      </c>
      <c r="BN49" s="4">
        <v>2.0</v>
      </c>
      <c r="BO49" s="4">
        <v>5.0</v>
      </c>
      <c r="BP49" s="4">
        <f t="shared" ref="BP49:BR49" si="102">0.5*1</f>
        <v>0.5</v>
      </c>
      <c r="BQ49" s="4">
        <f t="shared" si="102"/>
        <v>0.5</v>
      </c>
      <c r="BR49" s="4">
        <f t="shared" si="102"/>
        <v>0.5</v>
      </c>
      <c r="BS49" s="4">
        <f t="shared" si="51"/>
        <v>0.02</v>
      </c>
      <c r="BT49" s="4">
        <v>468.0</v>
      </c>
      <c r="BU49" s="4">
        <v>896.0</v>
      </c>
      <c r="BV49" s="4">
        <f t="shared" ref="BV49:BV76" si="108">0.5*1</f>
        <v>0.5</v>
      </c>
      <c r="BW49" s="4">
        <f t="shared" si="62"/>
        <v>10</v>
      </c>
      <c r="BX49" s="4">
        <v>203.0</v>
      </c>
      <c r="BY49" s="4">
        <f t="shared" si="76"/>
        <v>10</v>
      </c>
      <c r="BZ49" s="4">
        <f t="shared" ref="BZ49:CE49" si="103">0.5*20</f>
        <v>10</v>
      </c>
      <c r="CA49" s="4">
        <f t="shared" si="103"/>
        <v>10</v>
      </c>
      <c r="CB49" s="4">
        <f t="shared" si="103"/>
        <v>10</v>
      </c>
      <c r="CC49" s="4">
        <f t="shared" si="103"/>
        <v>10</v>
      </c>
      <c r="CD49" s="4">
        <f t="shared" si="103"/>
        <v>10</v>
      </c>
      <c r="CE49" s="4">
        <f t="shared" si="103"/>
        <v>10</v>
      </c>
      <c r="CF49" s="4">
        <f t="shared" si="54"/>
        <v>0.05</v>
      </c>
      <c r="CG49" s="4">
        <v>2260.0</v>
      </c>
      <c r="CH49" s="4">
        <v>466.0</v>
      </c>
      <c r="CI49" s="4">
        <f t="shared" si="104"/>
        <v>10</v>
      </c>
      <c r="CJ49" s="4"/>
      <c r="CK49" s="4"/>
      <c r="CL49" s="4">
        <f t="shared" si="105"/>
        <v>0.0005</v>
      </c>
      <c r="CM49" s="4">
        <f t="shared" ref="CM49:CM50" si="110">0.5*0.001</f>
        <v>0.0005</v>
      </c>
      <c r="CN49" s="4">
        <f t="shared" si="91"/>
        <v>0.25</v>
      </c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>
        <v>27358.78</v>
      </c>
      <c r="CZ49" s="4"/>
      <c r="DA49" s="4"/>
      <c r="DB49" s="4"/>
      <c r="DC49" s="4"/>
    </row>
    <row r="50">
      <c r="A50" s="4" t="s">
        <v>137</v>
      </c>
      <c r="B50" s="4" t="s">
        <v>138</v>
      </c>
      <c r="C50" s="5" t="s">
        <v>360</v>
      </c>
      <c r="D50" s="5" t="s">
        <v>369</v>
      </c>
      <c r="E50" s="4" t="s">
        <v>349</v>
      </c>
      <c r="F50" s="4" t="s">
        <v>326</v>
      </c>
      <c r="G50" s="4" t="s">
        <v>113</v>
      </c>
      <c r="H50" s="4" t="s">
        <v>140</v>
      </c>
      <c r="J50" s="4" t="s">
        <v>370</v>
      </c>
      <c r="K50" s="4" t="s">
        <v>371</v>
      </c>
      <c r="L50" s="4">
        <v>-24.1897</v>
      </c>
      <c r="M50" s="4">
        <v>-58.3003</v>
      </c>
      <c r="N50" s="4"/>
      <c r="O50" s="4"/>
      <c r="P50" s="4"/>
      <c r="Q50" s="4"/>
      <c r="R50" s="4">
        <v>7.01</v>
      </c>
      <c r="S50" s="4">
        <v>-5.0</v>
      </c>
      <c r="T50" s="4">
        <v>511.0</v>
      </c>
      <c r="U50" s="4">
        <v>0.0</v>
      </c>
      <c r="V50" s="4">
        <v>29.5</v>
      </c>
      <c r="W50" s="4">
        <v>5.27</v>
      </c>
      <c r="X50" s="4">
        <v>70.3</v>
      </c>
      <c r="Y50" s="4">
        <v>56.6</v>
      </c>
      <c r="Z50" s="4">
        <v>371.5</v>
      </c>
      <c r="AA50" s="4">
        <v>328.0</v>
      </c>
      <c r="AB50" s="4">
        <v>43.5</v>
      </c>
      <c r="AC50" s="4">
        <v>225.0</v>
      </c>
      <c r="AD50" s="4">
        <v>66.0</v>
      </c>
      <c r="AE50" s="4">
        <v>0.0</v>
      </c>
      <c r="AF50" s="4">
        <v>42.0</v>
      </c>
      <c r="AG50" s="4">
        <v>89.6</v>
      </c>
      <c r="AH50" s="4">
        <v>42.69</v>
      </c>
      <c r="AI50" s="4">
        <v>14.4</v>
      </c>
      <c r="AJ50" s="4">
        <v>7.29</v>
      </c>
      <c r="AK50" s="4">
        <v>77.11</v>
      </c>
      <c r="AL50" s="4">
        <v>7.5</v>
      </c>
      <c r="AM50" s="4"/>
      <c r="AN50" s="4"/>
      <c r="AO50" s="4"/>
      <c r="AP50" s="4"/>
      <c r="AQ50" s="4"/>
      <c r="AR50" s="4">
        <v>1.71</v>
      </c>
      <c r="AS50" s="4"/>
      <c r="AT50" s="4">
        <v>0.05</v>
      </c>
      <c r="AU50" s="4">
        <v>0.214</v>
      </c>
      <c r="AV50" s="4">
        <v>1.34</v>
      </c>
      <c r="AW50" s="4">
        <v>0.757</v>
      </c>
      <c r="AX50" s="4">
        <v>1.5</v>
      </c>
      <c r="AY50" s="4">
        <v>76.92</v>
      </c>
      <c r="AZ50" s="4"/>
      <c r="BA50" s="4">
        <v>12400.0</v>
      </c>
      <c r="BB50" s="4">
        <v>3100.0</v>
      </c>
      <c r="BC50" s="4"/>
      <c r="BD50" s="4"/>
      <c r="BE50" s="4">
        <v>8184.0</v>
      </c>
      <c r="BF50" s="4">
        <f t="shared" si="55"/>
        <v>0.5</v>
      </c>
      <c r="BG50" s="4">
        <f t="shared" si="56"/>
        <v>10</v>
      </c>
      <c r="BH50" s="4">
        <f t="shared" si="57"/>
        <v>0.5</v>
      </c>
      <c r="BI50" s="4">
        <f t="shared" si="58"/>
        <v>10</v>
      </c>
      <c r="BJ50" s="4">
        <f t="shared" si="59"/>
        <v>0.5</v>
      </c>
      <c r="BK50" s="4">
        <v>26.0</v>
      </c>
      <c r="BL50" s="4">
        <f t="shared" ref="BL50:BM50" si="106">0.5*1</f>
        <v>0.5</v>
      </c>
      <c r="BM50" s="4">
        <f t="shared" si="106"/>
        <v>0.5</v>
      </c>
      <c r="BN50" s="4">
        <v>2.0</v>
      </c>
      <c r="BO50" s="4">
        <v>2.0</v>
      </c>
      <c r="BP50" s="4">
        <f t="shared" ref="BP50:BR50" si="107">0.5*1</f>
        <v>0.5</v>
      </c>
      <c r="BQ50" s="4">
        <f t="shared" si="107"/>
        <v>0.5</v>
      </c>
      <c r="BR50" s="4">
        <f t="shared" si="107"/>
        <v>0.5</v>
      </c>
      <c r="BS50" s="4">
        <f t="shared" si="51"/>
        <v>0.02</v>
      </c>
      <c r="BT50" s="4">
        <v>400.0</v>
      </c>
      <c r="BU50" s="4">
        <v>152.0</v>
      </c>
      <c r="BV50" s="4">
        <f t="shared" si="108"/>
        <v>0.5</v>
      </c>
      <c r="BW50" s="4">
        <v>34.0</v>
      </c>
      <c r="BX50" s="4">
        <v>45.0</v>
      </c>
      <c r="BY50" s="4">
        <f t="shared" si="76"/>
        <v>10</v>
      </c>
      <c r="BZ50" s="4">
        <v>25.0</v>
      </c>
      <c r="CA50" s="4">
        <v>60.0</v>
      </c>
      <c r="CB50" s="4">
        <f t="shared" ref="CB50:CC50" si="109">0.5*20</f>
        <v>10</v>
      </c>
      <c r="CC50" s="4">
        <f t="shared" si="109"/>
        <v>10</v>
      </c>
      <c r="CD50" s="4">
        <v>29.0</v>
      </c>
      <c r="CE50" s="4">
        <f>0.5*20</f>
        <v>10</v>
      </c>
      <c r="CF50" s="4">
        <f t="shared" si="54"/>
        <v>0.05</v>
      </c>
      <c r="CG50" s="4">
        <v>2555.0</v>
      </c>
      <c r="CH50" s="4">
        <v>73.0</v>
      </c>
      <c r="CI50" s="4">
        <f t="shared" si="104"/>
        <v>10</v>
      </c>
      <c r="CJ50" s="4"/>
      <c r="CK50" s="4"/>
      <c r="CL50" s="4">
        <f t="shared" si="105"/>
        <v>0.0005</v>
      </c>
      <c r="CM50" s="4">
        <f t="shared" si="110"/>
        <v>0.0005</v>
      </c>
      <c r="CN50" s="4">
        <f t="shared" si="91"/>
        <v>0.25</v>
      </c>
      <c r="CO50" s="4"/>
      <c r="CP50" s="4"/>
      <c r="CQ50" s="4">
        <v>1333.33</v>
      </c>
      <c r="CR50" s="4">
        <v>494.25</v>
      </c>
      <c r="CS50" s="4"/>
      <c r="CT50" s="4"/>
      <c r="CU50" s="4"/>
      <c r="CV50" s="4"/>
      <c r="CW50" s="4">
        <v>574.71</v>
      </c>
      <c r="CX50" s="4">
        <v>781.61</v>
      </c>
      <c r="CY50" s="4">
        <v>49540.23</v>
      </c>
      <c r="CZ50" s="4">
        <v>436.78</v>
      </c>
      <c r="DA50" s="4"/>
      <c r="DB50" s="4"/>
      <c r="DC50" s="4"/>
    </row>
    <row r="51">
      <c r="A51" s="4" t="s">
        <v>148</v>
      </c>
      <c r="B51" s="4" t="s">
        <v>149</v>
      </c>
      <c r="C51" s="5" t="s">
        <v>372</v>
      </c>
      <c r="D51" s="5" t="s">
        <v>373</v>
      </c>
      <c r="E51" s="4" t="s">
        <v>349</v>
      </c>
      <c r="F51" s="4" t="s">
        <v>326</v>
      </c>
      <c r="G51" s="4" t="s">
        <v>113</v>
      </c>
      <c r="H51" s="4" t="s">
        <v>114</v>
      </c>
      <c r="I51" s="4" t="s">
        <v>152</v>
      </c>
      <c r="J51" s="4" t="s">
        <v>374</v>
      </c>
      <c r="K51" s="4" t="s">
        <v>375</v>
      </c>
      <c r="L51" s="4">
        <v>-25.2645</v>
      </c>
      <c r="M51" s="4">
        <v>-57.7247</v>
      </c>
      <c r="N51" s="4"/>
      <c r="O51" s="4"/>
      <c r="P51" s="4"/>
      <c r="Q51" s="4"/>
      <c r="R51" s="4">
        <v>6.75</v>
      </c>
      <c r="S51" s="4">
        <v>14.0</v>
      </c>
      <c r="T51" s="4">
        <v>615.0</v>
      </c>
      <c r="U51" s="4">
        <v>0.0</v>
      </c>
      <c r="V51" s="4">
        <v>28.0</v>
      </c>
      <c r="W51" s="4">
        <v>1.9</v>
      </c>
      <c r="X51" s="4">
        <v>24.4</v>
      </c>
      <c r="Y51" s="4">
        <v>37.0</v>
      </c>
      <c r="Z51" s="4">
        <v>411.0</v>
      </c>
      <c r="AA51" s="4">
        <v>332.5</v>
      </c>
      <c r="AB51" s="4">
        <v>28.5</v>
      </c>
      <c r="AC51" s="4">
        <v>90.0</v>
      </c>
      <c r="AD51" s="4">
        <v>64.0</v>
      </c>
      <c r="AE51" s="4">
        <v>0.0</v>
      </c>
      <c r="AF51" s="4">
        <v>27.5</v>
      </c>
      <c r="AG51" s="4">
        <v>108.0</v>
      </c>
      <c r="AH51" s="4">
        <v>44.61</v>
      </c>
      <c r="AI51" s="4">
        <v>16.8</v>
      </c>
      <c r="AJ51" s="4">
        <v>5.35</v>
      </c>
      <c r="AK51" s="4">
        <v>94.5</v>
      </c>
      <c r="AL51" s="4">
        <v>7.57</v>
      </c>
      <c r="AM51" s="4"/>
      <c r="AN51" s="4"/>
      <c r="AO51" s="4"/>
      <c r="AP51" s="4"/>
      <c r="AQ51" s="4"/>
      <c r="AR51" s="4">
        <v>0.923</v>
      </c>
      <c r="AS51" s="4"/>
      <c r="AT51" s="4">
        <v>0.699</v>
      </c>
      <c r="AU51" s="4">
        <v>0.071</v>
      </c>
      <c r="AV51" s="4">
        <v>0.899</v>
      </c>
      <c r="AW51" s="4">
        <v>0.607</v>
      </c>
      <c r="AX51" s="4">
        <v>5.2</v>
      </c>
      <c r="AY51" s="4">
        <v>66.67</v>
      </c>
      <c r="AZ51" s="4"/>
      <c r="BA51" s="4">
        <v>51600.0</v>
      </c>
      <c r="BB51" s="4">
        <v>8700.0</v>
      </c>
      <c r="BC51" s="4"/>
      <c r="BD51" s="4"/>
      <c r="BE51" s="4">
        <v>10560.0</v>
      </c>
      <c r="BF51" s="4">
        <f t="shared" si="55"/>
        <v>0.5</v>
      </c>
      <c r="BG51" s="4">
        <f t="shared" si="56"/>
        <v>10</v>
      </c>
      <c r="BH51" s="4">
        <f t="shared" si="57"/>
        <v>0.5</v>
      </c>
      <c r="BI51" s="4">
        <f t="shared" si="58"/>
        <v>10</v>
      </c>
      <c r="BJ51" s="4">
        <f t="shared" si="59"/>
        <v>0.5</v>
      </c>
      <c r="BK51" s="4">
        <v>47.0</v>
      </c>
      <c r="BL51" s="4">
        <f t="shared" ref="BL51:BM51" si="111">0.5*1</f>
        <v>0.5</v>
      </c>
      <c r="BM51" s="4">
        <f t="shared" si="111"/>
        <v>0.5</v>
      </c>
      <c r="BN51" s="4">
        <v>2.0</v>
      </c>
      <c r="BO51" s="4">
        <f t="shared" ref="BO51:BR51" si="112">0.5*1</f>
        <v>0.5</v>
      </c>
      <c r="BP51" s="4">
        <f t="shared" si="112"/>
        <v>0.5</v>
      </c>
      <c r="BQ51" s="4">
        <f t="shared" si="112"/>
        <v>0.5</v>
      </c>
      <c r="BR51" s="4">
        <f t="shared" si="112"/>
        <v>0.5</v>
      </c>
      <c r="BS51" s="4">
        <f t="shared" si="51"/>
        <v>0.02</v>
      </c>
      <c r="BT51" s="4">
        <v>398.0</v>
      </c>
      <c r="BU51" s="4">
        <v>157.0</v>
      </c>
      <c r="BV51" s="4">
        <f t="shared" si="108"/>
        <v>0.5</v>
      </c>
      <c r="BW51" s="4">
        <f>0.5*20</f>
        <v>10</v>
      </c>
      <c r="BX51" s="4">
        <v>48.0</v>
      </c>
      <c r="BY51" s="4">
        <f t="shared" si="76"/>
        <v>10</v>
      </c>
      <c r="BZ51" s="4">
        <v>20.0</v>
      </c>
      <c r="CA51" s="4">
        <v>51.0</v>
      </c>
      <c r="CB51" s="4">
        <f t="shared" ref="CB51:CE51" si="113">0.5*20</f>
        <v>10</v>
      </c>
      <c r="CC51" s="4">
        <f t="shared" si="113"/>
        <v>10</v>
      </c>
      <c r="CD51" s="4">
        <f t="shared" si="113"/>
        <v>10</v>
      </c>
      <c r="CE51" s="4">
        <f t="shared" si="113"/>
        <v>10</v>
      </c>
      <c r="CF51" s="4">
        <f t="shared" si="54"/>
        <v>0.05</v>
      </c>
      <c r="CG51" s="4">
        <v>1199.0</v>
      </c>
      <c r="CH51" s="4">
        <v>80.0</v>
      </c>
      <c r="CI51" s="4">
        <f t="shared" si="104"/>
        <v>10</v>
      </c>
      <c r="CJ51" s="4"/>
      <c r="CK51" s="4"/>
      <c r="CL51" s="4">
        <f t="shared" si="105"/>
        <v>0.0005</v>
      </c>
      <c r="CM51" s="4">
        <v>0.006</v>
      </c>
      <c r="CN51" s="4">
        <f t="shared" si="91"/>
        <v>0.25</v>
      </c>
      <c r="CO51" s="4"/>
      <c r="CP51" s="4"/>
      <c r="CQ51" s="4">
        <v>1719.3</v>
      </c>
      <c r="CR51" s="4"/>
      <c r="CS51" s="4"/>
      <c r="CT51" s="4"/>
      <c r="CU51" s="4"/>
      <c r="CV51" s="4"/>
      <c r="CW51" s="4">
        <v>701.75</v>
      </c>
      <c r="CX51" s="4"/>
      <c r="CY51" s="4">
        <v>28105.26</v>
      </c>
      <c r="CZ51" s="4">
        <v>35.09</v>
      </c>
      <c r="DA51" s="4"/>
      <c r="DB51" s="4"/>
      <c r="DC51" s="4"/>
    </row>
    <row r="52">
      <c r="A52" s="4" t="s">
        <v>155</v>
      </c>
      <c r="B52" s="4" t="s">
        <v>156</v>
      </c>
      <c r="C52" s="5" t="s">
        <v>372</v>
      </c>
      <c r="D52" s="5" t="s">
        <v>376</v>
      </c>
      <c r="E52" s="4" t="s">
        <v>349</v>
      </c>
      <c r="F52" s="4" t="s">
        <v>326</v>
      </c>
      <c r="G52" s="4" t="s">
        <v>113</v>
      </c>
      <c r="H52" s="4" t="s">
        <v>158</v>
      </c>
      <c r="I52" s="4" t="s">
        <v>159</v>
      </c>
      <c r="J52" s="4" t="s">
        <v>377</v>
      </c>
      <c r="K52" s="4" t="s">
        <v>378</v>
      </c>
      <c r="L52" s="4">
        <v>-25.2654</v>
      </c>
      <c r="M52" s="4">
        <v>-57.729</v>
      </c>
      <c r="N52" s="4"/>
      <c r="O52" s="4"/>
      <c r="P52" s="4"/>
      <c r="Q52" s="4"/>
      <c r="R52" s="4">
        <v>7.51</v>
      </c>
      <c r="S52" s="4">
        <v>-34.0</v>
      </c>
      <c r="T52" s="4">
        <v>1020.0</v>
      </c>
      <c r="U52" s="4">
        <v>0.3</v>
      </c>
      <c r="V52" s="4">
        <v>28.7</v>
      </c>
      <c r="W52" s="4">
        <v>3.67</v>
      </c>
      <c r="X52" s="4">
        <v>47.6</v>
      </c>
      <c r="Y52" s="4">
        <v>34.6</v>
      </c>
      <c r="Z52" s="4">
        <v>675.0</v>
      </c>
      <c r="AA52" s="4">
        <v>641.8</v>
      </c>
      <c r="AB52" s="4">
        <v>33.2</v>
      </c>
      <c r="AC52" s="4">
        <v>90.0</v>
      </c>
      <c r="AD52" s="4">
        <v>220.0</v>
      </c>
      <c r="AE52" s="4">
        <v>0.0</v>
      </c>
      <c r="AF52" s="4">
        <v>128.0</v>
      </c>
      <c r="AG52" s="4">
        <v>112.0</v>
      </c>
      <c r="AH52" s="4">
        <v>197.9</v>
      </c>
      <c r="AI52" s="4">
        <v>68.9</v>
      </c>
      <c r="AJ52" s="4">
        <v>11.6</v>
      </c>
      <c r="AK52" s="4">
        <v>132.1</v>
      </c>
      <c r="AL52" s="4">
        <v>7.66</v>
      </c>
      <c r="AM52" s="4"/>
      <c r="AN52" s="4"/>
      <c r="AO52" s="4"/>
      <c r="AP52" s="4"/>
      <c r="AQ52" s="4"/>
      <c r="AR52" s="4">
        <v>0.678</v>
      </c>
      <c r="AS52" s="4"/>
      <c r="AT52" s="4">
        <v>0.11</v>
      </c>
      <c r="AU52" s="4">
        <v>0.11</v>
      </c>
      <c r="AV52" s="4">
        <v>1.85</v>
      </c>
      <c r="AW52" s="4">
        <v>0.932</v>
      </c>
      <c r="AX52" s="4">
        <v>6.5</v>
      </c>
      <c r="AY52" s="4">
        <v>66.67</v>
      </c>
      <c r="AZ52" s="4"/>
      <c r="BA52" s="4">
        <v>27000.0</v>
      </c>
      <c r="BB52" s="4">
        <v>3750.0</v>
      </c>
      <c r="BC52" s="4"/>
      <c r="BD52" s="4"/>
      <c r="BE52" s="4">
        <v>7920.0</v>
      </c>
      <c r="BF52" s="4">
        <f t="shared" si="55"/>
        <v>0.5</v>
      </c>
      <c r="BG52" s="4">
        <f t="shared" si="56"/>
        <v>10</v>
      </c>
      <c r="BH52" s="4">
        <f t="shared" si="57"/>
        <v>0.5</v>
      </c>
      <c r="BI52" s="4">
        <f t="shared" si="58"/>
        <v>10</v>
      </c>
      <c r="BJ52" s="4">
        <f t="shared" si="59"/>
        <v>0.5</v>
      </c>
      <c r="BK52" s="4">
        <v>108.0</v>
      </c>
      <c r="BL52" s="4">
        <v>1.0</v>
      </c>
      <c r="BM52" s="4">
        <f t="shared" ref="BM52:BN52" si="114">0.5*1</f>
        <v>0.5</v>
      </c>
      <c r="BN52" s="4">
        <f t="shared" si="114"/>
        <v>0.5</v>
      </c>
      <c r="BO52" s="4">
        <v>2.0</v>
      </c>
      <c r="BP52" s="4">
        <f t="shared" ref="BP52:BR52" si="115">0.5*1</f>
        <v>0.5</v>
      </c>
      <c r="BQ52" s="4">
        <f t="shared" si="115"/>
        <v>0.5</v>
      </c>
      <c r="BR52" s="4">
        <f t="shared" si="115"/>
        <v>0.5</v>
      </c>
      <c r="BS52" s="4">
        <f t="shared" si="51"/>
        <v>0.02</v>
      </c>
      <c r="BT52" s="4">
        <v>300.0</v>
      </c>
      <c r="BU52" s="4">
        <v>508.0</v>
      </c>
      <c r="BV52" s="4">
        <f t="shared" si="108"/>
        <v>0.5</v>
      </c>
      <c r="BW52" s="4">
        <v>24.0</v>
      </c>
      <c r="BX52" s="4">
        <v>107.0</v>
      </c>
      <c r="BY52" s="4">
        <f t="shared" si="76"/>
        <v>10</v>
      </c>
      <c r="BZ52" s="4">
        <v>24.0</v>
      </c>
      <c r="CA52" s="4">
        <v>69.0</v>
      </c>
      <c r="CB52" s="4">
        <f t="shared" ref="CB52:CC52" si="116">0.5*20</f>
        <v>10</v>
      </c>
      <c r="CC52" s="4">
        <f t="shared" si="116"/>
        <v>10</v>
      </c>
      <c r="CD52" s="4">
        <v>29.0</v>
      </c>
      <c r="CE52" s="4">
        <f t="shared" ref="CE52:CE67" si="119">0.5*20</f>
        <v>10</v>
      </c>
      <c r="CF52" s="4">
        <f t="shared" si="54"/>
        <v>0.05</v>
      </c>
      <c r="CG52" s="4">
        <v>1011.0</v>
      </c>
      <c r="CH52" s="4">
        <v>329.0</v>
      </c>
      <c r="CI52" s="4">
        <f t="shared" si="104"/>
        <v>10</v>
      </c>
      <c r="CJ52" s="4"/>
      <c r="CK52" s="4"/>
      <c r="CL52" s="4">
        <f t="shared" si="105"/>
        <v>0.0005</v>
      </c>
      <c r="CM52" s="4">
        <v>0.012</v>
      </c>
      <c r="CN52" s="4">
        <f t="shared" si="91"/>
        <v>0.25</v>
      </c>
      <c r="CO52" s="4"/>
      <c r="CP52" s="4"/>
      <c r="CQ52" s="4">
        <v>2078.31</v>
      </c>
      <c r="CR52" s="4">
        <v>642.77</v>
      </c>
      <c r="CS52" s="4"/>
      <c r="CT52" s="4"/>
      <c r="CU52" s="4"/>
      <c r="CV52" s="4"/>
      <c r="CW52" s="4">
        <v>722.89</v>
      </c>
      <c r="CX52" s="4">
        <v>722.89</v>
      </c>
      <c r="CY52" s="4">
        <v>21415.66</v>
      </c>
      <c r="CZ52" s="4"/>
      <c r="DA52" s="4"/>
      <c r="DB52" s="4"/>
      <c r="DC52" s="4"/>
    </row>
    <row r="53">
      <c r="A53" s="4" t="s">
        <v>162</v>
      </c>
      <c r="B53" s="4" t="s">
        <v>163</v>
      </c>
      <c r="C53" s="5" t="s">
        <v>372</v>
      </c>
      <c r="D53" s="5" t="s">
        <v>379</v>
      </c>
      <c r="E53" s="4" t="s">
        <v>349</v>
      </c>
      <c r="F53" s="4" t="s">
        <v>326</v>
      </c>
      <c r="G53" s="4" t="s">
        <v>113</v>
      </c>
      <c r="H53" s="4" t="s">
        <v>134</v>
      </c>
      <c r="J53" s="4" t="s">
        <v>380</v>
      </c>
      <c r="K53" s="4" t="s">
        <v>381</v>
      </c>
      <c r="L53" s="4">
        <v>-25.7879</v>
      </c>
      <c r="M53" s="4">
        <v>-58.0214</v>
      </c>
      <c r="N53" s="4"/>
      <c r="O53" s="4"/>
      <c r="P53" s="4"/>
      <c r="Q53" s="4"/>
      <c r="R53" s="4">
        <v>7.47</v>
      </c>
      <c r="S53" s="4">
        <v>-32.0</v>
      </c>
      <c r="T53" s="4">
        <v>2620.0</v>
      </c>
      <c r="U53" s="4">
        <v>1.2</v>
      </c>
      <c r="V53" s="4">
        <v>27.6</v>
      </c>
      <c r="W53" s="4">
        <v>4.48</v>
      </c>
      <c r="X53" s="4">
        <v>57.3</v>
      </c>
      <c r="Y53" s="4">
        <v>115.0</v>
      </c>
      <c r="Z53" s="4">
        <v>1795.0</v>
      </c>
      <c r="AA53" s="4">
        <v>1681.9</v>
      </c>
      <c r="AB53" s="4">
        <v>112.1</v>
      </c>
      <c r="AC53" s="4">
        <v>90.0</v>
      </c>
      <c r="AD53" s="4">
        <v>298.0</v>
      </c>
      <c r="AE53" s="4">
        <v>0.0</v>
      </c>
      <c r="AF53" s="4">
        <v>96.0</v>
      </c>
      <c r="AG53" s="4">
        <v>306.0</v>
      </c>
      <c r="AH53" s="4">
        <v>640.2</v>
      </c>
      <c r="AI53" s="4">
        <v>88.1</v>
      </c>
      <c r="AJ53" s="4">
        <v>18.9</v>
      </c>
      <c r="AK53" s="4">
        <v>458.69</v>
      </c>
      <c r="AL53" s="4">
        <v>13.06</v>
      </c>
      <c r="AM53" s="4"/>
      <c r="AN53" s="4"/>
      <c r="AO53" s="4"/>
      <c r="AP53" s="4"/>
      <c r="AQ53" s="4"/>
      <c r="AR53" s="4">
        <v>1.53</v>
      </c>
      <c r="AS53" s="4"/>
      <c r="AT53" s="4">
        <v>0.12</v>
      </c>
      <c r="AU53" s="4">
        <v>0.173</v>
      </c>
      <c r="AV53" s="4">
        <v>1.45</v>
      </c>
      <c r="AW53" s="4">
        <v>0.537</v>
      </c>
      <c r="AX53" s="4">
        <v>6.7</v>
      </c>
      <c r="AY53" s="4">
        <v>87.18</v>
      </c>
      <c r="AZ53" s="4"/>
      <c r="BA53" s="4">
        <v>43200.0</v>
      </c>
      <c r="BB53" s="4">
        <v>6000.0</v>
      </c>
      <c r="BC53" s="4"/>
      <c r="BD53" s="4"/>
      <c r="BE53" s="4">
        <v>9240.0</v>
      </c>
      <c r="BF53" s="4">
        <f t="shared" si="55"/>
        <v>0.5</v>
      </c>
      <c r="BG53" s="4">
        <f t="shared" si="56"/>
        <v>10</v>
      </c>
      <c r="BH53" s="4">
        <f t="shared" si="57"/>
        <v>0.5</v>
      </c>
      <c r="BI53" s="4">
        <v>20.0</v>
      </c>
      <c r="BJ53" s="4">
        <f t="shared" si="59"/>
        <v>0.5</v>
      </c>
      <c r="BK53" s="4">
        <v>7.0</v>
      </c>
      <c r="BL53" s="4">
        <v>1.0</v>
      </c>
      <c r="BM53" s="4">
        <f>0.5*1</f>
        <v>0.5</v>
      </c>
      <c r="BN53" s="4">
        <v>2.0</v>
      </c>
      <c r="BO53" s="4">
        <v>2.0</v>
      </c>
      <c r="BP53" s="4">
        <f t="shared" ref="BP53:BR53" si="117">0.5*1</f>
        <v>0.5</v>
      </c>
      <c r="BQ53" s="4">
        <f t="shared" si="117"/>
        <v>0.5</v>
      </c>
      <c r="BR53" s="4">
        <f t="shared" si="117"/>
        <v>0.5</v>
      </c>
      <c r="BS53" s="4">
        <f t="shared" si="51"/>
        <v>0.02</v>
      </c>
      <c r="BT53" s="4">
        <v>289.0</v>
      </c>
      <c r="BU53" s="4">
        <v>1024.0</v>
      </c>
      <c r="BV53" s="4">
        <f t="shared" si="108"/>
        <v>0.5</v>
      </c>
      <c r="BW53" s="4">
        <f t="shared" ref="BW53:BW55" si="122">0.5*20</f>
        <v>10</v>
      </c>
      <c r="BX53" s="4">
        <v>108.0</v>
      </c>
      <c r="BY53" s="4">
        <f t="shared" si="76"/>
        <v>10</v>
      </c>
      <c r="BZ53" s="4">
        <v>20.0</v>
      </c>
      <c r="CA53" s="4">
        <v>39.0</v>
      </c>
      <c r="CB53" s="4">
        <f t="shared" ref="CB53:CC53" si="118">0.5*20</f>
        <v>10</v>
      </c>
      <c r="CC53" s="4">
        <f t="shared" si="118"/>
        <v>10</v>
      </c>
      <c r="CD53" s="4">
        <v>33.0</v>
      </c>
      <c r="CE53" s="4">
        <f t="shared" si="119"/>
        <v>10</v>
      </c>
      <c r="CF53" s="4">
        <f t="shared" si="54"/>
        <v>0.05</v>
      </c>
      <c r="CG53" s="4">
        <v>2229.0</v>
      </c>
      <c r="CH53" s="4">
        <v>507.0</v>
      </c>
      <c r="CI53" s="4">
        <v>37.0</v>
      </c>
      <c r="CJ53" s="4"/>
      <c r="CK53" s="4"/>
      <c r="CL53" s="4">
        <f t="shared" si="105"/>
        <v>0.0005</v>
      </c>
      <c r="CM53" s="4">
        <v>0.01</v>
      </c>
      <c r="CN53" s="4">
        <f t="shared" si="91"/>
        <v>0.25</v>
      </c>
      <c r="CO53" s="4">
        <v>178.41</v>
      </c>
      <c r="CP53" s="4">
        <v>330.06</v>
      </c>
      <c r="CQ53" s="4">
        <v>330.06</v>
      </c>
      <c r="CR53" s="4">
        <v>177.88</v>
      </c>
      <c r="CS53" s="4"/>
      <c r="CT53" s="4"/>
      <c r="CU53" s="4"/>
      <c r="CV53" s="4"/>
      <c r="CW53" s="4">
        <v>178.41</v>
      </c>
      <c r="CX53" s="4"/>
      <c r="CY53" s="4">
        <v>17305.98</v>
      </c>
      <c r="CZ53" s="4">
        <v>900.98</v>
      </c>
      <c r="DA53" s="4"/>
      <c r="DB53" s="4"/>
      <c r="DC53" s="4"/>
    </row>
    <row r="54">
      <c r="A54" s="4" t="s">
        <v>167</v>
      </c>
      <c r="B54" s="4" t="s">
        <v>168</v>
      </c>
      <c r="C54" s="5" t="s">
        <v>382</v>
      </c>
      <c r="D54" s="5" t="s">
        <v>383</v>
      </c>
      <c r="E54" s="4" t="s">
        <v>349</v>
      </c>
      <c r="F54" s="4" t="s">
        <v>326</v>
      </c>
      <c r="G54" s="4" t="s">
        <v>113</v>
      </c>
      <c r="H54" s="4" t="s">
        <v>172</v>
      </c>
      <c r="I54" s="4" t="s">
        <v>173</v>
      </c>
      <c r="J54" s="4" t="s">
        <v>384</v>
      </c>
      <c r="K54" s="4" t="s">
        <v>385</v>
      </c>
      <c r="L54" s="4">
        <v>-21.1514</v>
      </c>
      <c r="M54" s="4">
        <v>-64.2383</v>
      </c>
      <c r="N54" s="4"/>
      <c r="O54" s="4"/>
      <c r="P54" s="4">
        <v>1859.0</v>
      </c>
      <c r="Q54" s="4">
        <v>188.3</v>
      </c>
      <c r="R54" s="4">
        <v>8.45</v>
      </c>
      <c r="S54" s="4">
        <v>-100.0</v>
      </c>
      <c r="T54" s="4">
        <v>538.0</v>
      </c>
      <c r="U54" s="4">
        <v>0.2</v>
      </c>
      <c r="V54" s="4">
        <v>23.3</v>
      </c>
      <c r="W54" s="4">
        <v>7.8</v>
      </c>
      <c r="X54" s="4">
        <v>101.1</v>
      </c>
      <c r="Y54" s="4">
        <f t="shared" ref="Y54:Y58" si="123">1.5*1100</f>
        <v>1650</v>
      </c>
      <c r="Z54" s="4">
        <v>5955.0</v>
      </c>
      <c r="AA54" s="4">
        <v>605.0</v>
      </c>
      <c r="AB54" s="4">
        <v>5357.0</v>
      </c>
      <c r="AC54" s="4">
        <v>29.5</v>
      </c>
      <c r="AD54" s="4">
        <v>177.02</v>
      </c>
      <c r="AE54" s="4">
        <v>44.14</v>
      </c>
      <c r="AF54" s="4">
        <v>179.55</v>
      </c>
      <c r="AG54" s="4">
        <v>33.44</v>
      </c>
      <c r="AH54" s="4">
        <v>101.13</v>
      </c>
      <c r="AI54" s="4">
        <v>43.9</v>
      </c>
      <c r="AJ54" s="4">
        <v>22.5</v>
      </c>
      <c r="AK54" s="4">
        <v>27.9</v>
      </c>
      <c r="AL54" s="4">
        <v>3.63</v>
      </c>
      <c r="AM54" s="4">
        <v>45.6</v>
      </c>
      <c r="AN54" s="4">
        <v>46.8</v>
      </c>
      <c r="AO54" s="4">
        <v>53.7</v>
      </c>
      <c r="AP54" s="4">
        <v>66.7</v>
      </c>
      <c r="AQ54" s="4"/>
      <c r="AR54" s="4">
        <v>5.46</v>
      </c>
      <c r="AS54" s="4">
        <v>0.49</v>
      </c>
      <c r="AT54" s="4">
        <v>1.06</v>
      </c>
      <c r="AU54" s="4">
        <v>5.85</v>
      </c>
      <c r="AV54" s="4">
        <v>1.68</v>
      </c>
      <c r="AW54" s="4">
        <v>3.94</v>
      </c>
      <c r="AX54" s="4">
        <v>13.7</v>
      </c>
      <c r="AY54" s="4">
        <v>168.0</v>
      </c>
      <c r="AZ54" s="4"/>
      <c r="BA54" s="4"/>
      <c r="BB54" s="4"/>
      <c r="BC54" s="4">
        <v>15000.0</v>
      </c>
      <c r="BD54" s="4">
        <v>2000.0</v>
      </c>
      <c r="BE54" s="6">
        <v>4.5E7</v>
      </c>
      <c r="BF54" s="4">
        <f t="shared" si="55"/>
        <v>0.5</v>
      </c>
      <c r="BG54" s="4">
        <v>20.0</v>
      </c>
      <c r="BH54" s="4">
        <f t="shared" si="57"/>
        <v>0.5</v>
      </c>
      <c r="BI54" s="4">
        <v>20.0</v>
      </c>
      <c r="BJ54" s="4">
        <f t="shared" si="59"/>
        <v>0.5</v>
      </c>
      <c r="BK54" s="4">
        <f t="shared" ref="BK54:BN54" si="120">0.5*1</f>
        <v>0.5</v>
      </c>
      <c r="BL54" s="4">
        <f t="shared" si="120"/>
        <v>0.5</v>
      </c>
      <c r="BM54" s="4">
        <f t="shared" si="120"/>
        <v>0.5</v>
      </c>
      <c r="BN54" s="4">
        <f t="shared" si="120"/>
        <v>0.5</v>
      </c>
      <c r="BO54" s="4">
        <v>1.0</v>
      </c>
      <c r="BP54" s="4">
        <f t="shared" ref="BP54:BR54" si="121">0.5*1</f>
        <v>0.5</v>
      </c>
      <c r="BQ54" s="4">
        <f t="shared" si="121"/>
        <v>0.5</v>
      </c>
      <c r="BR54" s="4">
        <f t="shared" si="121"/>
        <v>0.5</v>
      </c>
      <c r="BS54" s="4">
        <f t="shared" si="51"/>
        <v>0.02</v>
      </c>
      <c r="BT54" s="4">
        <v>178.0</v>
      </c>
      <c r="BU54" s="4">
        <v>815.0</v>
      </c>
      <c r="BV54" s="4">
        <f t="shared" si="108"/>
        <v>0.5</v>
      </c>
      <c r="BW54" s="4">
        <f t="shared" si="122"/>
        <v>10</v>
      </c>
      <c r="BX54" s="4">
        <v>1282.0</v>
      </c>
      <c r="BY54" s="4">
        <v>65.0</v>
      </c>
      <c r="BZ54" s="4">
        <v>135.0</v>
      </c>
      <c r="CA54" s="4">
        <v>367.0</v>
      </c>
      <c r="CB54" s="4">
        <v>35.0</v>
      </c>
      <c r="CC54" s="4">
        <v>25.0</v>
      </c>
      <c r="CD54" s="4">
        <v>93.0</v>
      </c>
      <c r="CE54" s="4">
        <f t="shared" si="119"/>
        <v>10</v>
      </c>
      <c r="CF54" s="4">
        <v>0.284</v>
      </c>
      <c r="CG54" s="4">
        <v>57427.0</v>
      </c>
      <c r="CH54" s="4">
        <v>337.0</v>
      </c>
      <c r="CI54" s="4">
        <v>38.0</v>
      </c>
      <c r="CJ54" s="4">
        <f t="shared" ref="CJ54:CJ56" si="126">0.5*0.02</f>
        <v>0.01</v>
      </c>
      <c r="CK54" s="4"/>
      <c r="CL54" s="4">
        <f t="shared" ref="CL54:CL56" si="127">0.5*1</f>
        <v>0.5</v>
      </c>
      <c r="CM54" s="4">
        <f t="shared" ref="CM54:CM58" si="128">0.5*0.001</f>
        <v>0.0005</v>
      </c>
      <c r="CN54" s="4"/>
      <c r="CO54" s="4">
        <v>3.73</v>
      </c>
      <c r="CP54" s="4">
        <v>7.09</v>
      </c>
      <c r="CQ54" s="4">
        <v>68.51</v>
      </c>
      <c r="CR54" s="4">
        <v>16.68</v>
      </c>
      <c r="CS54" s="4">
        <v>6.35</v>
      </c>
      <c r="CT54" s="4">
        <v>3.73</v>
      </c>
      <c r="CU54" s="4"/>
      <c r="CV54" s="4">
        <v>4.67</v>
      </c>
      <c r="CW54" s="4">
        <v>25.2</v>
      </c>
      <c r="CX54" s="4"/>
      <c r="CY54" s="4">
        <v>10686.76</v>
      </c>
      <c r="CZ54" s="4">
        <v>239.31</v>
      </c>
      <c r="DA54" s="4">
        <v>0.05</v>
      </c>
      <c r="DB54" s="4">
        <v>12.13</v>
      </c>
      <c r="DC54" s="4"/>
    </row>
    <row r="55">
      <c r="A55" s="4" t="s">
        <v>176</v>
      </c>
      <c r="B55" s="4" t="s">
        <v>177</v>
      </c>
      <c r="C55" s="5" t="s">
        <v>382</v>
      </c>
      <c r="D55" s="5" t="s">
        <v>379</v>
      </c>
      <c r="E55" s="4" t="s">
        <v>349</v>
      </c>
      <c r="F55" s="4" t="s">
        <v>326</v>
      </c>
      <c r="G55" s="4" t="s">
        <v>113</v>
      </c>
      <c r="H55" s="4" t="s">
        <v>114</v>
      </c>
      <c r="I55" s="4" t="s">
        <v>180</v>
      </c>
      <c r="J55" s="4" t="s">
        <v>386</v>
      </c>
      <c r="K55" s="4" t="s">
        <v>182</v>
      </c>
      <c r="L55" s="4">
        <v>-20.9136</v>
      </c>
      <c r="M55" s="4">
        <v>-64.1105</v>
      </c>
      <c r="N55" s="4"/>
      <c r="O55" s="4"/>
      <c r="P55" s="4">
        <v>2390.0</v>
      </c>
      <c r="Q55" s="4">
        <v>190.8</v>
      </c>
      <c r="R55" s="4">
        <v>8.2</v>
      </c>
      <c r="S55" s="4">
        <v>73.0</v>
      </c>
      <c r="T55" s="4">
        <v>418.0</v>
      </c>
      <c r="U55" s="4">
        <v>0.1</v>
      </c>
      <c r="V55" s="4">
        <v>22.1</v>
      </c>
      <c r="W55" s="4">
        <v>8.5</v>
      </c>
      <c r="X55" s="4">
        <v>99.3</v>
      </c>
      <c r="Y55" s="4">
        <f t="shared" si="123"/>
        <v>1650</v>
      </c>
      <c r="Z55" s="4">
        <v>6094.0</v>
      </c>
      <c r="AA55" s="4">
        <v>452.0</v>
      </c>
      <c r="AB55" s="4">
        <v>5638.0</v>
      </c>
      <c r="AC55" s="4">
        <v>36.0</v>
      </c>
      <c r="AD55" s="4">
        <v>138.49</v>
      </c>
      <c r="AE55" s="4">
        <v>39.28</v>
      </c>
      <c r="AF55" s="4">
        <v>154.61</v>
      </c>
      <c r="AG55" s="4">
        <v>44.76</v>
      </c>
      <c r="AH55" s="4">
        <v>71.75</v>
      </c>
      <c r="AI55" s="4">
        <v>35.9</v>
      </c>
      <c r="AJ55" s="4">
        <v>13.7</v>
      </c>
      <c r="AK55" s="4">
        <v>24.0</v>
      </c>
      <c r="AL55" s="4">
        <v>5.08</v>
      </c>
      <c r="AM55" s="4">
        <v>40.2</v>
      </c>
      <c r="AN55" s="4">
        <v>48.5</v>
      </c>
      <c r="AO55" s="4">
        <v>60.3</v>
      </c>
      <c r="AP55" s="4">
        <v>64.6</v>
      </c>
      <c r="AQ55" s="4"/>
      <c r="AR55" s="4">
        <v>2.51</v>
      </c>
      <c r="AS55" s="4">
        <v>0.37</v>
      </c>
      <c r="AT55" s="4">
        <v>1.06</v>
      </c>
      <c r="AU55" s="4">
        <v>0.36</v>
      </c>
      <c r="AV55" s="4">
        <v>1.51</v>
      </c>
      <c r="AW55" s="4">
        <v>9.92</v>
      </c>
      <c r="AX55" s="4">
        <v>71.2</v>
      </c>
      <c r="AY55" s="4">
        <v>243.0</v>
      </c>
      <c r="AZ55" s="4"/>
      <c r="BA55" s="4"/>
      <c r="BB55" s="4"/>
      <c r="BC55" s="4">
        <v>460000.0</v>
      </c>
      <c r="BD55" s="4">
        <v>75000.0</v>
      </c>
      <c r="BE55" s="6">
        <v>1.6E8</v>
      </c>
      <c r="BF55" s="4">
        <f t="shared" si="55"/>
        <v>0.5</v>
      </c>
      <c r="BG55" s="4">
        <f t="shared" ref="BG55:BG65" si="129">0.5*20</f>
        <v>10</v>
      </c>
      <c r="BH55" s="4">
        <f t="shared" si="57"/>
        <v>0.5</v>
      </c>
      <c r="BI55" s="4">
        <f t="shared" ref="BI55:BI65" si="130">0.5*20</f>
        <v>10</v>
      </c>
      <c r="BJ55" s="4">
        <f t="shared" si="59"/>
        <v>0.5</v>
      </c>
      <c r="BK55" s="4">
        <v>2.0</v>
      </c>
      <c r="BL55" s="4">
        <f t="shared" ref="BL55:BR55" si="124">0.5*1</f>
        <v>0.5</v>
      </c>
      <c r="BM55" s="4">
        <f t="shared" si="124"/>
        <v>0.5</v>
      </c>
      <c r="BN55" s="4">
        <f t="shared" si="124"/>
        <v>0.5</v>
      </c>
      <c r="BO55" s="4">
        <f t="shared" si="124"/>
        <v>0.5</v>
      </c>
      <c r="BP55" s="4">
        <f t="shared" si="124"/>
        <v>0.5</v>
      </c>
      <c r="BQ55" s="4">
        <f t="shared" si="124"/>
        <v>0.5</v>
      </c>
      <c r="BR55" s="4">
        <f t="shared" si="124"/>
        <v>0.5</v>
      </c>
      <c r="BS55" s="4">
        <f t="shared" si="51"/>
        <v>0.02</v>
      </c>
      <c r="BT55" s="4">
        <v>148.0</v>
      </c>
      <c r="BU55" s="4">
        <v>334.0</v>
      </c>
      <c r="BV55" s="4">
        <f t="shared" si="108"/>
        <v>0.5</v>
      </c>
      <c r="BW55" s="4">
        <f t="shared" si="122"/>
        <v>10</v>
      </c>
      <c r="BX55" s="4">
        <v>1230.0</v>
      </c>
      <c r="BY55" s="4">
        <v>52.0</v>
      </c>
      <c r="BZ55" s="4">
        <v>312.0</v>
      </c>
      <c r="CA55" s="4">
        <v>433.0</v>
      </c>
      <c r="CB55" s="4">
        <f t="shared" ref="CB55:CC55" si="125">0.5*20</f>
        <v>10</v>
      </c>
      <c r="CC55" s="4">
        <f t="shared" si="125"/>
        <v>10</v>
      </c>
      <c r="CD55" s="4">
        <v>78.0</v>
      </c>
      <c r="CE55" s="4">
        <f t="shared" si="119"/>
        <v>10</v>
      </c>
      <c r="CF55" s="4">
        <f>0.5*0.1</f>
        <v>0.05</v>
      </c>
      <c r="CG55" s="4">
        <v>48351.0</v>
      </c>
      <c r="CH55" s="4">
        <v>108.0</v>
      </c>
      <c r="CI55" s="4">
        <f t="shared" ref="CI55:CI57" si="132">0.5*20</f>
        <v>10</v>
      </c>
      <c r="CJ55" s="4">
        <f t="shared" si="126"/>
        <v>0.01</v>
      </c>
      <c r="CK55" s="4"/>
      <c r="CL55" s="4">
        <f t="shared" si="127"/>
        <v>0.5</v>
      </c>
      <c r="CM55" s="4">
        <f t="shared" si="128"/>
        <v>0.0005</v>
      </c>
      <c r="CN55" s="4"/>
      <c r="CO55" s="4"/>
      <c r="CP55" s="4"/>
      <c r="CQ55" s="4">
        <v>76.8</v>
      </c>
      <c r="CR55" s="4">
        <v>12.93</v>
      </c>
      <c r="CS55" s="4"/>
      <c r="CT55" s="4"/>
      <c r="CU55" s="4"/>
      <c r="CV55" s="4"/>
      <c r="CW55" s="4">
        <v>55.34</v>
      </c>
      <c r="CX55" s="4"/>
      <c r="CY55" s="4">
        <v>8549.66</v>
      </c>
      <c r="CZ55" s="4">
        <v>217.81</v>
      </c>
      <c r="DA55" s="4"/>
      <c r="DB55" s="4">
        <v>9.22</v>
      </c>
      <c r="DC55" s="4"/>
    </row>
    <row r="56">
      <c r="A56" s="4" t="s">
        <v>183</v>
      </c>
      <c r="B56" s="4" t="s">
        <v>184</v>
      </c>
      <c r="C56" s="5" t="s">
        <v>387</v>
      </c>
      <c r="D56" s="5" t="s">
        <v>185</v>
      </c>
      <c r="E56" s="4" t="s">
        <v>388</v>
      </c>
      <c r="F56" s="4" t="s">
        <v>326</v>
      </c>
      <c r="G56" s="4" t="s">
        <v>113</v>
      </c>
      <c r="H56" s="4" t="s">
        <v>114</v>
      </c>
      <c r="I56" s="4" t="s">
        <v>180</v>
      </c>
      <c r="J56" s="4" t="s">
        <v>389</v>
      </c>
      <c r="K56" s="4" t="s">
        <v>390</v>
      </c>
      <c r="L56" s="4">
        <v>-21.2581</v>
      </c>
      <c r="M56" s="4">
        <v>-63.5115</v>
      </c>
      <c r="N56" s="4">
        <v>1.633</v>
      </c>
      <c r="O56" s="4">
        <v>491.0</v>
      </c>
      <c r="P56" s="4">
        <v>1838.0</v>
      </c>
      <c r="Q56" s="4">
        <v>204.0</v>
      </c>
      <c r="R56" s="4">
        <v>7.5</v>
      </c>
      <c r="S56" s="4">
        <v>-50.0</v>
      </c>
      <c r="T56" s="4">
        <v>545.0</v>
      </c>
      <c r="U56" s="4">
        <v>0.2</v>
      </c>
      <c r="V56" s="4">
        <v>23.7</v>
      </c>
      <c r="W56" s="4">
        <v>8.37</v>
      </c>
      <c r="X56" s="4">
        <v>104.2</v>
      </c>
      <c r="Y56" s="4">
        <f t="shared" si="123"/>
        <v>1650</v>
      </c>
      <c r="Z56" s="4">
        <v>11637.0</v>
      </c>
      <c r="AA56" s="4">
        <v>598.0</v>
      </c>
      <c r="AB56" s="4">
        <v>11026.0</v>
      </c>
      <c r="AC56" s="4">
        <v>34.5</v>
      </c>
      <c r="AD56" s="4">
        <v>163.72</v>
      </c>
      <c r="AE56" s="4">
        <v>44.14</v>
      </c>
      <c r="AF56" s="4">
        <v>179.55</v>
      </c>
      <c r="AG56" s="4">
        <v>74.96</v>
      </c>
      <c r="AH56" s="4">
        <v>77.17</v>
      </c>
      <c r="AI56" s="4">
        <v>45.9</v>
      </c>
      <c r="AJ56" s="4">
        <v>18.2</v>
      </c>
      <c r="AK56" s="4">
        <v>37.7</v>
      </c>
      <c r="AL56" s="4">
        <v>4.65</v>
      </c>
      <c r="AM56" s="4">
        <v>49.9</v>
      </c>
      <c r="AN56" s="4">
        <v>74.8</v>
      </c>
      <c r="AO56" s="4">
        <v>77.3</v>
      </c>
      <c r="AP56" s="4">
        <v>156.0</v>
      </c>
      <c r="AQ56" s="4"/>
      <c r="AR56" s="4">
        <v>17.02</v>
      </c>
      <c r="AS56" s="4">
        <v>1.13</v>
      </c>
      <c r="AT56" s="4">
        <v>1.06</v>
      </c>
      <c r="AU56" s="4">
        <v>0.3</v>
      </c>
      <c r="AV56" s="4">
        <v>2.61</v>
      </c>
      <c r="AW56" s="4">
        <v>2.99</v>
      </c>
      <c r="AX56" s="4">
        <v>14.7</v>
      </c>
      <c r="AY56" s="4">
        <v>199.0</v>
      </c>
      <c r="AZ56" s="4"/>
      <c r="BA56" s="4"/>
      <c r="BB56" s="4"/>
      <c r="BC56" s="4">
        <v>21000.0</v>
      </c>
      <c r="BD56" s="4">
        <v>9300.0</v>
      </c>
      <c r="BE56" s="6">
        <v>5.8E8</v>
      </c>
      <c r="BF56" s="4">
        <f t="shared" si="55"/>
        <v>0.5</v>
      </c>
      <c r="BG56" s="4">
        <f t="shared" si="129"/>
        <v>10</v>
      </c>
      <c r="BH56" s="4">
        <f t="shared" si="57"/>
        <v>0.5</v>
      </c>
      <c r="BI56" s="4">
        <f t="shared" si="130"/>
        <v>10</v>
      </c>
      <c r="BJ56" s="4">
        <f t="shared" si="59"/>
        <v>0.5</v>
      </c>
      <c r="BK56" s="4">
        <f t="shared" ref="BK56:BR56" si="131">0.5*1</f>
        <v>0.5</v>
      </c>
      <c r="BL56" s="4">
        <f t="shared" si="131"/>
        <v>0.5</v>
      </c>
      <c r="BM56" s="4">
        <f t="shared" si="131"/>
        <v>0.5</v>
      </c>
      <c r="BN56" s="4">
        <f t="shared" si="131"/>
        <v>0.5</v>
      </c>
      <c r="BO56" s="4">
        <f t="shared" si="131"/>
        <v>0.5</v>
      </c>
      <c r="BP56" s="4">
        <f t="shared" si="131"/>
        <v>0.5</v>
      </c>
      <c r="BQ56" s="4">
        <f t="shared" si="131"/>
        <v>0.5</v>
      </c>
      <c r="BR56" s="4">
        <f t="shared" si="131"/>
        <v>0.5</v>
      </c>
      <c r="BS56" s="4">
        <f t="shared" si="51"/>
        <v>0.02</v>
      </c>
      <c r="BT56" s="4">
        <v>148.0</v>
      </c>
      <c r="BU56" s="4">
        <v>572.0</v>
      </c>
      <c r="BV56" s="4">
        <f t="shared" si="108"/>
        <v>0.5</v>
      </c>
      <c r="BW56" s="4">
        <v>29.0</v>
      </c>
      <c r="BX56" s="4">
        <v>2048.0</v>
      </c>
      <c r="BY56" s="4">
        <v>122.0</v>
      </c>
      <c r="BZ56" s="4">
        <v>170.0</v>
      </c>
      <c r="CA56" s="4">
        <v>733.0</v>
      </c>
      <c r="CB56" s="4">
        <v>36.0</v>
      </c>
      <c r="CC56" s="4">
        <f t="shared" ref="CC56:CC58" si="134">0.5*20</f>
        <v>10</v>
      </c>
      <c r="CD56" s="4">
        <v>136.0</v>
      </c>
      <c r="CE56" s="4">
        <f t="shared" si="119"/>
        <v>10</v>
      </c>
      <c r="CF56" s="4">
        <v>0.36</v>
      </c>
      <c r="CG56" s="4">
        <v>100737.0</v>
      </c>
      <c r="CH56" s="4">
        <v>305.0</v>
      </c>
      <c r="CI56" s="4">
        <f t="shared" si="132"/>
        <v>10</v>
      </c>
      <c r="CJ56" s="4">
        <f t="shared" si="126"/>
        <v>0.01</v>
      </c>
      <c r="CK56" s="4"/>
      <c r="CL56" s="4">
        <f t="shared" si="127"/>
        <v>0.5</v>
      </c>
      <c r="CM56" s="4">
        <f t="shared" si="128"/>
        <v>0.0005</v>
      </c>
      <c r="CN56" s="4"/>
      <c r="CO56" s="4"/>
      <c r="CP56" s="4"/>
      <c r="CQ56" s="4">
        <v>66.48</v>
      </c>
      <c r="CR56" s="4">
        <v>11.91</v>
      </c>
      <c r="CS56" s="4">
        <v>3.27</v>
      </c>
      <c r="CT56" s="4"/>
      <c r="CU56" s="4"/>
      <c r="CV56" s="4"/>
      <c r="CW56" s="4">
        <v>15.42</v>
      </c>
      <c r="CX56" s="4">
        <v>2.63</v>
      </c>
      <c r="CY56" s="4">
        <v>9122.89</v>
      </c>
      <c r="CZ56" s="4">
        <v>185.74</v>
      </c>
      <c r="DA56" s="4">
        <v>0.03</v>
      </c>
      <c r="DB56" s="4">
        <v>11.06</v>
      </c>
      <c r="DC56" s="4"/>
    </row>
    <row r="57">
      <c r="A57" s="4" t="s">
        <v>202</v>
      </c>
      <c r="B57" s="4" t="s">
        <v>203</v>
      </c>
      <c r="C57" s="5" t="s">
        <v>391</v>
      </c>
      <c r="D57" s="5" t="s">
        <v>376</v>
      </c>
      <c r="E57" s="4" t="s">
        <v>388</v>
      </c>
      <c r="F57" s="4" t="s">
        <v>326</v>
      </c>
      <c r="G57" s="4" t="s">
        <v>113</v>
      </c>
      <c r="H57" s="4" t="s">
        <v>114</v>
      </c>
      <c r="I57" s="4" t="s">
        <v>205</v>
      </c>
      <c r="J57" s="4" t="s">
        <v>392</v>
      </c>
      <c r="K57" s="4" t="s">
        <v>393</v>
      </c>
      <c r="L57" s="4">
        <v>-22.3785</v>
      </c>
      <c r="M57" s="4">
        <v>-62.5187</v>
      </c>
      <c r="N57" s="4"/>
      <c r="O57" s="4"/>
      <c r="P57" s="4">
        <v>1797.0</v>
      </c>
      <c r="Q57" s="4">
        <v>141.2</v>
      </c>
      <c r="R57" s="4">
        <v>7.7</v>
      </c>
      <c r="S57" s="4">
        <v>-68.0</v>
      </c>
      <c r="T57" s="4">
        <v>557.0</v>
      </c>
      <c r="U57" s="4">
        <v>0.2</v>
      </c>
      <c r="V57" s="4">
        <v>26.6</v>
      </c>
      <c r="W57" s="4">
        <v>5.55</v>
      </c>
      <c r="X57" s="4">
        <v>71.2</v>
      </c>
      <c r="Y57" s="4">
        <f t="shared" si="123"/>
        <v>1650</v>
      </c>
      <c r="Z57" s="4">
        <v>9494.0</v>
      </c>
      <c r="AA57" s="4"/>
      <c r="AB57" s="4">
        <v>5786.0</v>
      </c>
      <c r="AC57" s="4">
        <v>15.0</v>
      </c>
      <c r="AD57" s="4">
        <v>192.0</v>
      </c>
      <c r="AE57" s="4"/>
      <c r="AF57" s="4">
        <v>166.0</v>
      </c>
      <c r="AG57" s="4">
        <v>7.9</v>
      </c>
      <c r="AH57" s="4">
        <v>93.0</v>
      </c>
      <c r="AI57" s="4">
        <v>55.0</v>
      </c>
      <c r="AJ57" s="4">
        <v>13.0</v>
      </c>
      <c r="AK57" s="4">
        <v>22.0</v>
      </c>
      <c r="AL57" s="4">
        <v>1.6</v>
      </c>
      <c r="AM57" s="4"/>
      <c r="AN57" s="4"/>
      <c r="AO57" s="4"/>
      <c r="AP57" s="4"/>
      <c r="AQ57" s="4"/>
      <c r="AR57" s="4"/>
      <c r="AS57" s="4">
        <f t="shared" ref="AS57:AS58" si="135">0.5*0.2</f>
        <v>0.1</v>
      </c>
      <c r="AT57" s="4">
        <f>0.5*0.05</f>
        <v>0.025</v>
      </c>
      <c r="AU57" s="4">
        <v>0.03</v>
      </c>
      <c r="AV57" s="4">
        <v>5.0</v>
      </c>
      <c r="AW57" s="4"/>
      <c r="AX57" s="4">
        <v>2.0</v>
      </c>
      <c r="AY57" s="4">
        <f t="shared" ref="AY57:AY58" si="136">0.5*2</f>
        <v>1</v>
      </c>
      <c r="AZ57" s="4"/>
      <c r="BA57" s="4"/>
      <c r="BB57" s="4"/>
      <c r="BC57" s="4">
        <v>2300000.0</v>
      </c>
      <c r="BD57" s="4">
        <v>2300.0</v>
      </c>
      <c r="BE57" s="4"/>
      <c r="BF57" s="4">
        <f t="shared" si="55"/>
        <v>0.5</v>
      </c>
      <c r="BG57" s="4">
        <f t="shared" si="129"/>
        <v>10</v>
      </c>
      <c r="BH57" s="4">
        <f t="shared" si="57"/>
        <v>0.5</v>
      </c>
      <c r="BI57" s="4">
        <f t="shared" si="130"/>
        <v>10</v>
      </c>
      <c r="BJ57" s="4">
        <f t="shared" si="59"/>
        <v>0.5</v>
      </c>
      <c r="BK57" s="4">
        <v>30.0</v>
      </c>
      <c r="BL57" s="4">
        <f t="shared" ref="BL57:BR57" si="133">0.5*1</f>
        <v>0.5</v>
      </c>
      <c r="BM57" s="4">
        <f t="shared" si="133"/>
        <v>0.5</v>
      </c>
      <c r="BN57" s="4">
        <f t="shared" si="133"/>
        <v>0.5</v>
      </c>
      <c r="BO57" s="4">
        <f t="shared" si="133"/>
        <v>0.5</v>
      </c>
      <c r="BP57" s="4">
        <f t="shared" si="133"/>
        <v>0.5</v>
      </c>
      <c r="BQ57" s="4">
        <f t="shared" si="133"/>
        <v>0.5</v>
      </c>
      <c r="BR57" s="4">
        <f t="shared" si="133"/>
        <v>0.5</v>
      </c>
      <c r="BS57" s="4">
        <f t="shared" si="51"/>
        <v>0.02</v>
      </c>
      <c r="BT57" s="4">
        <v>195.0</v>
      </c>
      <c r="BU57" s="4">
        <v>502.0</v>
      </c>
      <c r="BV57" s="4">
        <f t="shared" si="108"/>
        <v>0.5</v>
      </c>
      <c r="BW57" s="4">
        <v>40.0</v>
      </c>
      <c r="BX57" s="4">
        <v>2822.0</v>
      </c>
      <c r="BY57" s="4">
        <v>134.0</v>
      </c>
      <c r="BZ57" s="4">
        <v>161.0</v>
      </c>
      <c r="CA57" s="4">
        <v>564.0</v>
      </c>
      <c r="CB57" s="4">
        <v>32.0</v>
      </c>
      <c r="CC57" s="4">
        <f t="shared" si="134"/>
        <v>10</v>
      </c>
      <c r="CD57" s="4">
        <v>127.0</v>
      </c>
      <c r="CE57" s="4">
        <f t="shared" si="119"/>
        <v>10</v>
      </c>
      <c r="CF57" s="4">
        <v>0.417</v>
      </c>
      <c r="CG57" s="4">
        <v>124611.0</v>
      </c>
      <c r="CH57" s="4">
        <v>204.0</v>
      </c>
      <c r="CI57" s="4">
        <f t="shared" si="132"/>
        <v>10</v>
      </c>
      <c r="CJ57" s="4"/>
      <c r="CK57" s="4"/>
      <c r="CL57" s="4"/>
      <c r="CM57" s="4">
        <f t="shared" si="128"/>
        <v>0.0005</v>
      </c>
      <c r="CN57" s="4"/>
      <c r="CO57" s="4"/>
      <c r="CP57" s="4"/>
      <c r="CQ57" s="4">
        <v>97.48</v>
      </c>
      <c r="CR57" s="4">
        <v>21.67</v>
      </c>
      <c r="CS57" s="4">
        <v>5.53</v>
      </c>
      <c r="CT57" s="4"/>
      <c r="CU57" s="4"/>
      <c r="CV57" s="4"/>
      <c r="CW57" s="4">
        <v>27.83</v>
      </c>
      <c r="CX57" s="4">
        <v>6.91</v>
      </c>
      <c r="CY57" s="4">
        <v>21502.94</v>
      </c>
      <c r="CZ57" s="4">
        <v>482.54</v>
      </c>
      <c r="DA57" s="4">
        <v>0.07</v>
      </c>
      <c r="DB57" s="4">
        <v>23.16</v>
      </c>
      <c r="DC57" s="4"/>
    </row>
    <row r="58">
      <c r="A58" s="4" t="s">
        <v>188</v>
      </c>
      <c r="B58" s="4" t="s">
        <v>189</v>
      </c>
      <c r="C58" s="5" t="s">
        <v>394</v>
      </c>
      <c r="D58" s="5" t="s">
        <v>266</v>
      </c>
      <c r="E58" s="4" t="s">
        <v>388</v>
      </c>
      <c r="F58" s="4" t="s">
        <v>326</v>
      </c>
      <c r="G58" s="4" t="s">
        <v>113</v>
      </c>
      <c r="H58" s="4" t="s">
        <v>192</v>
      </c>
      <c r="I58" s="4" t="s">
        <v>193</v>
      </c>
      <c r="J58" s="4" t="s">
        <v>395</v>
      </c>
      <c r="K58" s="4" t="s">
        <v>396</v>
      </c>
      <c r="L58" s="4">
        <v>-23.1377</v>
      </c>
      <c r="M58" s="4">
        <v>-61.9637</v>
      </c>
      <c r="N58" s="4"/>
      <c r="O58" s="4"/>
      <c r="P58" s="4">
        <v>1680.0</v>
      </c>
      <c r="Q58" s="4">
        <v>124.4</v>
      </c>
      <c r="R58" s="4">
        <v>7.4</v>
      </c>
      <c r="S58" s="4">
        <v>-43.0</v>
      </c>
      <c r="T58" s="4">
        <v>596.0</v>
      </c>
      <c r="U58" s="4">
        <v>0.2</v>
      </c>
      <c r="V58" s="4">
        <v>27.9</v>
      </c>
      <c r="W58" s="4">
        <v>4.77</v>
      </c>
      <c r="X58" s="4">
        <v>62.5</v>
      </c>
      <c r="Y58" s="4">
        <f t="shared" si="123"/>
        <v>1650</v>
      </c>
      <c r="Z58" s="4">
        <v>6562.0</v>
      </c>
      <c r="AA58" s="4">
        <v>457.0</v>
      </c>
      <c r="AB58" s="4">
        <v>6105.0</v>
      </c>
      <c r="AC58" s="4">
        <v>10.0</v>
      </c>
      <c r="AD58" s="4">
        <v>272.0</v>
      </c>
      <c r="AE58" s="4"/>
      <c r="AF58" s="4">
        <v>187.0</v>
      </c>
      <c r="AG58" s="4">
        <v>35.0</v>
      </c>
      <c r="AH58" s="4">
        <v>125.0</v>
      </c>
      <c r="AI58" s="4">
        <v>80.0</v>
      </c>
      <c r="AJ58" s="4">
        <v>17.0</v>
      </c>
      <c r="AK58" s="4">
        <v>30.0</v>
      </c>
      <c r="AL58" s="4">
        <v>1.8</v>
      </c>
      <c r="AM58" s="4"/>
      <c r="AN58" s="4"/>
      <c r="AO58" s="4"/>
      <c r="AP58" s="4"/>
      <c r="AQ58" s="4"/>
      <c r="AR58" s="4"/>
      <c r="AS58" s="4">
        <f t="shared" si="135"/>
        <v>0.1</v>
      </c>
      <c r="AT58" s="4">
        <v>0.06</v>
      </c>
      <c r="AU58" s="4">
        <v>0.05</v>
      </c>
      <c r="AV58" s="4">
        <v>8.0</v>
      </c>
      <c r="AW58" s="4"/>
      <c r="AX58" s="4">
        <v>3.0</v>
      </c>
      <c r="AY58" s="4">
        <f t="shared" si="136"/>
        <v>1</v>
      </c>
      <c r="AZ58" s="4"/>
      <c r="BA58" s="4"/>
      <c r="BB58" s="4">
        <v>430.0</v>
      </c>
      <c r="BC58" s="4">
        <v>93000.0</v>
      </c>
      <c r="BD58" s="4"/>
      <c r="BE58" s="4"/>
      <c r="BF58" s="4">
        <f t="shared" si="55"/>
        <v>0.5</v>
      </c>
      <c r="BG58" s="4">
        <f t="shared" si="129"/>
        <v>10</v>
      </c>
      <c r="BH58" s="4">
        <f t="shared" si="57"/>
        <v>0.5</v>
      </c>
      <c r="BI58" s="4">
        <f t="shared" si="130"/>
        <v>10</v>
      </c>
      <c r="BJ58" s="4">
        <f t="shared" si="59"/>
        <v>0.5</v>
      </c>
      <c r="BK58" s="4">
        <f t="shared" ref="BK58:BR58" si="137">0.5*1</f>
        <v>0.5</v>
      </c>
      <c r="BL58" s="4">
        <f t="shared" si="137"/>
        <v>0.5</v>
      </c>
      <c r="BM58" s="4">
        <f t="shared" si="137"/>
        <v>0.5</v>
      </c>
      <c r="BN58" s="4">
        <f t="shared" si="137"/>
        <v>0.5</v>
      </c>
      <c r="BO58" s="4">
        <f t="shared" si="137"/>
        <v>0.5</v>
      </c>
      <c r="BP58" s="4">
        <f t="shared" si="137"/>
        <v>0.5</v>
      </c>
      <c r="BQ58" s="4">
        <f t="shared" si="137"/>
        <v>0.5</v>
      </c>
      <c r="BR58" s="4">
        <f t="shared" si="137"/>
        <v>0.5</v>
      </c>
      <c r="BS58" s="4">
        <f t="shared" si="51"/>
        <v>0.02</v>
      </c>
      <c r="BT58" s="4">
        <v>195.0</v>
      </c>
      <c r="BU58" s="4">
        <v>238.0</v>
      </c>
      <c r="BV58" s="4">
        <f t="shared" si="108"/>
        <v>0.5</v>
      </c>
      <c r="BW58" s="4">
        <v>86.0</v>
      </c>
      <c r="BX58" s="4">
        <v>4221.0</v>
      </c>
      <c r="BY58" s="4">
        <v>188.0</v>
      </c>
      <c r="BZ58" s="4">
        <v>182.0</v>
      </c>
      <c r="CA58" s="4">
        <v>698.0</v>
      </c>
      <c r="CB58" s="4">
        <v>42.0</v>
      </c>
      <c r="CC58" s="4">
        <f t="shared" si="134"/>
        <v>10</v>
      </c>
      <c r="CD58" s="4">
        <v>204.0</v>
      </c>
      <c r="CE58" s="4">
        <f t="shared" si="119"/>
        <v>10</v>
      </c>
      <c r="CF58" s="4">
        <v>0.615</v>
      </c>
      <c r="CG58" s="4">
        <v>171437.0</v>
      </c>
      <c r="CH58" s="4">
        <v>187.0</v>
      </c>
      <c r="CI58" s="4">
        <v>75.0</v>
      </c>
      <c r="CJ58" s="4"/>
      <c r="CK58" s="4"/>
      <c r="CL58" s="4"/>
      <c r="CM58" s="4">
        <f t="shared" si="128"/>
        <v>0.0005</v>
      </c>
      <c r="CN58" s="4"/>
      <c r="CO58" s="4"/>
      <c r="CP58" s="4">
        <v>12.29</v>
      </c>
      <c r="CQ58" s="4">
        <v>114.33</v>
      </c>
      <c r="CR58" s="4">
        <v>33.12</v>
      </c>
      <c r="CS58" s="4">
        <v>6.88</v>
      </c>
      <c r="CT58" s="4"/>
      <c r="CU58" s="4"/>
      <c r="CV58" s="4"/>
      <c r="CW58" s="4">
        <v>29.81</v>
      </c>
      <c r="CX58" s="4">
        <v>14.09</v>
      </c>
      <c r="CY58" s="4">
        <v>28049.47</v>
      </c>
      <c r="CZ58" s="4">
        <v>691.4</v>
      </c>
      <c r="DA58" s="4">
        <v>0.1</v>
      </c>
      <c r="DB58" s="4">
        <v>30.79</v>
      </c>
      <c r="DC58" s="4"/>
    </row>
    <row r="59">
      <c r="A59" s="4" t="s">
        <v>208</v>
      </c>
      <c r="B59" s="4" t="s">
        <v>209</v>
      </c>
      <c r="C59" s="5" t="s">
        <v>397</v>
      </c>
      <c r="D59" s="5" t="s">
        <v>133</v>
      </c>
      <c r="E59" s="4" t="s">
        <v>388</v>
      </c>
      <c r="F59" s="4" t="s">
        <v>326</v>
      </c>
      <c r="G59" s="4" t="s">
        <v>113</v>
      </c>
      <c r="H59" s="4" t="s">
        <v>192</v>
      </c>
      <c r="I59" s="4" t="s">
        <v>193</v>
      </c>
      <c r="J59" s="4" t="s">
        <v>211</v>
      </c>
      <c r="K59" s="4" t="s">
        <v>212</v>
      </c>
      <c r="L59" s="4">
        <v>-24.3586</v>
      </c>
      <c r="M59" s="4">
        <v>-60.3064</v>
      </c>
      <c r="N59" s="4"/>
      <c r="O59" s="4"/>
      <c r="P59" s="4">
        <v>970.0</v>
      </c>
      <c r="Q59" s="4">
        <v>0.3</v>
      </c>
      <c r="R59" s="4">
        <v>7.0</v>
      </c>
      <c r="S59" s="4">
        <v>-4.0</v>
      </c>
      <c r="T59" s="4">
        <v>1033.0</v>
      </c>
      <c r="U59" s="4">
        <v>0.5</v>
      </c>
      <c r="V59" s="4">
        <v>27.4</v>
      </c>
      <c r="W59" s="4">
        <v>0.02</v>
      </c>
      <c r="X59" s="4">
        <v>0.2</v>
      </c>
      <c r="Y59" s="4">
        <v>43.6</v>
      </c>
      <c r="Z59" s="4">
        <v>680.0</v>
      </c>
      <c r="AA59" s="4">
        <v>619.0</v>
      </c>
      <c r="AB59" s="4">
        <v>61.0</v>
      </c>
      <c r="AC59" s="4">
        <v>217.0</v>
      </c>
      <c r="AD59" s="4">
        <v>319.0</v>
      </c>
      <c r="AE59" s="4"/>
      <c r="AF59" s="4">
        <v>227.0</v>
      </c>
      <c r="AG59" s="4">
        <v>97.0</v>
      </c>
      <c r="AH59" s="4">
        <v>160.0</v>
      </c>
      <c r="AI59" s="4">
        <v>86.0</v>
      </c>
      <c r="AJ59" s="4">
        <v>25.0</v>
      </c>
      <c r="AK59" s="4">
        <v>82.0</v>
      </c>
      <c r="AL59" s="4">
        <v>6.5</v>
      </c>
      <c r="AM59" s="4"/>
      <c r="AN59" s="4"/>
      <c r="AO59" s="4"/>
      <c r="AP59" s="4"/>
      <c r="AQ59" s="4"/>
      <c r="AR59" s="4"/>
      <c r="AS59" s="4">
        <v>1.3</v>
      </c>
      <c r="AT59" s="4">
        <f>0.5*0.05</f>
        <v>0.025</v>
      </c>
      <c r="AU59" s="4">
        <f t="shared" ref="AU59:AU60" si="141">0.5*0.03</f>
        <v>0.015</v>
      </c>
      <c r="AV59" s="4">
        <v>17.0</v>
      </c>
      <c r="AW59" s="4"/>
      <c r="AX59" s="4">
        <f>0.5*2</f>
        <v>1</v>
      </c>
      <c r="AY59" s="4">
        <v>34.0</v>
      </c>
      <c r="AZ59" s="4"/>
      <c r="BA59" s="4"/>
      <c r="BB59" s="4"/>
      <c r="BC59" s="4">
        <v>7500.0</v>
      </c>
      <c r="BD59" s="4">
        <v>930.0</v>
      </c>
      <c r="BE59" s="4"/>
      <c r="BF59" s="4">
        <f t="shared" si="55"/>
        <v>0.5</v>
      </c>
      <c r="BG59" s="4">
        <f t="shared" si="129"/>
        <v>10</v>
      </c>
      <c r="BH59" s="4">
        <f t="shared" si="57"/>
        <v>0.5</v>
      </c>
      <c r="BI59" s="4">
        <f t="shared" si="130"/>
        <v>10</v>
      </c>
      <c r="BJ59" s="4">
        <f t="shared" si="59"/>
        <v>0.5</v>
      </c>
      <c r="BK59" s="4">
        <v>408.0</v>
      </c>
      <c r="BL59" s="4">
        <f t="shared" ref="BL59:BN59" si="138">0.5*1</f>
        <v>0.5</v>
      </c>
      <c r="BM59" s="4">
        <f t="shared" si="138"/>
        <v>0.5</v>
      </c>
      <c r="BN59" s="4">
        <f t="shared" si="138"/>
        <v>0.5</v>
      </c>
      <c r="BO59" s="4">
        <v>1.0</v>
      </c>
      <c r="BP59" s="4">
        <f t="shared" ref="BP59:BR59" si="139">0.5*1</f>
        <v>0.5</v>
      </c>
      <c r="BQ59" s="4">
        <f t="shared" si="139"/>
        <v>0.5</v>
      </c>
      <c r="BR59" s="4">
        <f t="shared" si="139"/>
        <v>0.5</v>
      </c>
      <c r="BS59" s="4">
        <f t="shared" si="51"/>
        <v>0.02</v>
      </c>
      <c r="BT59" s="4">
        <v>338.0</v>
      </c>
      <c r="BU59" s="4">
        <v>300.0</v>
      </c>
      <c r="BV59" s="4">
        <f t="shared" si="108"/>
        <v>0.5</v>
      </c>
      <c r="BW59" s="4">
        <f t="shared" ref="BW59:BW63" si="144">0.5*20</f>
        <v>10</v>
      </c>
      <c r="BX59" s="4">
        <v>336.0</v>
      </c>
      <c r="BY59" s="4">
        <f>0.5*20</f>
        <v>10</v>
      </c>
      <c r="BZ59" s="4">
        <v>24.0</v>
      </c>
      <c r="CA59" s="4">
        <v>20.0</v>
      </c>
      <c r="CB59" s="4">
        <f t="shared" ref="CB59:CC59" si="140">0.5*20</f>
        <v>10</v>
      </c>
      <c r="CC59" s="4">
        <f t="shared" si="140"/>
        <v>10</v>
      </c>
      <c r="CD59" s="4">
        <v>42.0</v>
      </c>
      <c r="CE59" s="4">
        <f t="shared" si="119"/>
        <v>10</v>
      </c>
      <c r="CF59" s="4">
        <f t="shared" ref="CF59:CF63" si="146">0.5*0.1</f>
        <v>0.05</v>
      </c>
      <c r="CG59" s="4">
        <f>0.5*20</f>
        <v>10</v>
      </c>
      <c r="CH59" s="4">
        <v>248.0</v>
      </c>
      <c r="CI59" s="4">
        <v>49.0</v>
      </c>
      <c r="CJ59" s="4"/>
      <c r="CK59" s="4"/>
      <c r="CL59" s="4"/>
      <c r="CM59" s="4"/>
      <c r="CN59" s="4"/>
      <c r="CO59" s="4"/>
      <c r="CP59" s="4">
        <v>803.28</v>
      </c>
      <c r="CQ59" s="4">
        <v>327.87</v>
      </c>
      <c r="CR59" s="4">
        <v>581.97</v>
      </c>
      <c r="CS59" s="4"/>
      <c r="CT59" s="4"/>
      <c r="CU59" s="4"/>
      <c r="CV59" s="4"/>
      <c r="CW59" s="4">
        <v>393.44</v>
      </c>
      <c r="CX59" s="4"/>
      <c r="CY59" s="4"/>
      <c r="CZ59" s="4"/>
      <c r="DA59" s="4"/>
      <c r="DB59" s="4"/>
      <c r="DC59" s="4"/>
    </row>
    <row r="60">
      <c r="A60" s="4" t="s">
        <v>213</v>
      </c>
      <c r="B60" s="4" t="s">
        <v>214</v>
      </c>
      <c r="C60" s="5" t="s">
        <v>397</v>
      </c>
      <c r="D60" s="5" t="s">
        <v>398</v>
      </c>
      <c r="E60" s="4" t="s">
        <v>388</v>
      </c>
      <c r="F60" s="4" t="s">
        <v>326</v>
      </c>
      <c r="G60" s="4" t="s">
        <v>113</v>
      </c>
      <c r="H60" s="4" t="s">
        <v>216</v>
      </c>
      <c r="J60" s="4" t="s">
        <v>399</v>
      </c>
      <c r="K60" s="4" t="s">
        <v>400</v>
      </c>
      <c r="L60" s="4">
        <v>-24.6963</v>
      </c>
      <c r="M60" s="4">
        <v>-59.8175</v>
      </c>
      <c r="N60" s="4"/>
      <c r="O60" s="4"/>
      <c r="P60" s="4">
        <v>1183.0</v>
      </c>
      <c r="Q60" s="4">
        <v>110.2</v>
      </c>
      <c r="R60" s="4">
        <v>7.964</v>
      </c>
      <c r="S60" s="4">
        <v>-77.6</v>
      </c>
      <c r="T60" s="4">
        <v>845.0</v>
      </c>
      <c r="U60" s="4">
        <v>0.4</v>
      </c>
      <c r="V60" s="4">
        <v>27.7</v>
      </c>
      <c r="W60" s="4">
        <v>4.36</v>
      </c>
      <c r="X60" s="4">
        <v>55.1</v>
      </c>
      <c r="Y60" s="4">
        <v>315.7</v>
      </c>
      <c r="Z60" s="4">
        <v>862.0</v>
      </c>
      <c r="AA60" s="4">
        <v>624.0</v>
      </c>
      <c r="AB60" s="4">
        <v>238.0</v>
      </c>
      <c r="AC60" s="4">
        <v>109.0</v>
      </c>
      <c r="AD60" s="4">
        <v>262.0</v>
      </c>
      <c r="AE60" s="4"/>
      <c r="AF60" s="4">
        <v>163.0</v>
      </c>
      <c r="AG60" s="4">
        <v>68.0</v>
      </c>
      <c r="AH60" s="4">
        <v>162.0</v>
      </c>
      <c r="AI60" s="4">
        <v>69.0</v>
      </c>
      <c r="AJ60" s="4">
        <v>21.0</v>
      </c>
      <c r="AK60" s="4">
        <v>60.0</v>
      </c>
      <c r="AL60" s="4">
        <v>3.5</v>
      </c>
      <c r="AM60" s="4"/>
      <c r="AN60" s="4"/>
      <c r="AO60" s="4"/>
      <c r="AP60" s="4"/>
      <c r="AQ60" s="4"/>
      <c r="AR60" s="4"/>
      <c r="AS60" s="4">
        <v>0.5</v>
      </c>
      <c r="AT60" s="4">
        <v>0.05</v>
      </c>
      <c r="AU60" s="4">
        <f t="shared" si="141"/>
        <v>0.015</v>
      </c>
      <c r="AV60" s="4">
        <v>11.0</v>
      </c>
      <c r="AW60" s="4"/>
      <c r="AX60" s="4">
        <v>2.0</v>
      </c>
      <c r="AY60" s="4">
        <f t="shared" ref="AY60:AY61" si="147">0.5*2</f>
        <v>1</v>
      </c>
      <c r="AZ60" s="4"/>
      <c r="BA60" s="4"/>
      <c r="BB60" s="4"/>
      <c r="BC60" s="4">
        <v>93000.0</v>
      </c>
      <c r="BD60" s="4">
        <v>2300.0</v>
      </c>
      <c r="BE60" s="4"/>
      <c r="BF60" s="4">
        <f t="shared" si="55"/>
        <v>0.5</v>
      </c>
      <c r="BG60" s="4">
        <f t="shared" si="129"/>
        <v>10</v>
      </c>
      <c r="BH60" s="4">
        <f t="shared" si="57"/>
        <v>0.5</v>
      </c>
      <c r="BI60" s="4">
        <f t="shared" si="130"/>
        <v>10</v>
      </c>
      <c r="BJ60" s="4">
        <f t="shared" si="59"/>
        <v>0.5</v>
      </c>
      <c r="BK60" s="4">
        <v>119.0</v>
      </c>
      <c r="BL60" s="4">
        <v>1.0</v>
      </c>
      <c r="BM60" s="4">
        <f t="shared" ref="BM60:BN60" si="142">0.5*1</f>
        <v>0.5</v>
      </c>
      <c r="BN60" s="4">
        <f t="shared" si="142"/>
        <v>0.5</v>
      </c>
      <c r="BO60" s="4">
        <v>3.0</v>
      </c>
      <c r="BP60" s="4">
        <f t="shared" ref="BP60:BR60" si="143">0.5*1</f>
        <v>0.5</v>
      </c>
      <c r="BQ60" s="4">
        <f t="shared" si="143"/>
        <v>0.5</v>
      </c>
      <c r="BR60" s="4">
        <f t="shared" si="143"/>
        <v>0.5</v>
      </c>
      <c r="BS60" s="4">
        <f t="shared" si="51"/>
        <v>0.02</v>
      </c>
      <c r="BT60" s="4">
        <v>261.0</v>
      </c>
      <c r="BU60" s="4">
        <v>319.0</v>
      </c>
      <c r="BV60" s="4">
        <f t="shared" si="108"/>
        <v>0.5</v>
      </c>
      <c r="BW60" s="4">
        <f t="shared" si="144"/>
        <v>10</v>
      </c>
      <c r="BX60" s="4">
        <v>256.0</v>
      </c>
      <c r="BY60" s="4">
        <v>37.0</v>
      </c>
      <c r="BZ60" s="4">
        <v>65.0</v>
      </c>
      <c r="CA60" s="4">
        <v>342.0</v>
      </c>
      <c r="CB60" s="4">
        <f t="shared" ref="CB60:CC60" si="145">0.5*20</f>
        <v>10</v>
      </c>
      <c r="CC60" s="4">
        <f t="shared" si="145"/>
        <v>10</v>
      </c>
      <c r="CD60" s="4">
        <v>207.0</v>
      </c>
      <c r="CE60" s="4">
        <f t="shared" si="119"/>
        <v>10</v>
      </c>
      <c r="CF60" s="4">
        <f t="shared" si="146"/>
        <v>0.05</v>
      </c>
      <c r="CG60" s="4">
        <v>7626.0</v>
      </c>
      <c r="CH60" s="4">
        <v>321.0</v>
      </c>
      <c r="CI60" s="4">
        <v>40.0</v>
      </c>
      <c r="CJ60" s="4"/>
      <c r="CK60" s="4"/>
      <c r="CL60" s="4"/>
      <c r="CM60" s="4"/>
      <c r="CN60" s="4"/>
      <c r="CO60" s="4"/>
      <c r="CP60" s="4">
        <v>168.07</v>
      </c>
      <c r="CQ60" s="4">
        <v>1436.97</v>
      </c>
      <c r="CR60" s="4">
        <v>855.04</v>
      </c>
      <c r="CS60" s="4"/>
      <c r="CT60" s="4"/>
      <c r="CU60" s="4">
        <v>8.4</v>
      </c>
      <c r="CV60" s="4"/>
      <c r="CW60" s="4">
        <v>273.11</v>
      </c>
      <c r="CX60" s="4"/>
      <c r="CY60" s="4">
        <v>30945.38</v>
      </c>
      <c r="CZ60" s="4">
        <v>575.63</v>
      </c>
      <c r="DA60" s="4"/>
      <c r="DB60" s="4">
        <v>151.26</v>
      </c>
      <c r="DC60" s="4"/>
    </row>
    <row r="61">
      <c r="A61" s="4" t="s">
        <v>219</v>
      </c>
      <c r="B61" s="4" t="s">
        <v>220</v>
      </c>
      <c r="C61" s="5" t="s">
        <v>397</v>
      </c>
      <c r="D61" s="5" t="s">
        <v>221</v>
      </c>
      <c r="E61" s="4" t="s">
        <v>388</v>
      </c>
      <c r="F61" s="4" t="s">
        <v>326</v>
      </c>
      <c r="G61" s="4" t="s">
        <v>113</v>
      </c>
      <c r="H61" s="4" t="s">
        <v>134</v>
      </c>
      <c r="J61" s="4" t="s">
        <v>222</v>
      </c>
      <c r="K61" s="4" t="s">
        <v>401</v>
      </c>
      <c r="L61" s="4">
        <v>-25.1487</v>
      </c>
      <c r="M61" s="4">
        <v>-59.6795</v>
      </c>
      <c r="N61" s="4"/>
      <c r="O61" s="4"/>
      <c r="P61" s="4">
        <v>2080.0</v>
      </c>
      <c r="Q61" s="4">
        <v>144.8</v>
      </c>
      <c r="R61" s="4">
        <v>7.292</v>
      </c>
      <c r="S61" s="4">
        <v>-38.7</v>
      </c>
      <c r="T61" s="4">
        <v>481.0</v>
      </c>
      <c r="U61" s="4">
        <v>0.2</v>
      </c>
      <c r="V61" s="4">
        <v>27.2</v>
      </c>
      <c r="W61" s="4">
        <v>5.63</v>
      </c>
      <c r="X61" s="4">
        <v>71.7</v>
      </c>
      <c r="Y61" s="4">
        <v>307.5</v>
      </c>
      <c r="Z61" s="4">
        <v>510.0</v>
      </c>
      <c r="AA61" s="4">
        <v>363.0</v>
      </c>
      <c r="AB61" s="4">
        <v>147.0</v>
      </c>
      <c r="AC61" s="4">
        <v>340.0</v>
      </c>
      <c r="AD61" s="4">
        <v>74.0</v>
      </c>
      <c r="AE61" s="4"/>
      <c r="AF61" s="4">
        <v>48.0</v>
      </c>
      <c r="AG61" s="4">
        <v>61.0</v>
      </c>
      <c r="AH61" s="4">
        <v>58.0</v>
      </c>
      <c r="AI61" s="4">
        <v>15.0</v>
      </c>
      <c r="AJ61" s="4">
        <v>8.9</v>
      </c>
      <c r="AK61" s="4">
        <v>56.0</v>
      </c>
      <c r="AL61" s="4">
        <v>2.6</v>
      </c>
      <c r="AM61" s="4"/>
      <c r="AN61" s="4"/>
      <c r="AO61" s="4"/>
      <c r="AP61" s="4"/>
      <c r="AQ61" s="4"/>
      <c r="AR61" s="4"/>
      <c r="AS61" s="4">
        <v>2.0</v>
      </c>
      <c r="AT61" s="4">
        <v>0.07</v>
      </c>
      <c r="AU61" s="4">
        <v>0.03</v>
      </c>
      <c r="AV61" s="4">
        <v>16.0</v>
      </c>
      <c r="AW61" s="4"/>
      <c r="AX61" s="4">
        <v>2.0</v>
      </c>
      <c r="AY61" s="4">
        <f t="shared" si="147"/>
        <v>1</v>
      </c>
      <c r="AZ61" s="4"/>
      <c r="BA61" s="4"/>
      <c r="BB61" s="4"/>
      <c r="BC61" s="4">
        <v>23000.0</v>
      </c>
      <c r="BD61" s="4">
        <v>230.0</v>
      </c>
      <c r="BE61" s="4"/>
      <c r="BF61" s="4">
        <f t="shared" si="55"/>
        <v>0.5</v>
      </c>
      <c r="BG61" s="4">
        <f t="shared" si="129"/>
        <v>10</v>
      </c>
      <c r="BH61" s="4">
        <f t="shared" si="57"/>
        <v>0.5</v>
      </c>
      <c r="BI61" s="4">
        <f t="shared" si="130"/>
        <v>10</v>
      </c>
      <c r="BJ61" s="4">
        <f t="shared" si="59"/>
        <v>0.5</v>
      </c>
      <c r="BK61" s="4">
        <v>73.0</v>
      </c>
      <c r="BL61" s="4">
        <f t="shared" ref="BL61:BM61" si="148">0.5*1</f>
        <v>0.5</v>
      </c>
      <c r="BM61" s="4">
        <f t="shared" si="148"/>
        <v>0.5</v>
      </c>
      <c r="BN61" s="4">
        <v>4.0</v>
      </c>
      <c r="BO61" s="4">
        <v>2.0</v>
      </c>
      <c r="BP61" s="4">
        <f t="shared" ref="BP61:BR61" si="149">0.5*1</f>
        <v>0.5</v>
      </c>
      <c r="BQ61" s="4">
        <f t="shared" si="149"/>
        <v>0.5</v>
      </c>
      <c r="BR61" s="4">
        <f t="shared" si="149"/>
        <v>0.5</v>
      </c>
      <c r="BS61" s="4">
        <f t="shared" si="51"/>
        <v>0.02</v>
      </c>
      <c r="BT61" s="4">
        <v>489.0</v>
      </c>
      <c r="BU61" s="4">
        <v>105.0</v>
      </c>
      <c r="BV61" s="4">
        <f t="shared" si="108"/>
        <v>0.5</v>
      </c>
      <c r="BW61" s="4">
        <f t="shared" si="144"/>
        <v>10</v>
      </c>
      <c r="BX61" s="4">
        <v>196.0</v>
      </c>
      <c r="BY61" s="4">
        <f>0.5*20</f>
        <v>10</v>
      </c>
      <c r="BZ61" s="4">
        <v>20.0</v>
      </c>
      <c r="CA61" s="4">
        <v>52.0</v>
      </c>
      <c r="CB61" s="4">
        <f t="shared" ref="CB61:CC61" si="150">0.5*20</f>
        <v>10</v>
      </c>
      <c r="CC61" s="4">
        <f t="shared" si="150"/>
        <v>10</v>
      </c>
      <c r="CD61" s="4">
        <v>41.0</v>
      </c>
      <c r="CE61" s="4">
        <f t="shared" si="119"/>
        <v>10</v>
      </c>
      <c r="CF61" s="4">
        <f t="shared" si="146"/>
        <v>0.05</v>
      </c>
      <c r="CG61" s="4">
        <v>7049.0</v>
      </c>
      <c r="CH61" s="4">
        <v>146.0</v>
      </c>
      <c r="CI61" s="4">
        <v>88.0</v>
      </c>
      <c r="CJ61" s="4"/>
      <c r="CK61" s="4"/>
      <c r="CL61" s="4"/>
      <c r="CM61" s="4"/>
      <c r="CN61" s="4"/>
      <c r="CO61" s="4"/>
      <c r="CP61" s="4">
        <v>598.64</v>
      </c>
      <c r="CQ61" s="4">
        <v>326.53</v>
      </c>
      <c r="CR61" s="4">
        <v>261.22</v>
      </c>
      <c r="CS61" s="4"/>
      <c r="CT61" s="4"/>
      <c r="CU61" s="4">
        <v>278.91</v>
      </c>
      <c r="CV61" s="4"/>
      <c r="CW61" s="4">
        <v>136.05</v>
      </c>
      <c r="CX61" s="4"/>
      <c r="CY61" s="4">
        <v>44625.85</v>
      </c>
      <c r="CZ61" s="4">
        <v>836.73</v>
      </c>
      <c r="DA61" s="4"/>
      <c r="DB61" s="4"/>
      <c r="DC61" s="4"/>
    </row>
    <row r="62">
      <c r="A62" s="4" t="s">
        <v>224</v>
      </c>
      <c r="B62" s="4" t="s">
        <v>225</v>
      </c>
      <c r="C62" s="5" t="s">
        <v>402</v>
      </c>
      <c r="D62" s="5" t="s">
        <v>403</v>
      </c>
      <c r="E62" s="4" t="s">
        <v>388</v>
      </c>
      <c r="F62" s="4" t="s">
        <v>326</v>
      </c>
      <c r="G62" s="4" t="s">
        <v>113</v>
      </c>
      <c r="H62" s="4" t="s">
        <v>229</v>
      </c>
      <c r="J62" s="4" t="s">
        <v>404</v>
      </c>
      <c r="K62" s="4" t="s">
        <v>405</v>
      </c>
      <c r="L62" s="4">
        <v>-22.5294</v>
      </c>
      <c r="M62" s="4">
        <v>-66.3497</v>
      </c>
      <c r="N62" s="4">
        <v>0.968</v>
      </c>
      <c r="O62" s="4">
        <v>9.0</v>
      </c>
      <c r="P62" s="4">
        <v>2160.0</v>
      </c>
      <c r="Q62" s="4">
        <v>134.5</v>
      </c>
      <c r="R62" s="4">
        <v>8.176</v>
      </c>
      <c r="S62" s="4">
        <v>-72.4</v>
      </c>
      <c r="T62" s="4">
        <v>463.0</v>
      </c>
      <c r="U62" s="4">
        <v>0.1</v>
      </c>
      <c r="V62" s="4">
        <v>12.4</v>
      </c>
      <c r="W62" s="4">
        <v>6.86</v>
      </c>
      <c r="X62" s="4">
        <v>102.1</v>
      </c>
      <c r="Y62" s="4">
        <v>140.0</v>
      </c>
      <c r="Z62" s="4">
        <v>548.0</v>
      </c>
      <c r="AA62" s="4">
        <v>364.0</v>
      </c>
      <c r="AB62" s="4">
        <v>184.0</v>
      </c>
      <c r="AC62" s="4">
        <v>9.0</v>
      </c>
      <c r="AD62" s="4">
        <v>113.4</v>
      </c>
      <c r="AE62" s="4">
        <f t="shared" ref="AE62:AE63" si="152">0.5*5</f>
        <v>2.5</v>
      </c>
      <c r="AF62" s="4">
        <v>35.0</v>
      </c>
      <c r="AG62" s="4">
        <v>55.3</v>
      </c>
      <c r="AH62" s="4">
        <v>120.2</v>
      </c>
      <c r="AI62" s="4">
        <v>33.19</v>
      </c>
      <c r="AJ62" s="4">
        <v>7.4</v>
      </c>
      <c r="AK62" s="4">
        <v>39.6</v>
      </c>
      <c r="AL62" s="4">
        <v>8.1</v>
      </c>
      <c r="AM62" s="4">
        <v>34.46</v>
      </c>
      <c r="AN62" s="4">
        <v>7.7</v>
      </c>
      <c r="AO62" s="4">
        <v>40.1</v>
      </c>
      <c r="AP62" s="4">
        <v>8.0</v>
      </c>
      <c r="AQ62" s="4"/>
      <c r="AR62" s="4">
        <v>0.12</v>
      </c>
      <c r="AS62" s="4">
        <v>0.09</v>
      </c>
      <c r="AT62" s="4">
        <v>0.09</v>
      </c>
      <c r="AU62" s="4">
        <f t="shared" ref="AU62:AU76" si="153">0.5*0.02</f>
        <v>0.01</v>
      </c>
      <c r="AV62" s="4">
        <v>0.9</v>
      </c>
      <c r="AW62" s="4">
        <v>2.2</v>
      </c>
      <c r="AX62" s="4">
        <v>9.0</v>
      </c>
      <c r="AY62" s="4">
        <v>13.0</v>
      </c>
      <c r="AZ62" s="4"/>
      <c r="BA62" s="4">
        <v>6.0</v>
      </c>
      <c r="BB62" s="4">
        <v>1.0</v>
      </c>
      <c r="BC62" s="4"/>
      <c r="BD62" s="4"/>
      <c r="BE62" s="4">
        <v>270.0</v>
      </c>
      <c r="BF62" s="4">
        <f t="shared" si="55"/>
        <v>0.5</v>
      </c>
      <c r="BG62" s="4">
        <f t="shared" si="129"/>
        <v>10</v>
      </c>
      <c r="BH62" s="4">
        <f t="shared" si="57"/>
        <v>0.5</v>
      </c>
      <c r="BI62" s="4">
        <f t="shared" si="130"/>
        <v>10</v>
      </c>
      <c r="BJ62" s="4">
        <f t="shared" si="59"/>
        <v>0.5</v>
      </c>
      <c r="BK62" s="4">
        <v>412.0</v>
      </c>
      <c r="BL62" s="4">
        <v>13.0</v>
      </c>
      <c r="BM62" s="4">
        <v>3.0</v>
      </c>
      <c r="BN62" s="4">
        <v>1620.0</v>
      </c>
      <c r="BO62" s="4">
        <v>2.0</v>
      </c>
      <c r="BP62" s="4">
        <v>21.0</v>
      </c>
      <c r="BQ62" s="4">
        <f t="shared" ref="BQ62:BR62" si="151">0.5*1</f>
        <v>0.5</v>
      </c>
      <c r="BR62" s="4">
        <f t="shared" si="151"/>
        <v>0.5</v>
      </c>
      <c r="BS62" s="4">
        <f t="shared" si="51"/>
        <v>0.02</v>
      </c>
      <c r="BT62" s="4">
        <v>132.0</v>
      </c>
      <c r="BU62" s="4">
        <v>1496.0</v>
      </c>
      <c r="BV62" s="4">
        <f t="shared" si="108"/>
        <v>0.5</v>
      </c>
      <c r="BW62" s="4">
        <f t="shared" si="144"/>
        <v>10</v>
      </c>
      <c r="BX62" s="4">
        <v>454.0</v>
      </c>
      <c r="BY62" s="4">
        <v>22.0</v>
      </c>
      <c r="BZ62" s="4">
        <v>31.0</v>
      </c>
      <c r="CA62" s="4">
        <v>2524.0</v>
      </c>
      <c r="CB62" s="4">
        <v>35.0</v>
      </c>
      <c r="CC62" s="4">
        <v>32.0</v>
      </c>
      <c r="CD62" s="4">
        <v>42.0</v>
      </c>
      <c r="CE62" s="4">
        <f t="shared" si="119"/>
        <v>10</v>
      </c>
      <c r="CF62" s="4">
        <f t="shared" si="146"/>
        <v>0.05</v>
      </c>
      <c r="CG62" s="4">
        <v>5669.0</v>
      </c>
      <c r="CH62" s="4">
        <v>2577.0</v>
      </c>
      <c r="CI62" s="4">
        <v>87.0</v>
      </c>
      <c r="CJ62" s="4">
        <f t="shared" ref="CJ62:CJ76" si="157">0.5*0.002</f>
        <v>0.001</v>
      </c>
      <c r="CK62" s="4"/>
      <c r="CL62" s="4">
        <v>0.003</v>
      </c>
      <c r="CM62" s="4"/>
      <c r="CN62" s="4"/>
      <c r="CO62" s="4"/>
      <c r="CP62" s="4">
        <v>472.83</v>
      </c>
      <c r="CQ62" s="4">
        <v>4913.04</v>
      </c>
      <c r="CR62" s="4">
        <v>184.24</v>
      </c>
      <c r="CS62" s="4">
        <v>179.35</v>
      </c>
      <c r="CT62" s="4"/>
      <c r="CU62" s="4">
        <v>5875.0</v>
      </c>
      <c r="CV62" s="4">
        <v>59.78</v>
      </c>
      <c r="CW62" s="4">
        <v>152.17</v>
      </c>
      <c r="CX62" s="4"/>
      <c r="CY62" s="4">
        <v>30092.39</v>
      </c>
      <c r="CZ62" s="4">
        <v>228.26</v>
      </c>
      <c r="DA62" s="4"/>
      <c r="DB62" s="4">
        <v>48.91</v>
      </c>
      <c r="DC62" s="4"/>
    </row>
    <row r="63">
      <c r="A63" s="4" t="s">
        <v>232</v>
      </c>
      <c r="B63" s="4" t="s">
        <v>233</v>
      </c>
      <c r="C63" s="5" t="s">
        <v>406</v>
      </c>
      <c r="D63" s="5" t="s">
        <v>407</v>
      </c>
      <c r="E63" s="4" t="s">
        <v>388</v>
      </c>
      <c r="F63" s="4" t="s">
        <v>326</v>
      </c>
      <c r="G63" s="4" t="s">
        <v>113</v>
      </c>
      <c r="H63" s="4" t="s">
        <v>232</v>
      </c>
      <c r="I63" s="4" t="s">
        <v>236</v>
      </c>
      <c r="J63" s="4" t="s">
        <v>408</v>
      </c>
      <c r="K63" s="4" t="s">
        <v>238</v>
      </c>
      <c r="L63" s="4">
        <v>-22.0977</v>
      </c>
      <c r="M63" s="4">
        <v>-65.5861</v>
      </c>
      <c r="N63" s="4">
        <v>0.662</v>
      </c>
      <c r="O63" s="4">
        <v>0.0</v>
      </c>
      <c r="P63" s="4">
        <v>1351.0</v>
      </c>
      <c r="Q63" s="4">
        <v>65.4</v>
      </c>
      <c r="R63" s="4">
        <v>8.508</v>
      </c>
      <c r="S63" s="4">
        <v>-105.2</v>
      </c>
      <c r="T63" s="4">
        <v>740.0</v>
      </c>
      <c r="U63" s="4">
        <v>0.3</v>
      </c>
      <c r="V63" s="4">
        <v>13.9</v>
      </c>
      <c r="W63" s="4">
        <v>3.24</v>
      </c>
      <c r="X63" s="4">
        <v>47.1</v>
      </c>
      <c r="Y63" s="4">
        <v>84.3</v>
      </c>
      <c r="Z63" s="4">
        <v>432.0</v>
      </c>
      <c r="AA63" s="4">
        <v>364.0</v>
      </c>
      <c r="AB63" s="4">
        <v>68.0</v>
      </c>
      <c r="AC63" s="4">
        <v>24.0</v>
      </c>
      <c r="AD63" s="4">
        <v>177.8</v>
      </c>
      <c r="AE63" s="4">
        <f t="shared" si="152"/>
        <v>2.5</v>
      </c>
      <c r="AF63" s="4">
        <v>170.0</v>
      </c>
      <c r="AG63" s="4">
        <v>56.7</v>
      </c>
      <c r="AH63" s="4">
        <v>94.4</v>
      </c>
      <c r="AI63" s="4">
        <v>41.34</v>
      </c>
      <c r="AJ63" s="4">
        <v>18.11</v>
      </c>
      <c r="AK63" s="4">
        <v>46.2</v>
      </c>
      <c r="AL63" s="4">
        <v>12.2</v>
      </c>
      <c r="AM63" s="4">
        <v>42.48</v>
      </c>
      <c r="AN63" s="4">
        <v>18.7</v>
      </c>
      <c r="AO63" s="4">
        <v>46.8</v>
      </c>
      <c r="AP63" s="4">
        <v>12.3</v>
      </c>
      <c r="AQ63" s="4"/>
      <c r="AR63" s="4">
        <v>6.04</v>
      </c>
      <c r="AS63" s="4">
        <v>5.67</v>
      </c>
      <c r="AT63" s="4">
        <v>5.99</v>
      </c>
      <c r="AU63" s="4">
        <f t="shared" si="153"/>
        <v>0.01</v>
      </c>
      <c r="AV63" s="4">
        <v>3.97</v>
      </c>
      <c r="AW63" s="4">
        <v>5.7</v>
      </c>
      <c r="AX63" s="4">
        <v>45.0</v>
      </c>
      <c r="AY63" s="4">
        <v>60.0</v>
      </c>
      <c r="AZ63" s="4"/>
      <c r="BA63" s="4">
        <v>81000.0</v>
      </c>
      <c r="BB63" s="4">
        <v>72000.0</v>
      </c>
      <c r="BC63" s="4"/>
      <c r="BD63" s="4"/>
      <c r="BE63" s="4">
        <v>0.0</v>
      </c>
      <c r="BF63" s="4">
        <f t="shared" si="55"/>
        <v>0.5</v>
      </c>
      <c r="BG63" s="4">
        <f t="shared" si="129"/>
        <v>10</v>
      </c>
      <c r="BH63" s="4">
        <f t="shared" si="57"/>
        <v>0.5</v>
      </c>
      <c r="BI63" s="4">
        <f t="shared" si="130"/>
        <v>10</v>
      </c>
      <c r="BJ63" s="4">
        <f t="shared" si="59"/>
        <v>0.5</v>
      </c>
      <c r="BK63" s="4">
        <v>55.0</v>
      </c>
      <c r="BL63" s="4">
        <f t="shared" ref="BL63:BM63" si="154">0.5*1</f>
        <v>0.5</v>
      </c>
      <c r="BM63" s="4">
        <f t="shared" si="154"/>
        <v>0.5</v>
      </c>
      <c r="BN63" s="4">
        <v>8.0</v>
      </c>
      <c r="BO63" s="4">
        <v>5.0</v>
      </c>
      <c r="BP63" s="4">
        <f t="shared" ref="BP63:BR63" si="155">0.5*1</f>
        <v>0.5</v>
      </c>
      <c r="BQ63" s="4">
        <f t="shared" si="155"/>
        <v>0.5</v>
      </c>
      <c r="BR63" s="4">
        <f t="shared" si="155"/>
        <v>0.5</v>
      </c>
      <c r="BS63" s="4">
        <f t="shared" si="51"/>
        <v>0.02</v>
      </c>
      <c r="BT63" s="4">
        <v>136.0</v>
      </c>
      <c r="BU63" s="4">
        <v>313.0</v>
      </c>
      <c r="BV63" s="4">
        <f t="shared" si="108"/>
        <v>0.5</v>
      </c>
      <c r="BW63" s="4">
        <f t="shared" si="144"/>
        <v>10</v>
      </c>
      <c r="BX63" s="4">
        <v>64.0</v>
      </c>
      <c r="BY63" s="4">
        <f>0.5*20</f>
        <v>10</v>
      </c>
      <c r="BZ63" s="4">
        <v>23.0</v>
      </c>
      <c r="CA63" s="4">
        <v>91.0</v>
      </c>
      <c r="CB63" s="4">
        <f t="shared" ref="CB63:CC63" si="156">0.5*20</f>
        <v>10</v>
      </c>
      <c r="CC63" s="4">
        <f t="shared" si="156"/>
        <v>10</v>
      </c>
      <c r="CD63" s="4">
        <v>39.0</v>
      </c>
      <c r="CE63" s="4">
        <f t="shared" si="119"/>
        <v>10</v>
      </c>
      <c r="CF63" s="4">
        <f t="shared" si="146"/>
        <v>0.05</v>
      </c>
      <c r="CG63" s="4">
        <v>1221.0</v>
      </c>
      <c r="CH63" s="4">
        <v>348.0</v>
      </c>
      <c r="CI63" s="4">
        <v>128.0</v>
      </c>
      <c r="CJ63" s="4">
        <f t="shared" si="157"/>
        <v>0.001</v>
      </c>
      <c r="CK63" s="4"/>
      <c r="CL63" s="4">
        <v>0.005</v>
      </c>
      <c r="CM63" s="4">
        <f>0.5*0.001</f>
        <v>0.0005</v>
      </c>
      <c r="CN63" s="4"/>
      <c r="CO63" s="4"/>
      <c r="CP63" s="4">
        <v>1882.35</v>
      </c>
      <c r="CQ63" s="4">
        <v>1220.59</v>
      </c>
      <c r="CR63" s="4">
        <v>394.12</v>
      </c>
      <c r="CS63" s="4"/>
      <c r="CT63" s="4"/>
      <c r="CU63" s="4">
        <v>514.71</v>
      </c>
      <c r="CV63" s="4"/>
      <c r="CW63" s="4">
        <v>338.24</v>
      </c>
      <c r="CX63" s="4"/>
      <c r="CY63" s="4">
        <v>15955.88</v>
      </c>
      <c r="CZ63" s="4">
        <v>132.35</v>
      </c>
      <c r="DA63" s="4"/>
      <c r="DB63" s="4"/>
      <c r="DC63" s="4"/>
    </row>
    <row r="64">
      <c r="A64" s="4" t="s">
        <v>239</v>
      </c>
      <c r="B64" s="4" t="s">
        <v>240</v>
      </c>
      <c r="C64" s="5" t="s">
        <v>409</v>
      </c>
      <c r="D64" s="5" t="s">
        <v>410</v>
      </c>
      <c r="E64" s="4" t="s">
        <v>388</v>
      </c>
      <c r="F64" s="4" t="s">
        <v>326</v>
      </c>
      <c r="G64" s="4" t="s">
        <v>113</v>
      </c>
      <c r="H64" s="4" t="s">
        <v>243</v>
      </c>
      <c r="I64" s="4" t="s">
        <v>244</v>
      </c>
      <c r="J64" s="4" t="s">
        <v>411</v>
      </c>
      <c r="K64" s="4" t="s">
        <v>412</v>
      </c>
      <c r="L64" s="4">
        <v>-20.7419</v>
      </c>
      <c r="M64" s="4">
        <v>-65.2403</v>
      </c>
      <c r="N64" s="4">
        <v>1.361</v>
      </c>
      <c r="O64" s="4">
        <v>58.0</v>
      </c>
      <c r="P64" s="4">
        <v>1193.0</v>
      </c>
      <c r="Q64" s="4">
        <v>157.5</v>
      </c>
      <c r="R64" s="4">
        <v>8.44</v>
      </c>
      <c r="S64" s="4">
        <v>-70.0</v>
      </c>
      <c r="T64" s="4">
        <v>837.0</v>
      </c>
      <c r="U64" s="4">
        <v>0.3</v>
      </c>
      <c r="V64" s="4">
        <v>19.4</v>
      </c>
      <c r="W64" s="4">
        <v>6.97</v>
      </c>
      <c r="X64" s="4">
        <v>100.7</v>
      </c>
      <c r="Y64" s="4">
        <f t="shared" ref="Y64:Y69" si="159">1.5*1100</f>
        <v>1650</v>
      </c>
      <c r="Z64" s="4">
        <v>2860.0</v>
      </c>
      <c r="AA64" s="4">
        <v>606.0</v>
      </c>
      <c r="AB64" s="4">
        <v>2254.0</v>
      </c>
      <c r="AC64" s="4">
        <v>9.0</v>
      </c>
      <c r="AD64" s="4">
        <v>329.9</v>
      </c>
      <c r="AE64" s="4">
        <v>5.0</v>
      </c>
      <c r="AF64" s="4">
        <v>90.0</v>
      </c>
      <c r="AG64" s="4">
        <v>33.5</v>
      </c>
      <c r="AH64" s="4">
        <v>399.0</v>
      </c>
      <c r="AI64" s="4">
        <v>71.83</v>
      </c>
      <c r="AJ64" s="4">
        <v>36.55</v>
      </c>
      <c r="AK64" s="4">
        <v>61.4</v>
      </c>
      <c r="AL64" s="4">
        <v>8.4</v>
      </c>
      <c r="AM64" s="4">
        <v>72.52</v>
      </c>
      <c r="AN64" s="4">
        <v>36.7</v>
      </c>
      <c r="AO64" s="4">
        <v>62.2</v>
      </c>
      <c r="AP64" s="4">
        <v>8.5</v>
      </c>
      <c r="AQ64" s="4"/>
      <c r="AR64" s="4">
        <v>0.34</v>
      </c>
      <c r="AS64" s="4">
        <v>0.25</v>
      </c>
      <c r="AT64" s="4">
        <v>1.07</v>
      </c>
      <c r="AU64" s="4">
        <f t="shared" si="153"/>
        <v>0.01</v>
      </c>
      <c r="AV64" s="4">
        <v>1.25</v>
      </c>
      <c r="AW64" s="4">
        <v>1.5</v>
      </c>
      <c r="AX64" s="4">
        <f>0.5*5</f>
        <v>2.5</v>
      </c>
      <c r="AY64" s="4">
        <v>6.0</v>
      </c>
      <c r="AZ64" s="4"/>
      <c r="BA64" s="4">
        <v>130.0</v>
      </c>
      <c r="BB64" s="4">
        <v>80.0</v>
      </c>
      <c r="BC64" s="4"/>
      <c r="BD64" s="4"/>
      <c r="BE64" s="4">
        <v>2.0</v>
      </c>
      <c r="BF64" s="4">
        <f t="shared" si="55"/>
        <v>0.5</v>
      </c>
      <c r="BG64" s="4">
        <f t="shared" si="129"/>
        <v>10</v>
      </c>
      <c r="BH64" s="4">
        <f t="shared" si="57"/>
        <v>0.5</v>
      </c>
      <c r="BI64" s="4">
        <f t="shared" si="130"/>
        <v>10</v>
      </c>
      <c r="BJ64" s="4">
        <f t="shared" si="59"/>
        <v>0.5</v>
      </c>
      <c r="BK64" s="4">
        <v>27.0</v>
      </c>
      <c r="BL64" s="4">
        <v>2.0</v>
      </c>
      <c r="BM64" s="4">
        <f>0.5*1</f>
        <v>0.5</v>
      </c>
      <c r="BN64" s="4">
        <v>2.0</v>
      </c>
      <c r="BO64" s="4">
        <f t="shared" ref="BO64:BR64" si="158">0.5*1</f>
        <v>0.5</v>
      </c>
      <c r="BP64" s="4">
        <f t="shared" si="158"/>
        <v>0.5</v>
      </c>
      <c r="BQ64" s="4">
        <f t="shared" si="158"/>
        <v>0.5</v>
      </c>
      <c r="BR64" s="4">
        <f t="shared" si="158"/>
        <v>0.5</v>
      </c>
      <c r="BS64" s="4">
        <f t="shared" si="51"/>
        <v>0.02</v>
      </c>
      <c r="BT64" s="4">
        <v>219.0</v>
      </c>
      <c r="BU64" s="4">
        <v>1158.0</v>
      </c>
      <c r="BV64" s="4">
        <f t="shared" si="108"/>
        <v>0.5</v>
      </c>
      <c r="BW64" s="4">
        <v>39.0</v>
      </c>
      <c r="BX64" s="4">
        <v>1203.0</v>
      </c>
      <c r="BY64" s="4">
        <v>71.0</v>
      </c>
      <c r="BZ64" s="4">
        <v>64.0</v>
      </c>
      <c r="CA64" s="4">
        <v>519.0</v>
      </c>
      <c r="CB64" s="4">
        <v>26.0</v>
      </c>
      <c r="CC64" s="4">
        <f t="shared" ref="CC64:CC65" si="162">0.5*20</f>
        <v>10</v>
      </c>
      <c r="CD64" s="4">
        <v>65.0</v>
      </c>
      <c r="CE64" s="4">
        <f t="shared" si="119"/>
        <v>10</v>
      </c>
      <c r="CF64" s="4">
        <v>0.208</v>
      </c>
      <c r="CG64" s="4">
        <v>66145.0</v>
      </c>
      <c r="CH64" s="4">
        <v>644.0</v>
      </c>
      <c r="CI64" s="4">
        <f>0.5*20</f>
        <v>10</v>
      </c>
      <c r="CJ64" s="4">
        <f t="shared" si="157"/>
        <v>0.001</v>
      </c>
      <c r="CK64" s="4"/>
      <c r="CL64" s="4">
        <v>0.002</v>
      </c>
      <c r="CM64" s="4">
        <v>0.012</v>
      </c>
      <c r="CN64" s="4"/>
      <c r="CO64" s="4"/>
      <c r="CP64" s="4"/>
      <c r="CQ64" s="4">
        <v>229.37</v>
      </c>
      <c r="CR64" s="4">
        <v>25.11</v>
      </c>
      <c r="CS64" s="4">
        <v>11.54</v>
      </c>
      <c r="CT64" s="4"/>
      <c r="CU64" s="4"/>
      <c r="CV64" s="4"/>
      <c r="CW64" s="4">
        <v>28.39</v>
      </c>
      <c r="CX64" s="4">
        <v>17.3</v>
      </c>
      <c r="CY64" s="4">
        <v>29248.45</v>
      </c>
      <c r="CZ64" s="4">
        <v>521.74</v>
      </c>
      <c r="DA64" s="4">
        <v>0.09</v>
      </c>
      <c r="DB64" s="4">
        <v>30.61</v>
      </c>
      <c r="DC64" s="4"/>
    </row>
    <row r="65">
      <c r="A65" s="4" t="s">
        <v>247</v>
      </c>
      <c r="B65" s="4" t="s">
        <v>248</v>
      </c>
      <c r="C65" s="5" t="s">
        <v>413</v>
      </c>
      <c r="D65" s="5" t="s">
        <v>414</v>
      </c>
      <c r="E65" s="4" t="s">
        <v>388</v>
      </c>
      <c r="F65" s="4" t="s">
        <v>326</v>
      </c>
      <c r="G65" s="4" t="s">
        <v>113</v>
      </c>
      <c r="H65" s="4" t="s">
        <v>249</v>
      </c>
      <c r="I65" s="4" t="s">
        <v>236</v>
      </c>
      <c r="J65" s="4" t="s">
        <v>415</v>
      </c>
      <c r="K65" s="4" t="s">
        <v>416</v>
      </c>
      <c r="L65" s="4">
        <v>-21.2394</v>
      </c>
      <c r="M65" s="4">
        <v>-65.2091</v>
      </c>
      <c r="N65" s="4">
        <v>1.521</v>
      </c>
      <c r="O65" s="4">
        <v>105.0</v>
      </c>
      <c r="P65" s="4">
        <v>1482.0</v>
      </c>
      <c r="Q65" s="4">
        <v>149.8</v>
      </c>
      <c r="R65" s="4">
        <v>7.84</v>
      </c>
      <c r="S65" s="4">
        <v>-68.7</v>
      </c>
      <c r="T65" s="4">
        <v>676.0</v>
      </c>
      <c r="U65" s="4">
        <v>0.3</v>
      </c>
      <c r="V65" s="4">
        <v>22.4</v>
      </c>
      <c r="W65" s="4">
        <v>6.29</v>
      </c>
      <c r="X65" s="4">
        <v>97.3</v>
      </c>
      <c r="Y65" s="4">
        <f t="shared" si="159"/>
        <v>1650</v>
      </c>
      <c r="Z65" s="4">
        <v>6634.0</v>
      </c>
      <c r="AA65" s="4">
        <v>478.0</v>
      </c>
      <c r="AB65" s="4">
        <v>6156.0</v>
      </c>
      <c r="AC65" s="4">
        <f>0.5*0.05</f>
        <v>0.025</v>
      </c>
      <c r="AD65" s="4">
        <v>264.6</v>
      </c>
      <c r="AE65" s="4">
        <v>5.0</v>
      </c>
      <c r="AF65" s="4">
        <v>95.0</v>
      </c>
      <c r="AG65" s="4">
        <v>37.3</v>
      </c>
      <c r="AH65" s="4">
        <v>256.5</v>
      </c>
      <c r="AI65" s="4">
        <v>77.63</v>
      </c>
      <c r="AJ65" s="4">
        <v>17.18</v>
      </c>
      <c r="AK65" s="4">
        <v>43.8</v>
      </c>
      <c r="AL65" s="4">
        <v>0.7</v>
      </c>
      <c r="AM65" s="4">
        <v>78.88</v>
      </c>
      <c r="AN65" s="4">
        <v>17.18</v>
      </c>
      <c r="AO65" s="4">
        <v>44.0</v>
      </c>
      <c r="AP65" s="4">
        <v>0.7</v>
      </c>
      <c r="AQ65" s="4"/>
      <c r="AR65" s="4">
        <v>0.18</v>
      </c>
      <c r="AS65" s="4">
        <v>0.15</v>
      </c>
      <c r="AT65" s="4">
        <v>1.57</v>
      </c>
      <c r="AU65" s="4">
        <f t="shared" si="153"/>
        <v>0.01</v>
      </c>
      <c r="AV65" s="4">
        <v>1.96</v>
      </c>
      <c r="AW65" s="4">
        <v>1.7</v>
      </c>
      <c r="AX65" s="4">
        <v>11.0</v>
      </c>
      <c r="AY65" s="4">
        <v>18.0</v>
      </c>
      <c r="AZ65" s="4"/>
      <c r="BA65" s="4">
        <v>630.0</v>
      </c>
      <c r="BB65" s="4">
        <v>540.0</v>
      </c>
      <c r="BC65" s="4"/>
      <c r="BD65" s="4"/>
      <c r="BE65" s="4">
        <v>0.0</v>
      </c>
      <c r="BF65" s="4">
        <f t="shared" si="55"/>
        <v>0.5</v>
      </c>
      <c r="BG65" s="4">
        <f t="shared" si="129"/>
        <v>10</v>
      </c>
      <c r="BH65" s="4">
        <f t="shared" si="57"/>
        <v>0.5</v>
      </c>
      <c r="BI65" s="4">
        <f t="shared" si="130"/>
        <v>10</v>
      </c>
      <c r="BJ65" s="4">
        <f t="shared" si="59"/>
        <v>0.5</v>
      </c>
      <c r="BK65" s="4">
        <v>6.0</v>
      </c>
      <c r="BL65" s="4">
        <f t="shared" ref="BL65:BN65" si="160">0.5*1</f>
        <v>0.5</v>
      </c>
      <c r="BM65" s="4">
        <f t="shared" si="160"/>
        <v>0.5</v>
      </c>
      <c r="BN65" s="4">
        <f t="shared" si="160"/>
        <v>0.5</v>
      </c>
      <c r="BO65" s="4">
        <v>2.0</v>
      </c>
      <c r="BP65" s="4">
        <f t="shared" ref="BP65:BR65" si="161">0.5*1</f>
        <v>0.5</v>
      </c>
      <c r="BQ65" s="4">
        <f t="shared" si="161"/>
        <v>0.5</v>
      </c>
      <c r="BR65" s="4">
        <f t="shared" si="161"/>
        <v>0.5</v>
      </c>
      <c r="BS65" s="4">
        <f t="shared" si="51"/>
        <v>0.02</v>
      </c>
      <c r="BT65" s="4">
        <v>226.0</v>
      </c>
      <c r="BU65" s="4">
        <v>2425.0</v>
      </c>
      <c r="BV65" s="4">
        <f t="shared" si="108"/>
        <v>0.5</v>
      </c>
      <c r="BW65" s="4">
        <f>0.5*20</f>
        <v>10</v>
      </c>
      <c r="BX65" s="4">
        <v>1241.0</v>
      </c>
      <c r="BY65" s="4">
        <v>67.0</v>
      </c>
      <c r="BZ65" s="4">
        <v>82.0</v>
      </c>
      <c r="CA65" s="4">
        <v>562.0</v>
      </c>
      <c r="CB65" s="4">
        <v>21.0</v>
      </c>
      <c r="CC65" s="4">
        <f t="shared" si="162"/>
        <v>10</v>
      </c>
      <c r="CD65" s="4">
        <v>104.0</v>
      </c>
      <c r="CE65" s="4">
        <f t="shared" si="119"/>
        <v>10</v>
      </c>
      <c r="CF65" s="4">
        <v>0.133</v>
      </c>
      <c r="CG65" s="4">
        <v>46464.0</v>
      </c>
      <c r="CH65" s="4">
        <v>963.0</v>
      </c>
      <c r="CI65" s="4">
        <v>75.0</v>
      </c>
      <c r="CJ65" s="4">
        <f t="shared" si="157"/>
        <v>0.001</v>
      </c>
      <c r="CK65" s="4"/>
      <c r="CL65" s="4">
        <v>0.003</v>
      </c>
      <c r="CM65" s="4">
        <v>0.008</v>
      </c>
      <c r="CN65" s="4">
        <f t="shared" ref="CN65:CN69" si="164">0.5*0.05</f>
        <v>0.025</v>
      </c>
      <c r="CO65" s="4"/>
      <c r="CP65" s="4">
        <v>12.18</v>
      </c>
      <c r="CQ65" s="4">
        <v>91.29</v>
      </c>
      <c r="CR65" s="4">
        <v>16.78</v>
      </c>
      <c r="CS65" s="4">
        <v>3.09</v>
      </c>
      <c r="CT65" s="4"/>
      <c r="CU65" s="4"/>
      <c r="CV65" s="4"/>
      <c r="CW65" s="4">
        <v>13.32</v>
      </c>
      <c r="CX65" s="4"/>
      <c r="CY65" s="4">
        <v>7511.05</v>
      </c>
      <c r="CZ65" s="4">
        <v>200.62</v>
      </c>
      <c r="DA65" s="4">
        <v>0.02</v>
      </c>
      <c r="DB65" s="4">
        <v>10.88</v>
      </c>
      <c r="DC65" s="4"/>
    </row>
    <row r="66">
      <c r="A66" s="4" t="s">
        <v>258</v>
      </c>
      <c r="B66" s="4" t="s">
        <v>259</v>
      </c>
      <c r="C66" s="5" t="s">
        <v>417</v>
      </c>
      <c r="D66" s="5" t="s">
        <v>418</v>
      </c>
      <c r="E66" s="4" t="s">
        <v>388</v>
      </c>
      <c r="F66" s="4" t="s">
        <v>326</v>
      </c>
      <c r="G66" s="4" t="s">
        <v>113</v>
      </c>
      <c r="H66" s="4" t="s">
        <v>261</v>
      </c>
      <c r="I66" s="4" t="s">
        <v>236</v>
      </c>
      <c r="J66" s="4" t="s">
        <v>419</v>
      </c>
      <c r="K66" s="4" t="s">
        <v>420</v>
      </c>
      <c r="L66" s="4">
        <v>-21.5044</v>
      </c>
      <c r="M66" s="4">
        <v>-65.7067</v>
      </c>
      <c r="N66" s="4"/>
      <c r="O66" s="4"/>
      <c r="P66" s="4">
        <v>1427.0</v>
      </c>
      <c r="Q66" s="4">
        <v>140.0</v>
      </c>
      <c r="R66" s="4">
        <v>7.97</v>
      </c>
      <c r="S66" s="4">
        <v>-63.4</v>
      </c>
      <c r="T66" s="4">
        <v>702.0</v>
      </c>
      <c r="U66" s="4">
        <v>0.3</v>
      </c>
      <c r="V66" s="4">
        <v>19.4</v>
      </c>
      <c r="W66" s="4">
        <v>6.21</v>
      </c>
      <c r="X66" s="4">
        <v>96.0</v>
      </c>
      <c r="Y66" s="4">
        <f t="shared" si="159"/>
        <v>1650</v>
      </c>
      <c r="Z66" s="4">
        <v>28451.0</v>
      </c>
      <c r="AA66" s="4">
        <v>516.0</v>
      </c>
      <c r="AB66" s="4">
        <v>27935.0</v>
      </c>
      <c r="AC66" s="4">
        <v>7.0</v>
      </c>
      <c r="AD66" s="4">
        <v>270.1</v>
      </c>
      <c r="AE66" s="4">
        <f t="shared" ref="AE66:AE76" si="165">0.5*5</f>
        <v>2.5</v>
      </c>
      <c r="AF66" s="4">
        <v>55.0</v>
      </c>
      <c r="AG66" s="4">
        <v>29.5</v>
      </c>
      <c r="AH66" s="4">
        <v>344.6</v>
      </c>
      <c r="AI66" s="4">
        <v>58.51</v>
      </c>
      <c r="AJ66" s="4">
        <v>30.12</v>
      </c>
      <c r="AK66" s="4">
        <v>50.4</v>
      </c>
      <c r="AL66" s="4">
        <v>5.4</v>
      </c>
      <c r="AM66" s="4">
        <v>59.94</v>
      </c>
      <c r="AN66" s="4">
        <v>30.87</v>
      </c>
      <c r="AO66" s="4">
        <v>51.8</v>
      </c>
      <c r="AP66" s="4">
        <v>5.5</v>
      </c>
      <c r="AQ66" s="4"/>
      <c r="AR66" s="4">
        <v>0.09</v>
      </c>
      <c r="AS66" s="4">
        <v>0.03</v>
      </c>
      <c r="AT66" s="4">
        <v>0.96</v>
      </c>
      <c r="AU66" s="4">
        <f t="shared" si="153"/>
        <v>0.01</v>
      </c>
      <c r="AV66" s="4">
        <v>3.38</v>
      </c>
      <c r="AW66" s="4">
        <v>2.9</v>
      </c>
      <c r="AX66" s="4">
        <v>29.0</v>
      </c>
      <c r="AY66" s="4">
        <v>38.0</v>
      </c>
      <c r="AZ66" s="4"/>
      <c r="BA66" s="4">
        <v>15.0</v>
      </c>
      <c r="BB66" s="4">
        <v>9.0</v>
      </c>
      <c r="BC66" s="4"/>
      <c r="BD66" s="4"/>
      <c r="BE66" s="4">
        <v>0.0</v>
      </c>
      <c r="BF66" s="4">
        <f t="shared" si="55"/>
        <v>0.5</v>
      </c>
      <c r="BG66" s="4">
        <v>23.0</v>
      </c>
      <c r="BH66" s="4">
        <f t="shared" si="57"/>
        <v>0.5</v>
      </c>
      <c r="BI66" s="4">
        <v>22.0</v>
      </c>
      <c r="BJ66" s="4">
        <f t="shared" si="59"/>
        <v>0.5</v>
      </c>
      <c r="BK66" s="4">
        <v>71.0</v>
      </c>
      <c r="BL66" s="4">
        <v>1.0</v>
      </c>
      <c r="BM66" s="4">
        <f>0.5*1</f>
        <v>0.5</v>
      </c>
      <c r="BN66" s="4">
        <v>14.0</v>
      </c>
      <c r="BO66" s="4">
        <f t="shared" ref="BO66:BR66" si="163">0.5*1</f>
        <v>0.5</v>
      </c>
      <c r="BP66" s="4">
        <f t="shared" si="163"/>
        <v>0.5</v>
      </c>
      <c r="BQ66" s="4">
        <f t="shared" si="163"/>
        <v>0.5</v>
      </c>
      <c r="BR66" s="4">
        <f t="shared" si="163"/>
        <v>0.5</v>
      </c>
      <c r="BS66" s="4">
        <f t="shared" si="51"/>
        <v>0.02</v>
      </c>
      <c r="BT66" s="4">
        <v>233.0</v>
      </c>
      <c r="BU66" s="4">
        <v>1228.0</v>
      </c>
      <c r="BV66" s="4">
        <f t="shared" si="108"/>
        <v>0.5</v>
      </c>
      <c r="BW66" s="4">
        <v>395.0</v>
      </c>
      <c r="BX66" s="4">
        <v>12507.0</v>
      </c>
      <c r="BY66" s="4">
        <v>724.0</v>
      </c>
      <c r="BZ66" s="4">
        <v>744.0</v>
      </c>
      <c r="CA66" s="4">
        <v>5228.0</v>
      </c>
      <c r="CB66" s="4">
        <v>389.0</v>
      </c>
      <c r="CC66" s="4">
        <v>27.0</v>
      </c>
      <c r="CD66" s="4">
        <v>1156.0</v>
      </c>
      <c r="CE66" s="4">
        <f t="shared" si="119"/>
        <v>10</v>
      </c>
      <c r="CF66" s="4">
        <v>3.47</v>
      </c>
      <c r="CG66" s="4">
        <v>801557.0</v>
      </c>
      <c r="CH66" s="4">
        <v>1761.0</v>
      </c>
      <c r="CI66" s="4">
        <v>29.0</v>
      </c>
      <c r="CJ66" s="4">
        <f t="shared" si="157"/>
        <v>0.001</v>
      </c>
      <c r="CK66" s="4"/>
      <c r="CL66" s="4">
        <v>0.003</v>
      </c>
      <c r="CM66" s="4">
        <f t="shared" ref="CM66:CM69" si="168">0.5*0.001</f>
        <v>0.0005</v>
      </c>
      <c r="CN66" s="4">
        <f t="shared" si="164"/>
        <v>0.025</v>
      </c>
      <c r="CO66" s="4">
        <v>0.79</v>
      </c>
      <c r="CP66" s="4">
        <v>1.04</v>
      </c>
      <c r="CQ66" s="4">
        <v>186.65</v>
      </c>
      <c r="CR66" s="4">
        <v>41.19</v>
      </c>
      <c r="CS66" s="4">
        <v>13.93</v>
      </c>
      <c r="CT66" s="4">
        <v>0.82</v>
      </c>
      <c r="CU66" s="4">
        <v>19.08</v>
      </c>
      <c r="CV66" s="4">
        <v>0.97</v>
      </c>
      <c r="CW66" s="4">
        <v>26.63</v>
      </c>
      <c r="CX66" s="4">
        <v>14.14</v>
      </c>
      <c r="CY66" s="4">
        <v>28685.31</v>
      </c>
      <c r="CZ66" s="4">
        <v>445.18</v>
      </c>
      <c r="DA66" s="4">
        <v>0.12</v>
      </c>
      <c r="DB66" s="4">
        <v>25.88</v>
      </c>
      <c r="DC66" s="4"/>
    </row>
    <row r="67">
      <c r="A67" s="4" t="s">
        <v>252</v>
      </c>
      <c r="B67" s="4" t="s">
        <v>253</v>
      </c>
      <c r="C67" s="5" t="s">
        <v>417</v>
      </c>
      <c r="D67" s="5" t="s">
        <v>255</v>
      </c>
      <c r="E67" s="4" t="s">
        <v>388</v>
      </c>
      <c r="F67" s="4" t="s">
        <v>326</v>
      </c>
      <c r="G67" s="4" t="s">
        <v>113</v>
      </c>
      <c r="H67" s="4" t="s">
        <v>249</v>
      </c>
      <c r="I67" s="4" t="s">
        <v>236</v>
      </c>
      <c r="J67" s="4" t="s">
        <v>421</v>
      </c>
      <c r="K67" s="4" t="s">
        <v>422</v>
      </c>
      <c r="L67" s="4">
        <v>-21.5613</v>
      </c>
      <c r="M67" s="4">
        <v>-65.6478</v>
      </c>
      <c r="N67" s="4"/>
      <c r="O67" s="4"/>
      <c r="P67" s="4">
        <v>1961.0</v>
      </c>
      <c r="Q67" s="4">
        <v>141.3</v>
      </c>
      <c r="R67" s="4">
        <v>7.49</v>
      </c>
      <c r="S67" s="4">
        <v>-48.4</v>
      </c>
      <c r="T67" s="4">
        <v>510.0</v>
      </c>
      <c r="U67" s="4">
        <v>0.2</v>
      </c>
      <c r="V67" s="4">
        <v>16.9</v>
      </c>
      <c r="W67" s="4">
        <v>6.55</v>
      </c>
      <c r="X67" s="4">
        <v>96.1</v>
      </c>
      <c r="Y67" s="4">
        <f t="shared" si="159"/>
        <v>1650</v>
      </c>
      <c r="Z67" s="4">
        <v>17121.0</v>
      </c>
      <c r="AA67" s="4">
        <v>344.0</v>
      </c>
      <c r="AB67" s="4">
        <v>16777.0</v>
      </c>
      <c r="AC67" s="4">
        <v>17.0</v>
      </c>
      <c r="AD67" s="4">
        <v>167.0</v>
      </c>
      <c r="AE67" s="4">
        <f t="shared" si="165"/>
        <v>2.5</v>
      </c>
      <c r="AF67" s="4">
        <v>70.0</v>
      </c>
      <c r="AG67" s="4">
        <v>25.6</v>
      </c>
      <c r="AH67" s="4">
        <v>174.1</v>
      </c>
      <c r="AI67" s="4">
        <v>48.72</v>
      </c>
      <c r="AJ67" s="4">
        <v>11.02</v>
      </c>
      <c r="AK67" s="4">
        <v>35.0</v>
      </c>
      <c r="AL67" s="4">
        <v>5.7</v>
      </c>
      <c r="AM67" s="4">
        <v>49.22</v>
      </c>
      <c r="AN67" s="4">
        <v>11.14</v>
      </c>
      <c r="AO67" s="4">
        <v>35.5</v>
      </c>
      <c r="AP67" s="4">
        <v>6.1</v>
      </c>
      <c r="AQ67" s="4"/>
      <c r="AR67" s="4">
        <v>0.25</v>
      </c>
      <c r="AS67" s="4">
        <v>0.12</v>
      </c>
      <c r="AT67" s="4">
        <v>0.44</v>
      </c>
      <c r="AU67" s="4">
        <f t="shared" si="153"/>
        <v>0.01</v>
      </c>
      <c r="AV67" s="4">
        <v>3.14</v>
      </c>
      <c r="AW67" s="4">
        <v>3.6</v>
      </c>
      <c r="AX67" s="4">
        <v>25.0</v>
      </c>
      <c r="AY67" s="4">
        <v>33.0</v>
      </c>
      <c r="AZ67" s="4"/>
      <c r="BA67" s="4">
        <v>22.0</v>
      </c>
      <c r="BB67" s="4">
        <v>4.0</v>
      </c>
      <c r="BC67" s="4"/>
      <c r="BD67" s="4"/>
      <c r="BE67" s="4">
        <v>0.0</v>
      </c>
      <c r="BF67" s="4">
        <f t="shared" si="55"/>
        <v>0.5</v>
      </c>
      <c r="BG67" s="4">
        <v>21.0</v>
      </c>
      <c r="BH67" s="4">
        <f t="shared" si="57"/>
        <v>0.5</v>
      </c>
      <c r="BI67" s="4">
        <v>23.0</v>
      </c>
      <c r="BJ67" s="4">
        <f t="shared" si="59"/>
        <v>0.5</v>
      </c>
      <c r="BK67" s="4">
        <v>6.0</v>
      </c>
      <c r="BL67" s="4">
        <f t="shared" ref="BL67:BM67" si="166">0.5*1</f>
        <v>0.5</v>
      </c>
      <c r="BM67" s="4">
        <f t="shared" si="166"/>
        <v>0.5</v>
      </c>
      <c r="BN67" s="4">
        <v>31.0</v>
      </c>
      <c r="BO67" s="4">
        <v>2.0</v>
      </c>
      <c r="BP67" s="4">
        <f t="shared" ref="BP67:BR67" si="167">0.5*1</f>
        <v>0.5</v>
      </c>
      <c r="BQ67" s="4">
        <f t="shared" si="167"/>
        <v>0.5</v>
      </c>
      <c r="BR67" s="4">
        <f t="shared" si="167"/>
        <v>0.5</v>
      </c>
      <c r="BS67" s="4">
        <f t="shared" si="51"/>
        <v>0.02</v>
      </c>
      <c r="BT67" s="4">
        <v>203.0</v>
      </c>
      <c r="BU67" s="4">
        <v>1324.0</v>
      </c>
      <c r="BV67" s="4">
        <f t="shared" si="108"/>
        <v>0.5</v>
      </c>
      <c r="BW67" s="4">
        <v>260.0</v>
      </c>
      <c r="BX67" s="4">
        <v>3507.0</v>
      </c>
      <c r="BY67" s="4">
        <v>312.0</v>
      </c>
      <c r="BZ67" s="4">
        <v>331.0</v>
      </c>
      <c r="CA67" s="4">
        <v>1831.0</v>
      </c>
      <c r="CB67" s="4">
        <v>227.0</v>
      </c>
      <c r="CC67" s="4">
        <v>20.0</v>
      </c>
      <c r="CD67" s="4">
        <v>360.0</v>
      </c>
      <c r="CE67" s="4">
        <f t="shared" si="119"/>
        <v>10</v>
      </c>
      <c r="CF67" s="4">
        <v>1.06</v>
      </c>
      <c r="CG67" s="4">
        <v>350120.0</v>
      </c>
      <c r="CH67" s="4">
        <v>1839.0</v>
      </c>
      <c r="CI67" s="4">
        <v>43.0</v>
      </c>
      <c r="CJ67" s="4">
        <f t="shared" si="157"/>
        <v>0.001</v>
      </c>
      <c r="CK67" s="4"/>
      <c r="CL67" s="4">
        <v>0.004</v>
      </c>
      <c r="CM67" s="4">
        <f t="shared" si="168"/>
        <v>0.0005</v>
      </c>
      <c r="CN67" s="4">
        <f t="shared" si="164"/>
        <v>0.025</v>
      </c>
      <c r="CO67" s="4">
        <v>1.37</v>
      </c>
      <c r="CP67" s="4">
        <v>2.56</v>
      </c>
      <c r="CQ67" s="4">
        <v>107.29</v>
      </c>
      <c r="CR67" s="4">
        <v>21.12</v>
      </c>
      <c r="CS67" s="4">
        <v>13.41</v>
      </c>
      <c r="CT67" s="4">
        <v>1.25</v>
      </c>
      <c r="CU67" s="4">
        <v>30.7</v>
      </c>
      <c r="CV67" s="4">
        <v>1.19</v>
      </c>
      <c r="CW67" s="4">
        <v>19.73</v>
      </c>
      <c r="CX67" s="4">
        <v>15.5</v>
      </c>
      <c r="CY67" s="4">
        <v>20856.95</v>
      </c>
      <c r="CZ67" s="4">
        <v>208.68</v>
      </c>
      <c r="DA67" s="4">
        <v>0.06</v>
      </c>
      <c r="DB67" s="4">
        <v>18.6</v>
      </c>
      <c r="DC67" s="4"/>
    </row>
    <row r="68">
      <c r="A68" s="4" t="s">
        <v>264</v>
      </c>
      <c r="B68" s="4" t="s">
        <v>265</v>
      </c>
      <c r="C68" s="5" t="s">
        <v>417</v>
      </c>
      <c r="D68" s="5" t="s">
        <v>352</v>
      </c>
      <c r="E68" s="4" t="s">
        <v>388</v>
      </c>
      <c r="F68" s="4" t="s">
        <v>326</v>
      </c>
      <c r="G68" s="4" t="s">
        <v>113</v>
      </c>
      <c r="H68" s="4" t="s">
        <v>264</v>
      </c>
      <c r="I68" s="4" t="s">
        <v>244</v>
      </c>
      <c r="J68" s="4" t="s">
        <v>423</v>
      </c>
      <c r="K68" s="4" t="s">
        <v>424</v>
      </c>
      <c r="L68" s="4">
        <v>-20.8211</v>
      </c>
      <c r="M68" s="4">
        <v>-65.666</v>
      </c>
      <c r="N68" s="4"/>
      <c r="O68" s="4"/>
      <c r="P68" s="4">
        <v>1246.0</v>
      </c>
      <c r="Q68" s="4">
        <v>144.5</v>
      </c>
      <c r="R68" s="4">
        <v>7.085</v>
      </c>
      <c r="S68" s="4">
        <v>-17.4</v>
      </c>
      <c r="T68" s="4">
        <v>802.0</v>
      </c>
      <c r="U68" s="4">
        <v>0.2</v>
      </c>
      <c r="V68" s="4">
        <v>18.5</v>
      </c>
      <c r="W68" s="4">
        <v>6.5</v>
      </c>
      <c r="X68" s="4">
        <v>95.9</v>
      </c>
      <c r="Y68" s="4">
        <f t="shared" si="159"/>
        <v>1650</v>
      </c>
      <c r="Z68" s="4">
        <v>59720.0</v>
      </c>
      <c r="AA68" s="4">
        <v>640.0</v>
      </c>
      <c r="AB68" s="4">
        <v>59080.0</v>
      </c>
      <c r="AC68" s="4">
        <v>2.0</v>
      </c>
      <c r="AD68" s="4">
        <v>346.0</v>
      </c>
      <c r="AE68" s="4">
        <f t="shared" si="165"/>
        <v>2.5</v>
      </c>
      <c r="AF68" s="4">
        <v>15.0</v>
      </c>
      <c r="AG68" s="4">
        <v>25.2</v>
      </c>
      <c r="AH68" s="4">
        <v>529.8</v>
      </c>
      <c r="AI68" s="4">
        <v>68.27</v>
      </c>
      <c r="AJ68" s="4">
        <v>42.63</v>
      </c>
      <c r="AK68" s="4">
        <v>30.8</v>
      </c>
      <c r="AL68" s="4">
        <v>6.8</v>
      </c>
      <c r="AM68" s="4">
        <v>69.58</v>
      </c>
      <c r="AN68" s="4">
        <v>43.05</v>
      </c>
      <c r="AO68" s="4">
        <v>32.3</v>
      </c>
      <c r="AP68" s="4">
        <v>7.1</v>
      </c>
      <c r="AQ68" s="4"/>
      <c r="AR68" s="4">
        <v>0.09</v>
      </c>
      <c r="AS68" s="4">
        <v>0.03</v>
      </c>
      <c r="AT68" s="4">
        <v>1.33</v>
      </c>
      <c r="AU68" s="4">
        <f t="shared" si="153"/>
        <v>0.01</v>
      </c>
      <c r="AV68" s="4">
        <v>3.85</v>
      </c>
      <c r="AW68" s="4">
        <v>2.9</v>
      </c>
      <c r="AX68" s="4">
        <v>24.0</v>
      </c>
      <c r="AY68" s="4">
        <v>31.0</v>
      </c>
      <c r="AZ68" s="4"/>
      <c r="BA68" s="4">
        <v>15.0</v>
      </c>
      <c r="BB68" s="4">
        <v>3.0</v>
      </c>
      <c r="BC68" s="4"/>
      <c r="BD68" s="4"/>
      <c r="BE68" s="4">
        <v>0.0</v>
      </c>
      <c r="BF68" s="4">
        <f t="shared" si="55"/>
        <v>0.5</v>
      </c>
      <c r="BG68" s="4">
        <v>168.0</v>
      </c>
      <c r="BH68" s="4">
        <f t="shared" si="57"/>
        <v>0.5</v>
      </c>
      <c r="BI68" s="4">
        <v>27.0</v>
      </c>
      <c r="BJ68" s="4">
        <f t="shared" si="59"/>
        <v>0.5</v>
      </c>
      <c r="BK68" s="4">
        <v>248.0</v>
      </c>
      <c r="BL68" s="4">
        <v>11.0</v>
      </c>
      <c r="BM68" s="4">
        <f>0.5*1</f>
        <v>0.5</v>
      </c>
      <c r="BN68" s="4">
        <v>123.0</v>
      </c>
      <c r="BO68" s="4">
        <f t="shared" ref="BO68:BR68" si="169">0.5*1</f>
        <v>0.5</v>
      </c>
      <c r="BP68" s="4">
        <f t="shared" si="169"/>
        <v>0.5</v>
      </c>
      <c r="BQ68" s="4">
        <f t="shared" si="169"/>
        <v>0.5</v>
      </c>
      <c r="BR68" s="4">
        <f t="shared" si="169"/>
        <v>0.5</v>
      </c>
      <c r="BS68" s="4">
        <f t="shared" si="51"/>
        <v>0.02</v>
      </c>
      <c r="BT68" s="4">
        <v>309.0</v>
      </c>
      <c r="BU68" s="4">
        <v>1080.0</v>
      </c>
      <c r="BV68" s="4">
        <f t="shared" si="108"/>
        <v>0.5</v>
      </c>
      <c r="BW68" s="4">
        <v>565.0</v>
      </c>
      <c r="BX68" s="4">
        <v>19846.0</v>
      </c>
      <c r="BY68" s="4">
        <v>1154.0</v>
      </c>
      <c r="BZ68" s="4">
        <v>1465.0</v>
      </c>
      <c r="CA68" s="4">
        <v>5337.0</v>
      </c>
      <c r="CB68" s="4">
        <v>2030.0</v>
      </c>
      <c r="CC68" s="4">
        <v>35.0</v>
      </c>
      <c r="CD68" s="4">
        <v>2015.0</v>
      </c>
      <c r="CE68" s="4">
        <v>33.0</v>
      </c>
      <c r="CF68" s="4">
        <v>10.376</v>
      </c>
      <c r="CG68" s="4">
        <v>1347220.0</v>
      </c>
      <c r="CH68" s="4">
        <v>1558.0</v>
      </c>
      <c r="CI68" s="4">
        <f>0.5*20</f>
        <v>10</v>
      </c>
      <c r="CJ68" s="4">
        <f t="shared" si="157"/>
        <v>0.001</v>
      </c>
      <c r="CK68" s="4"/>
      <c r="CL68" s="4">
        <v>0.004</v>
      </c>
      <c r="CM68" s="4">
        <f t="shared" si="168"/>
        <v>0.0005</v>
      </c>
      <c r="CN68" s="4">
        <f t="shared" si="164"/>
        <v>0.025</v>
      </c>
      <c r="CO68" s="4">
        <v>0.46</v>
      </c>
      <c r="CP68" s="4"/>
      <c r="CQ68" s="4">
        <v>88.25</v>
      </c>
      <c r="CR68" s="4">
        <v>33.99</v>
      </c>
      <c r="CS68" s="4">
        <v>34.36</v>
      </c>
      <c r="CT68" s="4">
        <v>2.84</v>
      </c>
      <c r="CU68" s="4">
        <v>8.09</v>
      </c>
      <c r="CV68" s="4">
        <v>0.59</v>
      </c>
      <c r="CW68" s="4">
        <v>24.8</v>
      </c>
      <c r="CX68" s="4">
        <v>9.56</v>
      </c>
      <c r="CY68" s="4">
        <v>22798.09</v>
      </c>
      <c r="CZ68" s="4">
        <v>331.72</v>
      </c>
      <c r="DA68" s="4">
        <v>0.18</v>
      </c>
      <c r="DB68" s="4">
        <v>19.35</v>
      </c>
      <c r="DC68" s="4">
        <v>0.56</v>
      </c>
    </row>
    <row r="69">
      <c r="A69" s="4" t="s">
        <v>243</v>
      </c>
      <c r="B69" s="4" t="s">
        <v>269</v>
      </c>
      <c r="C69" s="5" t="s">
        <v>417</v>
      </c>
      <c r="D69" s="5" t="s">
        <v>425</v>
      </c>
      <c r="E69" s="4" t="s">
        <v>388</v>
      </c>
      <c r="F69" s="4" t="s">
        <v>326</v>
      </c>
      <c r="G69" s="4" t="s">
        <v>113</v>
      </c>
      <c r="H69" s="4" t="s">
        <v>243</v>
      </c>
      <c r="I69" s="4" t="s">
        <v>244</v>
      </c>
      <c r="J69" s="4" t="s">
        <v>426</v>
      </c>
      <c r="K69" s="4" t="s">
        <v>427</v>
      </c>
      <c r="L69" s="4">
        <v>-20.4876</v>
      </c>
      <c r="M69" s="4">
        <v>-65.6182</v>
      </c>
      <c r="N69" s="4">
        <v>1.523</v>
      </c>
      <c r="O69" s="4">
        <v>30.0</v>
      </c>
      <c r="P69" s="4">
        <v>1511.0</v>
      </c>
      <c r="Q69" s="4">
        <v>147.8</v>
      </c>
      <c r="R69" s="4">
        <v>8.297</v>
      </c>
      <c r="S69" s="4">
        <v>-86.6</v>
      </c>
      <c r="T69" s="4">
        <v>662.0</v>
      </c>
      <c r="U69" s="4">
        <v>0.2</v>
      </c>
      <c r="V69" s="4">
        <v>16.9</v>
      </c>
      <c r="W69" s="4">
        <v>6.86</v>
      </c>
      <c r="X69" s="4">
        <v>96.7</v>
      </c>
      <c r="Y69" s="4">
        <f t="shared" si="159"/>
        <v>1650</v>
      </c>
      <c r="Z69" s="4">
        <v>6675.0</v>
      </c>
      <c r="AA69" s="4">
        <v>446.0</v>
      </c>
      <c r="AB69" s="4">
        <v>6229.0</v>
      </c>
      <c r="AC69" s="4">
        <v>13.0</v>
      </c>
      <c r="AD69" s="4">
        <v>240.4</v>
      </c>
      <c r="AE69" s="4">
        <f t="shared" si="165"/>
        <v>2.5</v>
      </c>
      <c r="AF69" s="4">
        <v>90.0</v>
      </c>
      <c r="AG69" s="4">
        <v>31.4</v>
      </c>
      <c r="AH69" s="4">
        <v>279.8</v>
      </c>
      <c r="AI69" s="4">
        <v>49.21</v>
      </c>
      <c r="AJ69" s="4">
        <v>28.53</v>
      </c>
      <c r="AK69" s="4">
        <v>54.2</v>
      </c>
      <c r="AL69" s="4">
        <v>5.7</v>
      </c>
      <c r="AM69" s="4">
        <v>50.53</v>
      </c>
      <c r="AN69" s="4">
        <v>28.54</v>
      </c>
      <c r="AO69" s="4">
        <v>55.4</v>
      </c>
      <c r="AP69" s="4">
        <v>6.4</v>
      </c>
      <c r="AQ69" s="4"/>
      <c r="AR69" s="4">
        <v>0.25</v>
      </c>
      <c r="AS69" s="4">
        <v>0.12</v>
      </c>
      <c r="AT69" s="4">
        <v>0.78</v>
      </c>
      <c r="AU69" s="4">
        <f t="shared" si="153"/>
        <v>0.01</v>
      </c>
      <c r="AV69" s="4">
        <v>2.08</v>
      </c>
      <c r="AW69" s="4">
        <v>4.3</v>
      </c>
      <c r="AX69" s="4">
        <v>28.0</v>
      </c>
      <c r="AY69" s="4">
        <v>36.0</v>
      </c>
      <c r="AZ69" s="4"/>
      <c r="BA69" s="4">
        <v>20.0</v>
      </c>
      <c r="BB69" s="4">
        <v>5.0</v>
      </c>
      <c r="BC69" s="4"/>
      <c r="BD69" s="4"/>
      <c r="BE69" s="4">
        <v>4.0</v>
      </c>
      <c r="BF69" s="4">
        <f t="shared" si="55"/>
        <v>0.5</v>
      </c>
      <c r="BG69" s="4">
        <f t="shared" ref="BG69:BG71" si="172">0.5*20</f>
        <v>10</v>
      </c>
      <c r="BH69" s="4">
        <f t="shared" si="57"/>
        <v>0.5</v>
      </c>
      <c r="BI69" s="4">
        <f t="shared" ref="BI69:BI76" si="173">0.5*20</f>
        <v>10</v>
      </c>
      <c r="BJ69" s="4">
        <f t="shared" si="59"/>
        <v>0.5</v>
      </c>
      <c r="BK69" s="4">
        <v>34.0</v>
      </c>
      <c r="BL69" s="4">
        <f t="shared" ref="BL69:BM69" si="170">0.5*1</f>
        <v>0.5</v>
      </c>
      <c r="BM69" s="4">
        <f t="shared" si="170"/>
        <v>0.5</v>
      </c>
      <c r="BN69" s="4">
        <v>48.0</v>
      </c>
      <c r="BO69" s="4">
        <f t="shared" ref="BO69:BR69" si="171">0.5*1</f>
        <v>0.5</v>
      </c>
      <c r="BP69" s="4">
        <f t="shared" si="171"/>
        <v>0.5</v>
      </c>
      <c r="BQ69" s="4">
        <f t="shared" si="171"/>
        <v>0.5</v>
      </c>
      <c r="BR69" s="4">
        <f t="shared" si="171"/>
        <v>0.5</v>
      </c>
      <c r="BS69" s="4">
        <f t="shared" si="51"/>
        <v>0.02</v>
      </c>
      <c r="BT69" s="4">
        <v>210.0</v>
      </c>
      <c r="BU69" s="4">
        <v>644.0</v>
      </c>
      <c r="BV69" s="4">
        <f t="shared" si="108"/>
        <v>0.5</v>
      </c>
      <c r="BW69" s="4">
        <v>30.0</v>
      </c>
      <c r="BX69" s="4">
        <v>2068.0</v>
      </c>
      <c r="BY69" s="4">
        <v>130.0</v>
      </c>
      <c r="BZ69" s="4">
        <v>110.0</v>
      </c>
      <c r="CA69" s="4">
        <v>1196.0</v>
      </c>
      <c r="CB69" s="4">
        <v>35.0</v>
      </c>
      <c r="CC69" s="4">
        <f>0.5*20</f>
        <v>10</v>
      </c>
      <c r="CD69" s="4">
        <v>126.0</v>
      </c>
      <c r="CE69" s="4">
        <f t="shared" ref="CE69:CE71" si="177">0.5*20</f>
        <v>10</v>
      </c>
      <c r="CF69" s="4">
        <v>0.208</v>
      </c>
      <c r="CG69" s="4">
        <v>144818.0</v>
      </c>
      <c r="CH69" s="4">
        <v>507.0</v>
      </c>
      <c r="CI69" s="4">
        <v>23.0</v>
      </c>
      <c r="CJ69" s="4">
        <f t="shared" si="157"/>
        <v>0.001</v>
      </c>
      <c r="CK69" s="4"/>
      <c r="CL69" s="4">
        <v>0.004</v>
      </c>
      <c r="CM69" s="4">
        <f t="shared" si="168"/>
        <v>0.0005</v>
      </c>
      <c r="CN69" s="4">
        <f t="shared" si="164"/>
        <v>0.025</v>
      </c>
      <c r="CO69" s="4"/>
      <c r="CP69" s="4">
        <v>3.69</v>
      </c>
      <c r="CQ69" s="4">
        <v>184.3</v>
      </c>
      <c r="CR69" s="4">
        <v>19.31</v>
      </c>
      <c r="CS69" s="4">
        <v>5.62</v>
      </c>
      <c r="CT69" s="4"/>
      <c r="CU69" s="4"/>
      <c r="CV69" s="4"/>
      <c r="CW69" s="4">
        <v>17.66</v>
      </c>
      <c r="CX69" s="4">
        <v>4.82</v>
      </c>
      <c r="CY69" s="4">
        <v>23215.28</v>
      </c>
      <c r="CZ69" s="4">
        <v>326.54</v>
      </c>
      <c r="DA69" s="4">
        <v>0.03</v>
      </c>
      <c r="DB69" s="4">
        <v>20.87</v>
      </c>
      <c r="DC69" s="4"/>
    </row>
    <row r="70">
      <c r="A70" s="4" t="s">
        <v>273</v>
      </c>
      <c r="B70" s="4" t="s">
        <v>274</v>
      </c>
      <c r="C70" s="5" t="s">
        <v>428</v>
      </c>
      <c r="D70" s="5" t="s">
        <v>429</v>
      </c>
      <c r="E70" s="4" t="s">
        <v>388</v>
      </c>
      <c r="F70" s="4" t="s">
        <v>326</v>
      </c>
      <c r="G70" s="4" t="s">
        <v>113</v>
      </c>
      <c r="H70" s="4" t="s">
        <v>277</v>
      </c>
      <c r="I70" s="4" t="s">
        <v>278</v>
      </c>
      <c r="J70" s="4" t="s">
        <v>430</v>
      </c>
      <c r="K70" s="4" t="s">
        <v>431</v>
      </c>
      <c r="L70" s="4">
        <v>-19.5977</v>
      </c>
      <c r="M70" s="4">
        <v>-65.7313</v>
      </c>
      <c r="N70" s="4">
        <v>0.091</v>
      </c>
      <c r="O70" s="4">
        <v>0.0</v>
      </c>
      <c r="P70" s="4">
        <v>3350.0</v>
      </c>
      <c r="Q70" s="4">
        <v>121.8</v>
      </c>
      <c r="R70" s="4">
        <v>8.974</v>
      </c>
      <c r="S70" s="4">
        <v>-124.8</v>
      </c>
      <c r="T70" s="4">
        <v>299.0</v>
      </c>
      <c r="U70" s="4">
        <v>0.1</v>
      </c>
      <c r="V70" s="4">
        <v>16.7</v>
      </c>
      <c r="W70" s="4">
        <v>5.67</v>
      </c>
      <c r="X70" s="4">
        <v>98.3</v>
      </c>
      <c r="Y70" s="4">
        <v>17.5</v>
      </c>
      <c r="Z70" s="4">
        <v>423.0</v>
      </c>
      <c r="AA70" s="4">
        <v>182.0</v>
      </c>
      <c r="AB70" s="4">
        <v>241.0</v>
      </c>
      <c r="AC70" s="4">
        <v>21.0</v>
      </c>
      <c r="AD70" s="4">
        <v>88.3</v>
      </c>
      <c r="AE70" s="4">
        <f t="shared" si="165"/>
        <v>2.5</v>
      </c>
      <c r="AF70" s="4">
        <v>90.0</v>
      </c>
      <c r="AG70" s="4">
        <v>8.6</v>
      </c>
      <c r="AH70" s="4">
        <v>59.1</v>
      </c>
      <c r="AI70" s="4">
        <v>30.4</v>
      </c>
      <c r="AJ70" s="4">
        <v>3.0</v>
      </c>
      <c r="AK70" s="4">
        <v>18.2</v>
      </c>
      <c r="AL70" s="4">
        <v>2.9</v>
      </c>
      <c r="AM70" s="4">
        <v>30.57</v>
      </c>
      <c r="AN70" s="4">
        <v>3.06</v>
      </c>
      <c r="AO70" s="4">
        <v>21.5</v>
      </c>
      <c r="AP70" s="4">
        <v>2.9</v>
      </c>
      <c r="AQ70" s="4"/>
      <c r="AR70" s="4">
        <v>0.09</v>
      </c>
      <c r="AS70" s="4">
        <v>0.06</v>
      </c>
      <c r="AT70" s="4">
        <v>0.13</v>
      </c>
      <c r="AU70" s="4">
        <f t="shared" si="153"/>
        <v>0.01</v>
      </c>
      <c r="AV70" s="4">
        <v>1.84</v>
      </c>
      <c r="AW70" s="4">
        <v>4.3</v>
      </c>
      <c r="AX70" s="4">
        <v>17.0</v>
      </c>
      <c r="AY70" s="4">
        <v>37.0</v>
      </c>
      <c r="AZ70" s="4"/>
      <c r="BA70" s="4">
        <v>10.0</v>
      </c>
      <c r="BB70" s="4">
        <v>0.0</v>
      </c>
      <c r="BC70" s="4"/>
      <c r="BD70" s="4"/>
      <c r="BE70" s="4">
        <v>26.0</v>
      </c>
      <c r="BF70" s="4">
        <f t="shared" si="55"/>
        <v>0.5</v>
      </c>
      <c r="BG70" s="4">
        <f t="shared" si="172"/>
        <v>10</v>
      </c>
      <c r="BH70" s="4">
        <f t="shared" si="57"/>
        <v>0.5</v>
      </c>
      <c r="BI70" s="4">
        <f t="shared" si="173"/>
        <v>10</v>
      </c>
      <c r="BJ70" s="4">
        <f t="shared" si="59"/>
        <v>0.5</v>
      </c>
      <c r="BK70" s="4">
        <v>266.0</v>
      </c>
      <c r="BL70" s="4">
        <f t="shared" ref="BL70:BM70" si="174">0.5*1</f>
        <v>0.5</v>
      </c>
      <c r="BM70" s="4">
        <f t="shared" si="174"/>
        <v>0.5</v>
      </c>
      <c r="BN70" s="4">
        <v>83.0</v>
      </c>
      <c r="BO70" s="4">
        <v>2.0</v>
      </c>
      <c r="BP70" s="4">
        <f t="shared" ref="BP70:BR70" si="175">0.5*1</f>
        <v>0.5</v>
      </c>
      <c r="BQ70" s="4">
        <f t="shared" si="175"/>
        <v>0.5</v>
      </c>
      <c r="BR70" s="4">
        <f t="shared" si="175"/>
        <v>0.5</v>
      </c>
      <c r="BS70" s="4">
        <f t="shared" si="51"/>
        <v>0.02</v>
      </c>
      <c r="BT70" s="4">
        <v>507.0</v>
      </c>
      <c r="BU70" s="4">
        <v>161.0</v>
      </c>
      <c r="BV70" s="4">
        <f t="shared" si="108"/>
        <v>0.5</v>
      </c>
      <c r="BW70" s="4">
        <f t="shared" ref="BW70:BW72" si="179">0.5*20</f>
        <v>10</v>
      </c>
      <c r="BX70" s="4">
        <v>280.0</v>
      </c>
      <c r="BY70" s="4">
        <f>0.5*20</f>
        <v>10</v>
      </c>
      <c r="BZ70" s="4">
        <v>35.0</v>
      </c>
      <c r="CA70" s="4">
        <v>105.0</v>
      </c>
      <c r="CB70" s="4">
        <f t="shared" ref="CB70:CC70" si="176">0.5*20</f>
        <v>10</v>
      </c>
      <c r="CC70" s="4">
        <f t="shared" si="176"/>
        <v>10</v>
      </c>
      <c r="CD70" s="4">
        <v>27.0</v>
      </c>
      <c r="CE70" s="4">
        <f t="shared" si="177"/>
        <v>10</v>
      </c>
      <c r="CF70" s="4">
        <f>0.5*0.1</f>
        <v>0.05</v>
      </c>
      <c r="CG70" s="4">
        <v>1532.0</v>
      </c>
      <c r="CH70" s="4">
        <v>165.0</v>
      </c>
      <c r="CI70" s="4">
        <v>27.0</v>
      </c>
      <c r="CJ70" s="4">
        <f t="shared" si="157"/>
        <v>0.001</v>
      </c>
      <c r="CK70" s="4"/>
      <c r="CL70" s="4">
        <v>0.002</v>
      </c>
      <c r="CM70" s="4"/>
      <c r="CN70" s="4"/>
      <c r="CO70" s="4"/>
      <c r="CP70" s="4">
        <v>112.03</v>
      </c>
      <c r="CQ70" s="4">
        <v>91.29</v>
      </c>
      <c r="CR70" s="4">
        <v>100.0</v>
      </c>
      <c r="CS70" s="4"/>
      <c r="CT70" s="4"/>
      <c r="CU70" s="4">
        <v>16.6</v>
      </c>
      <c r="CV70" s="4"/>
      <c r="CW70" s="4">
        <v>145.23</v>
      </c>
      <c r="CX70" s="4"/>
      <c r="CY70" s="4">
        <v>4253.11</v>
      </c>
      <c r="CZ70" s="4">
        <v>58.09</v>
      </c>
      <c r="DA70" s="4"/>
      <c r="DB70" s="4"/>
      <c r="DC70" s="4"/>
    </row>
    <row r="71">
      <c r="A71" s="4" t="s">
        <v>281</v>
      </c>
      <c r="B71" s="4" t="s">
        <v>282</v>
      </c>
      <c r="C71" s="5" t="s">
        <v>428</v>
      </c>
      <c r="D71" s="5" t="s">
        <v>432</v>
      </c>
      <c r="E71" s="4" t="s">
        <v>388</v>
      </c>
      <c r="F71" s="4" t="s">
        <v>326</v>
      </c>
      <c r="G71" s="4" t="s">
        <v>113</v>
      </c>
      <c r="H71" s="4" t="s">
        <v>281</v>
      </c>
      <c r="I71" s="4" t="s">
        <v>278</v>
      </c>
      <c r="J71" s="4" t="s">
        <v>433</v>
      </c>
      <c r="K71" s="4" t="s">
        <v>434</v>
      </c>
      <c r="L71" s="4">
        <v>-19.4719</v>
      </c>
      <c r="M71" s="4">
        <v>-65.7935</v>
      </c>
      <c r="N71" s="4">
        <v>1.56</v>
      </c>
      <c r="O71" s="4">
        <v>7.0</v>
      </c>
      <c r="P71" s="4">
        <v>1868.0</v>
      </c>
      <c r="Q71" s="4">
        <v>137.2</v>
      </c>
      <c r="R71" s="4">
        <v>7.604</v>
      </c>
      <c r="S71" s="4">
        <v>-46.4</v>
      </c>
      <c r="T71" s="4">
        <v>535.0</v>
      </c>
      <c r="U71" s="4">
        <v>0.2</v>
      </c>
      <c r="V71" s="4">
        <v>15.3</v>
      </c>
      <c r="W71" s="4">
        <v>6.57</v>
      </c>
      <c r="X71" s="4">
        <v>98.1</v>
      </c>
      <c r="Y71" s="4">
        <v>931.0</v>
      </c>
      <c r="Z71" s="4">
        <v>1358.0</v>
      </c>
      <c r="AA71" s="4">
        <v>350.0</v>
      </c>
      <c r="AB71" s="4">
        <v>1008.0</v>
      </c>
      <c r="AC71" s="4">
        <v>5.0</v>
      </c>
      <c r="AD71" s="4">
        <v>152.1</v>
      </c>
      <c r="AE71" s="4">
        <f t="shared" si="165"/>
        <v>2.5</v>
      </c>
      <c r="AF71" s="4">
        <v>15.0</v>
      </c>
      <c r="AG71" s="4">
        <v>23.0</v>
      </c>
      <c r="AH71" s="4">
        <v>237.3</v>
      </c>
      <c r="AI71" s="4">
        <v>47.1</v>
      </c>
      <c r="AJ71" s="4">
        <v>8.38</v>
      </c>
      <c r="AK71" s="4">
        <v>31.1</v>
      </c>
      <c r="AL71" s="4">
        <v>4.6</v>
      </c>
      <c r="AM71" s="4">
        <v>48.81</v>
      </c>
      <c r="AN71" s="4">
        <v>8.53</v>
      </c>
      <c r="AO71" s="4">
        <v>34.2</v>
      </c>
      <c r="AP71" s="4">
        <v>4.7</v>
      </c>
      <c r="AQ71" s="4"/>
      <c r="AR71" s="4">
        <v>0.09</v>
      </c>
      <c r="AS71" s="4">
        <v>0.06</v>
      </c>
      <c r="AT71" s="4">
        <v>3.41</v>
      </c>
      <c r="AU71" s="4">
        <f t="shared" si="153"/>
        <v>0.01</v>
      </c>
      <c r="AV71" s="4">
        <v>5.39</v>
      </c>
      <c r="AW71" s="4">
        <v>2.9</v>
      </c>
      <c r="AX71" s="4">
        <v>25.0</v>
      </c>
      <c r="AY71" s="4">
        <v>34.0</v>
      </c>
      <c r="AZ71" s="4"/>
      <c r="BA71" s="4">
        <v>0.0</v>
      </c>
      <c r="BB71" s="4">
        <v>0.0</v>
      </c>
      <c r="BC71" s="4"/>
      <c r="BD71" s="4"/>
      <c r="BE71" s="4">
        <v>2.0</v>
      </c>
      <c r="BF71" s="4">
        <f t="shared" si="55"/>
        <v>0.5</v>
      </c>
      <c r="BG71" s="4">
        <f t="shared" si="172"/>
        <v>10</v>
      </c>
      <c r="BH71" s="4">
        <f t="shared" si="57"/>
        <v>0.5</v>
      </c>
      <c r="BI71" s="4">
        <f t="shared" si="173"/>
        <v>10</v>
      </c>
      <c r="BJ71" s="4">
        <f t="shared" si="59"/>
        <v>0.5</v>
      </c>
      <c r="BK71" s="4">
        <v>1081.0</v>
      </c>
      <c r="BL71" s="4">
        <v>10.0</v>
      </c>
      <c r="BM71" s="4">
        <v>3.0</v>
      </c>
      <c r="BN71" s="4">
        <v>5481.0</v>
      </c>
      <c r="BO71" s="4">
        <v>4.0</v>
      </c>
      <c r="BP71" s="4">
        <v>27.0</v>
      </c>
      <c r="BQ71" s="4">
        <f t="shared" ref="BQ71:BR71" si="178">0.5*1</f>
        <v>0.5</v>
      </c>
      <c r="BR71" s="4">
        <f t="shared" si="178"/>
        <v>0.5</v>
      </c>
      <c r="BS71" s="4">
        <f t="shared" si="51"/>
        <v>0.02</v>
      </c>
      <c r="BT71" s="4">
        <v>1027.0</v>
      </c>
      <c r="BU71" s="4">
        <v>152.0</v>
      </c>
      <c r="BV71" s="4">
        <f t="shared" si="108"/>
        <v>0.5</v>
      </c>
      <c r="BW71" s="4">
        <f t="shared" si="179"/>
        <v>10</v>
      </c>
      <c r="BX71" s="4">
        <v>1000.0</v>
      </c>
      <c r="BY71" s="4">
        <v>22.0</v>
      </c>
      <c r="BZ71" s="4">
        <v>141.0</v>
      </c>
      <c r="CA71" s="4">
        <v>5918.0</v>
      </c>
      <c r="CB71" s="4">
        <v>287.0</v>
      </c>
      <c r="CC71" s="4">
        <v>36.0</v>
      </c>
      <c r="CD71" s="4">
        <v>233.0</v>
      </c>
      <c r="CE71" s="4">
        <f t="shared" si="177"/>
        <v>10</v>
      </c>
      <c r="CF71" s="4">
        <v>0.94</v>
      </c>
      <c r="CG71" s="4">
        <v>24181.0</v>
      </c>
      <c r="CH71" s="4">
        <v>124.0</v>
      </c>
      <c r="CI71" s="4">
        <f t="shared" ref="CI71:CI73" si="181">0.5*20</f>
        <v>10</v>
      </c>
      <c r="CJ71" s="4">
        <f t="shared" si="157"/>
        <v>0.001</v>
      </c>
      <c r="CK71" s="4"/>
      <c r="CL71" s="4">
        <f t="shared" ref="CL71:CM71" si="180">0.5*0.001</f>
        <v>0.0005</v>
      </c>
      <c r="CM71" s="4">
        <f t="shared" si="180"/>
        <v>0.0005</v>
      </c>
      <c r="CN71" s="4">
        <f>0.5*0.05</f>
        <v>0.025</v>
      </c>
      <c r="CO71" s="4"/>
      <c r="CP71" s="4"/>
      <c r="CQ71" s="4">
        <v>433.53</v>
      </c>
      <c r="CR71" s="4">
        <v>226.59</v>
      </c>
      <c r="CS71" s="4">
        <v>280.75</v>
      </c>
      <c r="CT71" s="4"/>
      <c r="CU71" s="4"/>
      <c r="CV71" s="4">
        <v>8.93</v>
      </c>
      <c r="CW71" s="4">
        <v>136.9</v>
      </c>
      <c r="CX71" s="4"/>
      <c r="CY71" s="4">
        <v>22970.24</v>
      </c>
      <c r="CZ71" s="4"/>
      <c r="DA71" s="4">
        <v>0.93</v>
      </c>
      <c r="DB71" s="4">
        <v>11.9</v>
      </c>
      <c r="DC71" s="4"/>
    </row>
    <row r="72">
      <c r="A72" s="4" t="s">
        <v>286</v>
      </c>
      <c r="B72" s="4" t="s">
        <v>287</v>
      </c>
      <c r="C72" s="5" t="s">
        <v>428</v>
      </c>
      <c r="D72" s="5" t="s">
        <v>334</v>
      </c>
      <c r="E72" s="4" t="s">
        <v>388</v>
      </c>
      <c r="F72" s="4" t="s">
        <v>326</v>
      </c>
      <c r="G72" s="4" t="s">
        <v>113</v>
      </c>
      <c r="H72" s="4" t="s">
        <v>289</v>
      </c>
      <c r="I72" s="4" t="s">
        <v>278</v>
      </c>
      <c r="J72" s="4" t="s">
        <v>435</v>
      </c>
      <c r="K72" s="4" t="s">
        <v>436</v>
      </c>
      <c r="L72" s="4">
        <v>-19.5781</v>
      </c>
      <c r="M72" s="4">
        <v>-65.8034</v>
      </c>
      <c r="N72" s="4">
        <v>0.745</v>
      </c>
      <c r="O72" s="4">
        <v>1.0</v>
      </c>
      <c r="P72" s="4">
        <v>702.0</v>
      </c>
      <c r="Q72" s="4">
        <v>135.2</v>
      </c>
      <c r="R72" s="4">
        <v>5.173</v>
      </c>
      <c r="S72" s="4">
        <v>89.9</v>
      </c>
      <c r="T72" s="4">
        <v>1424.0</v>
      </c>
      <c r="U72" s="4">
        <v>0.7</v>
      </c>
      <c r="V72" s="4">
        <v>13.4</v>
      </c>
      <c r="W72" s="4">
        <v>6.73</v>
      </c>
      <c r="X72" s="4">
        <v>99.1</v>
      </c>
      <c r="Y72" s="4">
        <v>964.0</v>
      </c>
      <c r="Z72" s="4">
        <v>2448.0</v>
      </c>
      <c r="AA72" s="4">
        <v>1250.0</v>
      </c>
      <c r="AB72" s="4">
        <v>1198.0</v>
      </c>
      <c r="AC72" s="4">
        <v>7.0</v>
      </c>
      <c r="AD72" s="4">
        <v>298.5</v>
      </c>
      <c r="AE72" s="4">
        <f t="shared" si="165"/>
        <v>2.5</v>
      </c>
      <c r="AF72" s="4">
        <f>0.5*5</f>
        <v>2.5</v>
      </c>
      <c r="AG72" s="4">
        <v>80.2</v>
      </c>
      <c r="AH72" s="4">
        <v>777.0</v>
      </c>
      <c r="AI72" s="4">
        <v>80.12</v>
      </c>
      <c r="AJ72" s="4">
        <v>23.9</v>
      </c>
      <c r="AK72" s="4">
        <v>83.5</v>
      </c>
      <c r="AL72" s="4">
        <v>15.3</v>
      </c>
      <c r="AM72" s="4">
        <v>81.0</v>
      </c>
      <c r="AN72" s="4">
        <v>24.48</v>
      </c>
      <c r="AO72" s="4">
        <v>85.7</v>
      </c>
      <c r="AP72" s="4">
        <v>15.8</v>
      </c>
      <c r="AQ72" s="4"/>
      <c r="AR72" s="4">
        <v>0.09</v>
      </c>
      <c r="AS72" s="4">
        <v>0.06</v>
      </c>
      <c r="AT72" s="4">
        <v>5.86</v>
      </c>
      <c r="AU72" s="4">
        <f t="shared" si="153"/>
        <v>0.01</v>
      </c>
      <c r="AV72" s="4">
        <v>10.35</v>
      </c>
      <c r="AW72" s="4">
        <v>6.6</v>
      </c>
      <c r="AX72" s="4">
        <v>45.0</v>
      </c>
      <c r="AY72" s="4">
        <v>60.0</v>
      </c>
      <c r="AZ72" s="4"/>
      <c r="BA72" s="4">
        <v>0.0</v>
      </c>
      <c r="BB72" s="4">
        <v>0.0</v>
      </c>
      <c r="BC72" s="4"/>
      <c r="BD72" s="4"/>
      <c r="BE72" s="4">
        <v>0.0</v>
      </c>
      <c r="BF72" s="4">
        <f t="shared" si="55"/>
        <v>0.5</v>
      </c>
      <c r="BG72" s="4">
        <v>28.0</v>
      </c>
      <c r="BH72" s="4">
        <f t="shared" si="57"/>
        <v>0.5</v>
      </c>
      <c r="BI72" s="4">
        <f t="shared" si="173"/>
        <v>10</v>
      </c>
      <c r="BJ72" s="4">
        <f t="shared" si="59"/>
        <v>0.5</v>
      </c>
      <c r="BK72" s="4">
        <v>4678.0</v>
      </c>
      <c r="BL72" s="4">
        <v>67.0</v>
      </c>
      <c r="BM72" s="4">
        <v>930.0</v>
      </c>
      <c r="BN72" s="4">
        <v>44190.0</v>
      </c>
      <c r="BO72" s="4">
        <v>24.0</v>
      </c>
      <c r="BP72" s="4">
        <v>264.0</v>
      </c>
      <c r="BQ72" s="4">
        <v>8.0</v>
      </c>
      <c r="BR72" s="4">
        <f>0.5*1</f>
        <v>0.5</v>
      </c>
      <c r="BS72" s="4">
        <f t="shared" si="51"/>
        <v>0.02</v>
      </c>
      <c r="BT72" s="4">
        <v>32265.0</v>
      </c>
      <c r="BU72" s="4">
        <v>354.0</v>
      </c>
      <c r="BV72" s="4">
        <f t="shared" si="108"/>
        <v>0.5</v>
      </c>
      <c r="BW72" s="4">
        <f t="shared" si="179"/>
        <v>10</v>
      </c>
      <c r="BX72" s="4">
        <v>3846.0</v>
      </c>
      <c r="BY72" s="4">
        <v>66.0</v>
      </c>
      <c r="BZ72" s="4">
        <v>1001.0</v>
      </c>
      <c r="CA72" s="4">
        <v>40541.0</v>
      </c>
      <c r="CB72" s="4">
        <v>1198.0</v>
      </c>
      <c r="CC72" s="4">
        <v>194.0</v>
      </c>
      <c r="CD72" s="4">
        <v>552.0</v>
      </c>
      <c r="CE72" s="4">
        <v>30.0</v>
      </c>
      <c r="CF72" s="4">
        <v>3.094</v>
      </c>
      <c r="CG72" s="4">
        <v>78196.0</v>
      </c>
      <c r="CH72" s="4">
        <v>366.0</v>
      </c>
      <c r="CI72" s="4">
        <f t="shared" si="181"/>
        <v>10</v>
      </c>
      <c r="CJ72" s="4">
        <f t="shared" si="157"/>
        <v>0.001</v>
      </c>
      <c r="CK72" s="4"/>
      <c r="CL72" s="4">
        <v>0.01</v>
      </c>
      <c r="CM72" s="4">
        <f t="shared" ref="CM72:CM74" si="183">0.5*0.001</f>
        <v>0.0005</v>
      </c>
      <c r="CN72" s="4">
        <v>0.29</v>
      </c>
      <c r="CO72" s="4"/>
      <c r="CP72" s="4"/>
      <c r="CQ72" s="4"/>
      <c r="CR72" s="4">
        <v>448.0</v>
      </c>
      <c r="CS72" s="4">
        <v>979.97</v>
      </c>
      <c r="CT72" s="4">
        <v>23.37</v>
      </c>
      <c r="CU72" s="4">
        <v>10.02</v>
      </c>
      <c r="CV72" s="4"/>
      <c r="CW72" s="4">
        <v>59.27</v>
      </c>
      <c r="CX72" s="4"/>
      <c r="CY72" s="4">
        <v>38339.73</v>
      </c>
      <c r="CZ72" s="4"/>
      <c r="DA72" s="4">
        <v>2.58</v>
      </c>
      <c r="DB72" s="4"/>
      <c r="DC72" s="4">
        <v>25.04</v>
      </c>
    </row>
    <row r="73">
      <c r="A73" s="4" t="s">
        <v>292</v>
      </c>
      <c r="B73" s="4" t="s">
        <v>293</v>
      </c>
      <c r="C73" s="5" t="s">
        <v>437</v>
      </c>
      <c r="D73" s="5" t="s">
        <v>438</v>
      </c>
      <c r="E73" s="4" t="s">
        <v>388</v>
      </c>
      <c r="F73" s="4" t="s">
        <v>326</v>
      </c>
      <c r="G73" s="4" t="s">
        <v>113</v>
      </c>
      <c r="H73" s="4" t="s">
        <v>296</v>
      </c>
      <c r="J73" s="4" t="s">
        <v>439</v>
      </c>
      <c r="K73" s="4" t="s">
        <v>440</v>
      </c>
      <c r="L73" s="4">
        <v>-19.1322</v>
      </c>
      <c r="M73" s="4">
        <v>-65.57</v>
      </c>
      <c r="N73" s="4">
        <v>0.698</v>
      </c>
      <c r="O73" s="4">
        <v>1.0</v>
      </c>
      <c r="P73" s="4">
        <v>2130.0</v>
      </c>
      <c r="Q73" s="4">
        <v>145.9</v>
      </c>
      <c r="R73" s="4">
        <v>8.529</v>
      </c>
      <c r="S73" s="4">
        <v>-101.4</v>
      </c>
      <c r="T73" s="4">
        <v>469.0</v>
      </c>
      <c r="U73" s="4">
        <v>0.1</v>
      </c>
      <c r="V73" s="4">
        <v>24.3</v>
      </c>
      <c r="W73" s="4">
        <v>5.94</v>
      </c>
      <c r="X73" s="4">
        <v>99.7</v>
      </c>
      <c r="Y73" s="4">
        <f t="shared" ref="Y73:Y74" si="184">1.5*1100</f>
        <v>1650</v>
      </c>
      <c r="Z73" s="4">
        <v>9916.0</v>
      </c>
      <c r="AA73" s="4">
        <v>340.0</v>
      </c>
      <c r="AB73" s="4">
        <v>9576.0</v>
      </c>
      <c r="AC73" s="4">
        <v>3.0</v>
      </c>
      <c r="AD73" s="4">
        <v>180.0</v>
      </c>
      <c r="AE73" s="4">
        <f t="shared" si="165"/>
        <v>2.5</v>
      </c>
      <c r="AF73" s="4">
        <v>95.0</v>
      </c>
      <c r="AG73" s="4">
        <v>4.3</v>
      </c>
      <c r="AH73" s="4">
        <v>169.9</v>
      </c>
      <c r="AI73" s="4">
        <v>28.84</v>
      </c>
      <c r="AJ73" s="4">
        <v>26.22</v>
      </c>
      <c r="AK73" s="4">
        <v>25.1</v>
      </c>
      <c r="AL73" s="4">
        <v>5.6</v>
      </c>
      <c r="AM73" s="4">
        <v>28.94</v>
      </c>
      <c r="AN73" s="4">
        <v>26.51</v>
      </c>
      <c r="AO73" s="4">
        <v>25.3</v>
      </c>
      <c r="AP73" s="4">
        <v>6.6</v>
      </c>
      <c r="AQ73" s="4"/>
      <c r="AR73" s="4">
        <v>0.09</v>
      </c>
      <c r="AS73" s="4">
        <v>0.03</v>
      </c>
      <c r="AT73" s="4">
        <v>1.8</v>
      </c>
      <c r="AU73" s="4">
        <f t="shared" si="153"/>
        <v>0.01</v>
      </c>
      <c r="AV73" s="4">
        <v>2.2</v>
      </c>
      <c r="AW73" s="4">
        <v>1.5</v>
      </c>
      <c r="AX73" s="4">
        <v>19.0</v>
      </c>
      <c r="AY73" s="4">
        <v>23.0</v>
      </c>
      <c r="AZ73" s="4"/>
      <c r="BA73" s="4">
        <v>0.0</v>
      </c>
      <c r="BB73" s="4">
        <v>0.0</v>
      </c>
      <c r="BC73" s="4"/>
      <c r="BD73" s="4"/>
      <c r="BE73" s="4">
        <v>0.0</v>
      </c>
      <c r="BF73" s="4">
        <f t="shared" si="55"/>
        <v>0.5</v>
      </c>
      <c r="BG73" s="4">
        <f t="shared" ref="BG73:BG76" si="185">0.5*20</f>
        <v>10</v>
      </c>
      <c r="BH73" s="4">
        <f t="shared" si="57"/>
        <v>0.5</v>
      </c>
      <c r="BI73" s="4">
        <f t="shared" si="173"/>
        <v>10</v>
      </c>
      <c r="BJ73" s="4">
        <f t="shared" si="59"/>
        <v>0.5</v>
      </c>
      <c r="BK73" s="4">
        <v>60.0</v>
      </c>
      <c r="BL73" s="4">
        <f t="shared" ref="BL73:BR73" si="182">0.5*1</f>
        <v>0.5</v>
      </c>
      <c r="BM73" s="4">
        <f t="shared" si="182"/>
        <v>0.5</v>
      </c>
      <c r="BN73" s="4">
        <f t="shared" si="182"/>
        <v>0.5</v>
      </c>
      <c r="BO73" s="4">
        <f t="shared" si="182"/>
        <v>0.5</v>
      </c>
      <c r="BP73" s="4">
        <f t="shared" si="182"/>
        <v>0.5</v>
      </c>
      <c r="BQ73" s="4">
        <f t="shared" si="182"/>
        <v>0.5</v>
      </c>
      <c r="BR73" s="4">
        <f t="shared" si="182"/>
        <v>0.5</v>
      </c>
      <c r="BS73" s="4">
        <f t="shared" si="51"/>
        <v>0.02</v>
      </c>
      <c r="BT73" s="4">
        <v>174.0</v>
      </c>
      <c r="BU73" s="4">
        <v>50.0</v>
      </c>
      <c r="BV73" s="4">
        <f t="shared" si="108"/>
        <v>0.5</v>
      </c>
      <c r="BW73" s="4">
        <v>85.0</v>
      </c>
      <c r="BX73" s="4">
        <v>4361.0</v>
      </c>
      <c r="BY73" s="4">
        <v>149.0</v>
      </c>
      <c r="BZ73" s="4">
        <v>168.0</v>
      </c>
      <c r="CA73" s="4">
        <v>420.0</v>
      </c>
      <c r="CB73" s="4">
        <v>54.0</v>
      </c>
      <c r="CC73" s="4">
        <f t="shared" ref="CC73:CC76" si="188">0.5*20</f>
        <v>10</v>
      </c>
      <c r="CD73" s="4">
        <v>115.0</v>
      </c>
      <c r="CE73" s="4">
        <f t="shared" ref="CE73:CE76" si="189">0.5*20</f>
        <v>10</v>
      </c>
      <c r="CF73" s="4">
        <v>0.769</v>
      </c>
      <c r="CG73" s="4">
        <v>185621.0</v>
      </c>
      <c r="CH73" s="4">
        <v>236.0</v>
      </c>
      <c r="CI73" s="4">
        <f t="shared" si="181"/>
        <v>10</v>
      </c>
      <c r="CJ73" s="4">
        <f t="shared" si="157"/>
        <v>0.001</v>
      </c>
      <c r="CK73" s="4"/>
      <c r="CL73" s="4">
        <v>0.003</v>
      </c>
      <c r="CM73" s="4">
        <f t="shared" si="183"/>
        <v>0.0005</v>
      </c>
      <c r="CN73" s="4">
        <f t="shared" ref="CN73:CN76" si="190">0.5*0.05</f>
        <v>0.025</v>
      </c>
      <c r="CO73" s="4"/>
      <c r="CP73" s="4"/>
      <c r="CQ73" s="4">
        <v>43.86</v>
      </c>
      <c r="CR73" s="4">
        <v>11.42</v>
      </c>
      <c r="CS73" s="4">
        <v>5.64</v>
      </c>
      <c r="CT73" s="4"/>
      <c r="CU73" s="4">
        <v>19.42</v>
      </c>
      <c r="CV73" s="4"/>
      <c r="CW73" s="4">
        <v>17.54</v>
      </c>
      <c r="CX73" s="4">
        <v>8.88</v>
      </c>
      <c r="CY73" s="4">
        <v>19365.81</v>
      </c>
      <c r="CZ73" s="4">
        <v>449.14</v>
      </c>
      <c r="DA73" s="4">
        <v>0.08</v>
      </c>
      <c r="DB73" s="4">
        <v>15.56</v>
      </c>
      <c r="DC73" s="4"/>
    </row>
    <row r="74">
      <c r="A74" s="4" t="s">
        <v>299</v>
      </c>
      <c r="B74" s="4" t="s">
        <v>300</v>
      </c>
      <c r="C74" s="5" t="s">
        <v>437</v>
      </c>
      <c r="D74" s="5" t="s">
        <v>373</v>
      </c>
      <c r="E74" s="4" t="s">
        <v>388</v>
      </c>
      <c r="F74" s="4" t="s">
        <v>326</v>
      </c>
      <c r="G74" s="4" t="s">
        <v>113</v>
      </c>
      <c r="H74" s="4" t="s">
        <v>114</v>
      </c>
      <c r="J74" s="4" t="s">
        <v>441</v>
      </c>
      <c r="K74" s="4" t="s">
        <v>442</v>
      </c>
      <c r="L74" s="4">
        <v>-19.1326</v>
      </c>
      <c r="M74" s="4">
        <v>-65.5718</v>
      </c>
      <c r="N74" s="4">
        <v>2.47</v>
      </c>
      <c r="O74" s="4">
        <v>79.0</v>
      </c>
      <c r="P74" s="4">
        <v>2230.0</v>
      </c>
      <c r="Q74" s="4">
        <v>149.1</v>
      </c>
      <c r="R74" s="4">
        <v>8.211</v>
      </c>
      <c r="S74" s="4">
        <v>-81.7</v>
      </c>
      <c r="T74" s="4">
        <v>445.0</v>
      </c>
      <c r="U74" s="4">
        <v>0.1</v>
      </c>
      <c r="V74" s="4">
        <v>20.1</v>
      </c>
      <c r="W74" s="4">
        <v>6.54</v>
      </c>
      <c r="X74" s="4">
        <v>100.9</v>
      </c>
      <c r="Y74" s="4">
        <f t="shared" si="184"/>
        <v>1650</v>
      </c>
      <c r="Z74" s="4">
        <v>4121.0</v>
      </c>
      <c r="AA74" s="4">
        <v>272.0</v>
      </c>
      <c r="AB74" s="4">
        <v>3849.0</v>
      </c>
      <c r="AC74" s="4">
        <v>16.0</v>
      </c>
      <c r="AD74" s="4">
        <v>114.4</v>
      </c>
      <c r="AE74" s="4">
        <f t="shared" si="165"/>
        <v>2.5</v>
      </c>
      <c r="AF74" s="4">
        <v>75.0</v>
      </c>
      <c r="AG74" s="4">
        <v>38.3</v>
      </c>
      <c r="AH74" s="4">
        <v>90.9</v>
      </c>
      <c r="AI74" s="4">
        <v>26.53</v>
      </c>
      <c r="AJ74" s="4">
        <v>11.71</v>
      </c>
      <c r="AK74" s="4">
        <v>33.3</v>
      </c>
      <c r="AL74" s="4">
        <v>5.5</v>
      </c>
      <c r="AM74" s="4">
        <v>26.8</v>
      </c>
      <c r="AN74" s="4">
        <v>11.72</v>
      </c>
      <c r="AO74" s="4">
        <v>33.6</v>
      </c>
      <c r="AP74" s="4">
        <v>6.3</v>
      </c>
      <c r="AQ74" s="4"/>
      <c r="AR74" s="4">
        <v>0.18</v>
      </c>
      <c r="AS74" s="4">
        <v>0.06</v>
      </c>
      <c r="AT74" s="4">
        <v>0.3</v>
      </c>
      <c r="AU74" s="4">
        <f t="shared" si="153"/>
        <v>0.01</v>
      </c>
      <c r="AV74" s="4">
        <v>3.73</v>
      </c>
      <c r="AW74" s="4">
        <v>2.2</v>
      </c>
      <c r="AX74" s="4">
        <v>19.0</v>
      </c>
      <c r="AY74" s="4">
        <v>24.0</v>
      </c>
      <c r="AZ74" s="4"/>
      <c r="BA74" s="4">
        <v>6.0</v>
      </c>
      <c r="BB74" s="4">
        <v>2.0</v>
      </c>
      <c r="BC74" s="4"/>
      <c r="BD74" s="4"/>
      <c r="BE74" s="4">
        <v>0.0</v>
      </c>
      <c r="BF74" s="4">
        <f t="shared" si="55"/>
        <v>0.5</v>
      </c>
      <c r="BG74" s="4">
        <f t="shared" si="185"/>
        <v>10</v>
      </c>
      <c r="BH74" s="4">
        <f t="shared" si="57"/>
        <v>0.5</v>
      </c>
      <c r="BI74" s="4">
        <f t="shared" si="173"/>
        <v>10</v>
      </c>
      <c r="BJ74" s="4">
        <f t="shared" si="59"/>
        <v>0.5</v>
      </c>
      <c r="BK74" s="4">
        <v>36.0</v>
      </c>
      <c r="BL74" s="4">
        <f t="shared" ref="BL74:BM74" si="186">0.5*1</f>
        <v>0.5</v>
      </c>
      <c r="BM74" s="4">
        <f t="shared" si="186"/>
        <v>0.5</v>
      </c>
      <c r="BN74" s="4">
        <v>3.0</v>
      </c>
      <c r="BO74" s="4">
        <v>4.0</v>
      </c>
      <c r="BP74" s="4">
        <f t="shared" ref="BP74:BR74" si="187">0.5*1</f>
        <v>0.5</v>
      </c>
      <c r="BQ74" s="4">
        <f t="shared" si="187"/>
        <v>0.5</v>
      </c>
      <c r="BR74" s="4">
        <f t="shared" si="187"/>
        <v>0.5</v>
      </c>
      <c r="BS74" s="4">
        <f t="shared" si="51"/>
        <v>0.02</v>
      </c>
      <c r="BT74" s="4">
        <v>148.0</v>
      </c>
      <c r="BU74" s="4">
        <v>224.0</v>
      </c>
      <c r="BV74" s="4">
        <f t="shared" si="108"/>
        <v>0.5</v>
      </c>
      <c r="BW74" s="4">
        <v>31.0</v>
      </c>
      <c r="BX74" s="4">
        <v>1994.0</v>
      </c>
      <c r="BY74" s="4">
        <v>72.0</v>
      </c>
      <c r="BZ74" s="4">
        <v>94.0</v>
      </c>
      <c r="CA74" s="4">
        <v>834.0</v>
      </c>
      <c r="CB74" s="4">
        <v>90.0</v>
      </c>
      <c r="CC74" s="4">
        <f t="shared" si="188"/>
        <v>10</v>
      </c>
      <c r="CD74" s="4">
        <v>95.0</v>
      </c>
      <c r="CE74" s="4">
        <f t="shared" si="189"/>
        <v>10</v>
      </c>
      <c r="CF74" s="4">
        <f t="shared" ref="CF74:CF75" si="191">0.5*0.1</f>
        <v>0.05</v>
      </c>
      <c r="CG74" s="4">
        <v>94816.0</v>
      </c>
      <c r="CH74" s="4">
        <v>316.0</v>
      </c>
      <c r="CI74" s="4">
        <v>28.0</v>
      </c>
      <c r="CJ74" s="4">
        <f t="shared" si="157"/>
        <v>0.001</v>
      </c>
      <c r="CK74" s="4"/>
      <c r="CL74" s="4">
        <v>0.003</v>
      </c>
      <c r="CM74" s="4">
        <f t="shared" si="183"/>
        <v>0.0005</v>
      </c>
      <c r="CN74" s="4">
        <f t="shared" si="190"/>
        <v>0.025</v>
      </c>
      <c r="CO74" s="4"/>
      <c r="CP74" s="4">
        <v>7.27</v>
      </c>
      <c r="CQ74" s="4">
        <v>215.9</v>
      </c>
      <c r="CR74" s="4">
        <v>23.25</v>
      </c>
      <c r="CS74" s="4">
        <v>22.34</v>
      </c>
      <c r="CT74" s="4"/>
      <c r="CU74" s="4">
        <v>23.9</v>
      </c>
      <c r="CV74" s="4"/>
      <c r="CW74" s="4">
        <v>24.42</v>
      </c>
      <c r="CX74" s="4">
        <v>8.05</v>
      </c>
      <c r="CY74" s="4">
        <v>24595.48</v>
      </c>
      <c r="CZ74" s="4">
        <v>508.7</v>
      </c>
      <c r="DA74" s="4"/>
      <c r="DB74" s="4">
        <v>18.71</v>
      </c>
      <c r="DC74" s="4"/>
    </row>
    <row r="75">
      <c r="A75" s="4" t="s">
        <v>304</v>
      </c>
      <c r="B75" s="4" t="s">
        <v>305</v>
      </c>
      <c r="C75" s="5" t="s">
        <v>443</v>
      </c>
      <c r="D75" s="5" t="s">
        <v>444</v>
      </c>
      <c r="E75" s="4" t="s">
        <v>388</v>
      </c>
      <c r="F75" s="4" t="s">
        <v>326</v>
      </c>
      <c r="G75" s="4" t="s">
        <v>113</v>
      </c>
      <c r="H75" s="4" t="s">
        <v>308</v>
      </c>
      <c r="I75" s="4" t="s">
        <v>278</v>
      </c>
      <c r="J75" s="4" t="s">
        <v>445</v>
      </c>
      <c r="K75" s="4" t="s">
        <v>446</v>
      </c>
      <c r="L75" s="4">
        <v>-19.3216</v>
      </c>
      <c r="M75" s="4">
        <v>-65.5521</v>
      </c>
      <c r="N75" s="4">
        <v>0.474</v>
      </c>
      <c r="O75" s="4">
        <v>0.0</v>
      </c>
      <c r="P75" s="4">
        <v>2120.0</v>
      </c>
      <c r="Q75" s="4">
        <v>134.8</v>
      </c>
      <c r="R75" s="4">
        <v>3.479</v>
      </c>
      <c r="S75" s="4">
        <v>183.7</v>
      </c>
      <c r="T75" s="4">
        <v>471.0</v>
      </c>
      <c r="U75" s="4">
        <v>0.0</v>
      </c>
      <c r="V75" s="4">
        <v>14.2</v>
      </c>
      <c r="W75" s="4">
        <v>6.61</v>
      </c>
      <c r="X75" s="4">
        <v>100.0</v>
      </c>
      <c r="Y75" s="4">
        <v>387.0</v>
      </c>
      <c r="Z75" s="4">
        <v>646.0</v>
      </c>
      <c r="AA75" s="4">
        <v>246.0</v>
      </c>
      <c r="AB75" s="4">
        <v>400.0</v>
      </c>
      <c r="AC75" s="4">
        <v>3.0</v>
      </c>
      <c r="AD75" s="4">
        <v>63.3</v>
      </c>
      <c r="AE75" s="4">
        <f t="shared" si="165"/>
        <v>2.5</v>
      </c>
      <c r="AF75" s="4">
        <f>0.5*5</f>
        <v>2.5</v>
      </c>
      <c r="AG75" s="4">
        <v>8.2</v>
      </c>
      <c r="AH75" s="4">
        <v>208.8</v>
      </c>
      <c r="AI75" s="4">
        <v>16.18</v>
      </c>
      <c r="AJ75" s="4">
        <v>5.57</v>
      </c>
      <c r="AK75" s="4">
        <v>1.5</v>
      </c>
      <c r="AL75" s="4">
        <v>1.5</v>
      </c>
      <c r="AM75" s="4">
        <v>16.2</v>
      </c>
      <c r="AN75" s="4">
        <v>5.64</v>
      </c>
      <c r="AO75" s="4">
        <v>1.6</v>
      </c>
      <c r="AP75" s="4">
        <v>1.5</v>
      </c>
      <c r="AQ75" s="4"/>
      <c r="AR75" s="4">
        <v>0.09</v>
      </c>
      <c r="AS75" s="4">
        <v>0.03</v>
      </c>
      <c r="AT75" s="4">
        <v>0.89</v>
      </c>
      <c r="AU75" s="4">
        <f t="shared" si="153"/>
        <v>0.01</v>
      </c>
      <c r="AV75" s="4">
        <v>4.92</v>
      </c>
      <c r="AW75" s="4">
        <v>1.5</v>
      </c>
      <c r="AX75" s="4">
        <v>11.0</v>
      </c>
      <c r="AY75" s="4">
        <v>20.0</v>
      </c>
      <c r="AZ75" s="4"/>
      <c r="BA75" s="4">
        <v>0.0</v>
      </c>
      <c r="BB75" s="4">
        <v>0.0</v>
      </c>
      <c r="BC75" s="4"/>
      <c r="BD75" s="4"/>
      <c r="BE75" s="4">
        <v>40.0</v>
      </c>
      <c r="BF75" s="4">
        <f t="shared" si="55"/>
        <v>0.5</v>
      </c>
      <c r="BG75" s="4">
        <f t="shared" si="185"/>
        <v>10</v>
      </c>
      <c r="BH75" s="4">
        <f t="shared" si="57"/>
        <v>0.5</v>
      </c>
      <c r="BI75" s="4">
        <f t="shared" si="173"/>
        <v>10</v>
      </c>
      <c r="BJ75" s="4">
        <v>2.0</v>
      </c>
      <c r="BK75" s="4">
        <v>4705.0</v>
      </c>
      <c r="BL75" s="4">
        <v>28.0</v>
      </c>
      <c r="BM75" s="4">
        <v>659.0</v>
      </c>
      <c r="BN75" s="4">
        <v>1364.0</v>
      </c>
      <c r="BO75" s="4">
        <f>0.5*1</f>
        <v>0.5</v>
      </c>
      <c r="BP75" s="4">
        <v>6.0</v>
      </c>
      <c r="BQ75" s="4">
        <v>3.0</v>
      </c>
      <c r="BR75" s="4">
        <f>0.5*1</f>
        <v>0.5</v>
      </c>
      <c r="BS75" s="4">
        <f t="shared" si="51"/>
        <v>0.02</v>
      </c>
      <c r="BT75" s="4">
        <v>10871.0</v>
      </c>
      <c r="BU75" s="4">
        <v>26.0</v>
      </c>
      <c r="BV75" s="4">
        <f t="shared" si="108"/>
        <v>0.5</v>
      </c>
      <c r="BW75" s="4">
        <f>0.5*20</f>
        <v>10</v>
      </c>
      <c r="BX75" s="4">
        <v>3074.0</v>
      </c>
      <c r="BY75" s="4">
        <v>29.0</v>
      </c>
      <c r="BZ75" s="4">
        <v>394.0</v>
      </c>
      <c r="CA75" s="4">
        <v>887.0</v>
      </c>
      <c r="CB75" s="4">
        <v>25.0</v>
      </c>
      <c r="CC75" s="4">
        <f t="shared" si="188"/>
        <v>10</v>
      </c>
      <c r="CD75" s="4">
        <v>34.0</v>
      </c>
      <c r="CE75" s="4">
        <f t="shared" si="189"/>
        <v>10</v>
      </c>
      <c r="CF75" s="4">
        <f t="shared" si="191"/>
        <v>0.05</v>
      </c>
      <c r="CG75" s="4">
        <v>15599.0</v>
      </c>
      <c r="CH75" s="4">
        <v>95.0</v>
      </c>
      <c r="CI75" s="4">
        <v>35.0</v>
      </c>
      <c r="CJ75" s="4">
        <f t="shared" si="157"/>
        <v>0.001</v>
      </c>
      <c r="CK75" s="4"/>
      <c r="CL75" s="4">
        <v>0.002</v>
      </c>
      <c r="CM75" s="4">
        <v>0.004</v>
      </c>
      <c r="CN75" s="4">
        <f t="shared" si="190"/>
        <v>0.025</v>
      </c>
      <c r="CO75" s="4"/>
      <c r="CP75" s="4">
        <v>87.5</v>
      </c>
      <c r="CQ75" s="4"/>
      <c r="CR75" s="4">
        <v>81.25</v>
      </c>
      <c r="CS75" s="4">
        <v>62.5</v>
      </c>
      <c r="CT75" s="4"/>
      <c r="CU75" s="4">
        <v>172.5</v>
      </c>
      <c r="CV75" s="4"/>
      <c r="CW75" s="4"/>
      <c r="CX75" s="4"/>
      <c r="CY75" s="4">
        <v>11820.0</v>
      </c>
      <c r="CZ75" s="4"/>
      <c r="DA75" s="4"/>
      <c r="DB75" s="4">
        <v>2.5</v>
      </c>
      <c r="DC75" s="4"/>
    </row>
    <row r="76">
      <c r="A76" s="4" t="s">
        <v>311</v>
      </c>
      <c r="B76" s="4" t="s">
        <v>312</v>
      </c>
      <c r="C76" s="5" t="s">
        <v>443</v>
      </c>
      <c r="D76" s="5" t="s">
        <v>215</v>
      </c>
      <c r="E76" s="4" t="s">
        <v>388</v>
      </c>
      <c r="F76" s="4" t="s">
        <v>326</v>
      </c>
      <c r="G76" s="4" t="s">
        <v>113</v>
      </c>
      <c r="H76" s="4" t="s">
        <v>114</v>
      </c>
      <c r="I76" s="4" t="s">
        <v>314</v>
      </c>
      <c r="J76" s="4" t="s">
        <v>447</v>
      </c>
      <c r="K76" s="4" t="s">
        <v>448</v>
      </c>
      <c r="L76" s="4">
        <v>-19.3583</v>
      </c>
      <c r="M76" s="4">
        <v>-65.1726</v>
      </c>
      <c r="N76" s="4"/>
      <c r="O76" s="4"/>
      <c r="P76" s="4">
        <v>3.45</v>
      </c>
      <c r="Q76" s="4">
        <v>158.5</v>
      </c>
      <c r="R76" s="4">
        <v>8.27</v>
      </c>
      <c r="S76" s="4">
        <v>-85.2</v>
      </c>
      <c r="T76" s="4">
        <v>288.0</v>
      </c>
      <c r="U76" s="4">
        <v>0.0</v>
      </c>
      <c r="V76" s="4">
        <v>18.2</v>
      </c>
      <c r="W76" s="4">
        <v>7.19</v>
      </c>
      <c r="X76" s="4">
        <v>99.5</v>
      </c>
      <c r="Y76" s="4">
        <f>1.5*1100</f>
        <v>1650</v>
      </c>
      <c r="Z76" s="4">
        <v>18498.0</v>
      </c>
      <c r="AA76" s="4">
        <v>172.0</v>
      </c>
      <c r="AB76" s="4">
        <v>18326.0</v>
      </c>
      <c r="AC76" s="4">
        <v>21.0</v>
      </c>
      <c r="AD76" s="4">
        <v>89.6</v>
      </c>
      <c r="AE76" s="4">
        <f t="shared" si="165"/>
        <v>2.5</v>
      </c>
      <c r="AF76" s="4">
        <v>65.0</v>
      </c>
      <c r="AG76" s="4">
        <v>21.6</v>
      </c>
      <c r="AH76" s="4">
        <v>54.4</v>
      </c>
      <c r="AI76" s="4">
        <v>22.77</v>
      </c>
      <c r="AJ76" s="4">
        <v>7.94</v>
      </c>
      <c r="AK76" s="4">
        <v>15.8</v>
      </c>
      <c r="AL76" s="4">
        <v>3.4</v>
      </c>
      <c r="AM76" s="4">
        <v>22.88</v>
      </c>
      <c r="AN76" s="4">
        <v>8.23</v>
      </c>
      <c r="AO76" s="4">
        <v>16.0</v>
      </c>
      <c r="AP76" s="4">
        <v>4.8</v>
      </c>
      <c r="AQ76" s="4"/>
      <c r="AR76" s="4">
        <v>0.18</v>
      </c>
      <c r="AS76" s="4">
        <v>0.06</v>
      </c>
      <c r="AT76" s="4">
        <v>0.44</v>
      </c>
      <c r="AU76" s="4">
        <f t="shared" si="153"/>
        <v>0.01</v>
      </c>
      <c r="AV76" s="4">
        <v>5.03</v>
      </c>
      <c r="AW76" s="4">
        <v>1.5</v>
      </c>
      <c r="AX76" s="4">
        <v>15.0</v>
      </c>
      <c r="AY76" s="4">
        <v>27.0</v>
      </c>
      <c r="AZ76" s="4"/>
      <c r="BA76" s="4">
        <v>22.0</v>
      </c>
      <c r="BB76" s="4">
        <v>15.0</v>
      </c>
      <c r="BC76" s="4"/>
      <c r="BD76" s="4"/>
      <c r="BE76" s="4">
        <v>12.0</v>
      </c>
      <c r="BF76" s="4">
        <f t="shared" si="55"/>
        <v>0.5</v>
      </c>
      <c r="BG76" s="4">
        <f t="shared" si="185"/>
        <v>10</v>
      </c>
      <c r="BH76" s="4">
        <f t="shared" si="57"/>
        <v>0.5</v>
      </c>
      <c r="BI76" s="4">
        <f t="shared" si="173"/>
        <v>10</v>
      </c>
      <c r="BJ76" s="4">
        <f>0.5*1</f>
        <v>0.5</v>
      </c>
      <c r="BK76" s="4">
        <v>11.0</v>
      </c>
      <c r="BL76" s="4">
        <f t="shared" ref="BL76:BR76" si="192">0.5*1</f>
        <v>0.5</v>
      </c>
      <c r="BM76" s="4">
        <f t="shared" si="192"/>
        <v>0.5</v>
      </c>
      <c r="BN76" s="4">
        <f t="shared" si="192"/>
        <v>0.5</v>
      </c>
      <c r="BO76" s="4">
        <f t="shared" si="192"/>
        <v>0.5</v>
      </c>
      <c r="BP76" s="4">
        <f t="shared" si="192"/>
        <v>0.5</v>
      </c>
      <c r="BQ76" s="4">
        <f t="shared" si="192"/>
        <v>0.5</v>
      </c>
      <c r="BR76" s="4">
        <f t="shared" si="192"/>
        <v>0.5</v>
      </c>
      <c r="BS76" s="4">
        <f t="shared" si="51"/>
        <v>0.02</v>
      </c>
      <c r="BT76" s="4">
        <v>297.0</v>
      </c>
      <c r="BU76" s="4">
        <v>58.0</v>
      </c>
      <c r="BV76" s="4">
        <f t="shared" si="108"/>
        <v>0.5</v>
      </c>
      <c r="BW76" s="4">
        <v>182.0</v>
      </c>
      <c r="BX76" s="4">
        <v>7355.0</v>
      </c>
      <c r="BY76" s="4">
        <v>278.0</v>
      </c>
      <c r="BZ76" s="4">
        <v>261.0</v>
      </c>
      <c r="CA76" s="4">
        <v>1107.0</v>
      </c>
      <c r="CB76" s="4">
        <v>149.0</v>
      </c>
      <c r="CC76" s="4">
        <f t="shared" si="188"/>
        <v>10</v>
      </c>
      <c r="CD76" s="4">
        <v>211.0</v>
      </c>
      <c r="CE76" s="4">
        <f t="shared" si="189"/>
        <v>10</v>
      </c>
      <c r="CF76" s="4">
        <v>1.23</v>
      </c>
      <c r="CG76" s="4">
        <v>296697.0</v>
      </c>
      <c r="CH76" s="4">
        <v>321.0</v>
      </c>
      <c r="CI76" s="4">
        <v>85.0</v>
      </c>
      <c r="CJ76" s="4">
        <f t="shared" si="157"/>
        <v>0.001</v>
      </c>
      <c r="CK76" s="4"/>
      <c r="CL76" s="4">
        <v>0.006</v>
      </c>
      <c r="CM76" s="4">
        <v>0.005</v>
      </c>
      <c r="CN76" s="4">
        <f t="shared" si="190"/>
        <v>0.025</v>
      </c>
      <c r="CO76" s="4"/>
      <c r="CP76" s="4">
        <v>4.64</v>
      </c>
      <c r="CQ76" s="4">
        <v>60.41</v>
      </c>
      <c r="CR76" s="4">
        <v>11.33</v>
      </c>
      <c r="CS76" s="4">
        <v>8.13</v>
      </c>
      <c r="CT76" s="4"/>
      <c r="CU76" s="4">
        <v>14.35</v>
      </c>
      <c r="CV76" s="4"/>
      <c r="CW76" s="4">
        <v>14.24</v>
      </c>
      <c r="CX76" s="4">
        <v>9.93</v>
      </c>
      <c r="CY76" s="4">
        <v>16173.74</v>
      </c>
      <c r="CZ76" s="4">
        <v>400.74</v>
      </c>
      <c r="DA76" s="4">
        <v>0.07</v>
      </c>
      <c r="DB76" s="4">
        <v>15.17</v>
      </c>
      <c r="DC76" s="4"/>
    </row>
    <row r="77">
      <c r="C77" s="7"/>
      <c r="D77" s="7"/>
    </row>
    <row r="78">
      <c r="C78" s="7"/>
      <c r="D78" s="7"/>
    </row>
  </sheetData>
  <drawing r:id="rId1"/>
</worksheet>
</file>