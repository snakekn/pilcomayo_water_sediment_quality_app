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3_clean" sheetId="1" r:id="rId4"/>
  </sheets>
  <definedNames/>
  <calcPr/>
</workbook>
</file>

<file path=xl/sharedStrings.xml><?xml version="1.0" encoding="utf-8"?>
<sst xmlns="http://schemas.openxmlformats.org/spreadsheetml/2006/main" count="1093" uniqueCount="527">
  <si>
    <t>Estación</t>
  </si>
  <si>
    <t>Código</t>
  </si>
  <si>
    <t>Fecha</t>
  </si>
  <si>
    <t>Hora</t>
  </si>
  <si>
    <t>Campaña</t>
  </si>
  <si>
    <t>Responsable</t>
  </si>
  <si>
    <t>Institución</t>
  </si>
  <si>
    <t>Río</t>
  </si>
  <si>
    <t>Cuenca</t>
  </si>
  <si>
    <t>Latitud</t>
  </si>
  <si>
    <t>Longitud</t>
  </si>
  <si>
    <t>Latitud Decimal</t>
  </si>
  <si>
    <t>Longitud Decimal</t>
  </si>
  <si>
    <t>Velocidad Media (m/s)</t>
  </si>
  <si>
    <t>Caudal (m3/s)</t>
  </si>
  <si>
    <t>Resistividad (Ohm.cm)</t>
  </si>
  <si>
    <t>Presión Parcial (mm Hg)</t>
  </si>
  <si>
    <t>pH (u pH)</t>
  </si>
  <si>
    <t>pH (mV) (mV)</t>
  </si>
  <si>
    <t>Conductividad específica (T ref. 25°C) (uS/cm)</t>
  </si>
  <si>
    <t>Salinidad (Sal)</t>
  </si>
  <si>
    <t>Temperatura (C)</t>
  </si>
  <si>
    <t>Oxígeno disuelto (mg/l O2)</t>
  </si>
  <si>
    <t>Saturación de oxígeno (%)</t>
  </si>
  <si>
    <t>Turbiedad (UNT)</t>
  </si>
  <si>
    <t>Sólidos totales (mg/l)</t>
  </si>
  <si>
    <t>Sólidos disueltos totales (mg/l)</t>
  </si>
  <si>
    <t>Sólidos suspendidos totales (mg/l)</t>
  </si>
  <si>
    <t>Color (u PtCo)</t>
  </si>
  <si>
    <t>Dureza total (mg/l CaCO3)</t>
  </si>
  <si>
    <t>Alcalinidad Fenolftaleina (mg/l CaCO3)</t>
  </si>
  <si>
    <t>Alcalinidad total (mg/l CaCO3)</t>
  </si>
  <si>
    <t>Cloruros (mg/l Cl -)</t>
  </si>
  <si>
    <t>Sulfatos (mg/l SO4=)</t>
  </si>
  <si>
    <t>Calcio disuelto (mg/l Ca)</t>
  </si>
  <si>
    <t>Magnesio disuelto (mg/l Mg)</t>
  </si>
  <si>
    <t>Sodio disuelto (mg/l Na)</t>
  </si>
  <si>
    <t>Potasio disuelto (mg/l K)</t>
  </si>
  <si>
    <t>Calcio total (mg/l Ca)</t>
  </si>
  <si>
    <t>Magnesio total (mg/l Mg)</t>
  </si>
  <si>
    <t>Sodio total (mg/l Na)</t>
  </si>
  <si>
    <t>Potasio total (mg/l K)</t>
  </si>
  <si>
    <t>Fósforo total (mg/l PO4)</t>
  </si>
  <si>
    <t>Fósforo disuelto (mg/l PO4)</t>
  </si>
  <si>
    <t>Nitrógeno amoniacal (mg/l NH4)</t>
  </si>
  <si>
    <t>Nitrito (mg/l NO2)</t>
  </si>
  <si>
    <t>Nitrato (mg/l NO3)</t>
  </si>
  <si>
    <t>Nitrógeno total Kjeldahl (mg/l N)</t>
  </si>
  <si>
    <t>Carbono orgánico total (mg/l)</t>
  </si>
  <si>
    <t>Demanda bioquímica de oxígeno (mg/l O2)</t>
  </si>
  <si>
    <t>Demanda química de oxígeno (mg/l O2)</t>
  </si>
  <si>
    <t>Coliformes totales (en UFC) (UFC/100 ml)</t>
  </si>
  <si>
    <t>Coliformes fecales (en UFC) (UFC/100 ml)</t>
  </si>
  <si>
    <t>Coliformes totales (en NMP) (NMP/100 ml)</t>
  </si>
  <si>
    <t>Coliformes fecales (en NMP) (NMP/100 ml)</t>
  </si>
  <si>
    <t>Aerobios mesófilos totales (en UFC) (UFC/100 ml)</t>
  </si>
  <si>
    <t>Bismuto disuelto (ug/l Bi)</t>
  </si>
  <si>
    <t>Bismuto total (ug/l Bi)</t>
  </si>
  <si>
    <t>Talio disuelto (ug/l Tl)</t>
  </si>
  <si>
    <t>Talio total (ug/l Tl)</t>
  </si>
  <si>
    <t>Cromo disuelto (ug/l Cr)</t>
  </si>
  <si>
    <t>Manganeso disuelto (ug/l Mn)</t>
  </si>
  <si>
    <t>Niquel disuelto (ug/l Ni)</t>
  </si>
  <si>
    <t>Cobre disuelto (ug/l Cu)</t>
  </si>
  <si>
    <t>Zinc disuelto (ug/l Zn)</t>
  </si>
  <si>
    <t>Arsenico disuelto (ug/l As)</t>
  </si>
  <si>
    <t>Cadmio disuelto (ug/l Cd)</t>
  </si>
  <si>
    <t>Plomo disuelto (ug/l Pb)</t>
  </si>
  <si>
    <t>Plata disuelto (ug/l Ag)</t>
  </si>
  <si>
    <t>Mercurio disuelto (ug/l Hg)</t>
  </si>
  <si>
    <t>Hierro disuelto (ug/l Fe)</t>
  </si>
  <si>
    <t>Boro disuelto (ug/l B)</t>
  </si>
  <si>
    <t>Selenio disuelto (ug/l Se)</t>
  </si>
  <si>
    <t>Cromo total (ug/l Cr)</t>
  </si>
  <si>
    <t>Manganeso total (ug/l Mn)</t>
  </si>
  <si>
    <t>Niquel total (ug/l Ni)</t>
  </si>
  <si>
    <t>Cobre total (ug/l Cu)</t>
  </si>
  <si>
    <t>Zinc total (ug/l Zn)</t>
  </si>
  <si>
    <t>Arsenico total (ug/l As)</t>
  </si>
  <si>
    <t>Cadmio total (ug/l Cd)</t>
  </si>
  <si>
    <t>Plomo total (ug/l Pb)</t>
  </si>
  <si>
    <t>Plata total (ug/l Ag)</t>
  </si>
  <si>
    <t>Mercurio total (ug/l Hg)</t>
  </si>
  <si>
    <t>Hierro total (ug/l Fe)</t>
  </si>
  <si>
    <t>Boro total (ug/l B)</t>
  </si>
  <si>
    <t>Selenio total (ug/l Se)</t>
  </si>
  <si>
    <t>Cianuros (mg/l CN-)</t>
  </si>
  <si>
    <t>Cianuros libre (mg/l CN-)</t>
  </si>
  <si>
    <t>Sulfuros (mg/l S=)</t>
  </si>
  <si>
    <t>Fenoles (mg/l C6H6O)</t>
  </si>
  <si>
    <t>Hidrocarburos totales (mg/l)</t>
  </si>
  <si>
    <t>Selenio suspensión (mg/kg Se)</t>
  </si>
  <si>
    <t>Zinc en suspensión (mg/kg Zn)</t>
  </si>
  <si>
    <t>Plomo suspensión (mg/kg Pb)</t>
  </si>
  <si>
    <t>Arsenico suspensión (mg/kg As)</t>
  </si>
  <si>
    <t>Bismuto suspensión (mg/kg Bi)</t>
  </si>
  <si>
    <t>Boro suspensión (mg/kg B)</t>
  </si>
  <si>
    <t>Cadmio suspensión (mg/kg Cd)</t>
  </si>
  <si>
    <t>Cobre suspensión (mg/kg Cu)</t>
  </si>
  <si>
    <t>Cromo suspensión (mg/kg Cr)</t>
  </si>
  <si>
    <t>Hierro suspensión (mg/kg Fe)</t>
  </si>
  <si>
    <t>Manganeso suspensión (mg/kg Mn)</t>
  </si>
  <si>
    <t>Mercurio suspensión (mg/kg Hg)</t>
  </si>
  <si>
    <t>Niquel suspensión (mg/kg Ni)</t>
  </si>
  <si>
    <t>Plata suspensión (mg/kg Ag)</t>
  </si>
  <si>
    <t>La Quiaca</t>
  </si>
  <si>
    <t>ALQ-040</t>
  </si>
  <si>
    <t>13/12/2023</t>
  </si>
  <si>
    <t>15:00</t>
  </si>
  <si>
    <t>Diciembre 2023</t>
  </si>
  <si>
    <t>Unidad de Monitoreo y Centro de Datos</t>
  </si>
  <si>
    <t>Dirección Ejecutiva - Comisión Trinacional para el Desarrollo de la Cuenca del río Pilcomayo</t>
  </si>
  <si>
    <t>Unidad 5</t>
  </si>
  <si>
    <t>22 05 51.96</t>
  </si>
  <si>
    <t>65 35 12.04</t>
  </si>
  <si>
    <t>Liviara</t>
  </si>
  <si>
    <t>ALI-020</t>
  </si>
  <si>
    <t>10:25</t>
  </si>
  <si>
    <t>Orosmayo</t>
  </si>
  <si>
    <t>22 31 51.87</t>
  </si>
  <si>
    <t>66 20 56.92</t>
  </si>
  <si>
    <t>Chuquiago</t>
  </si>
  <si>
    <t>BCH-060</t>
  </si>
  <si>
    <t>12/12/2023</t>
  </si>
  <si>
    <t>11:15</t>
  </si>
  <si>
    <t>San Juan del Oro</t>
  </si>
  <si>
    <t>21 33 39.90</t>
  </si>
  <si>
    <t>65 38 50.13</t>
  </si>
  <si>
    <t>La Angostura</t>
  </si>
  <si>
    <t>BTP-090</t>
  </si>
  <si>
    <t>9:40</t>
  </si>
  <si>
    <t>Tupiza</t>
  </si>
  <si>
    <t>21 30 34.87</t>
  </si>
  <si>
    <t>65 41 51.65</t>
  </si>
  <si>
    <t>Cotagaita</t>
  </si>
  <si>
    <t>BCO-070</t>
  </si>
  <si>
    <t>11/12/2023</t>
  </si>
  <si>
    <t>18:00</t>
  </si>
  <si>
    <t>Unidad 4</t>
  </si>
  <si>
    <t>20 49 20.75</t>
  </si>
  <si>
    <t>65 39 30.11</t>
  </si>
  <si>
    <t>Tumusla</t>
  </si>
  <si>
    <t>BTU-080</t>
  </si>
  <si>
    <t>16:05</t>
  </si>
  <si>
    <t>20 29 14.44</t>
  </si>
  <si>
    <t>65 37 03.51</t>
  </si>
  <si>
    <t>Yocalla</t>
  </si>
  <si>
    <t>BYO-025</t>
  </si>
  <si>
    <t>9:20</t>
  </si>
  <si>
    <t>Pilcomayo</t>
  </si>
  <si>
    <t>Unidad 1</t>
  </si>
  <si>
    <t>19 23 45.96</t>
  </si>
  <si>
    <t>65 54 24.78</t>
  </si>
  <si>
    <t>Colavi - Canutillos</t>
  </si>
  <si>
    <t>BC7-113</t>
  </si>
  <si>
    <t>10/12/2023</t>
  </si>
  <si>
    <t>15:15</t>
  </si>
  <si>
    <t>Colavi</t>
  </si>
  <si>
    <t>19 19 16.82</t>
  </si>
  <si>
    <t>65 33 06.9</t>
  </si>
  <si>
    <t>Puente Mendez</t>
  </si>
  <si>
    <t>BPM-120</t>
  </si>
  <si>
    <t>10:20</t>
  </si>
  <si>
    <t>Unidad 2</t>
  </si>
  <si>
    <t>19 21 39.42</t>
  </si>
  <si>
    <t>65 10 09.07</t>
  </si>
  <si>
    <t>Viña Quemada</t>
  </si>
  <si>
    <t>BVQ-122</t>
  </si>
  <si>
    <t>09/12/2023</t>
  </si>
  <si>
    <t>11:20</t>
  </si>
  <si>
    <t>19 24 56.65</t>
  </si>
  <si>
    <t>64 51 08.06</t>
  </si>
  <si>
    <t>Talula - Automática</t>
  </si>
  <si>
    <t>BTL-119</t>
  </si>
  <si>
    <t>08/12/2023</t>
  </si>
  <si>
    <t>10:35</t>
  </si>
  <si>
    <t>19 07 50.70</t>
  </si>
  <si>
    <t>65 27 01.79</t>
  </si>
  <si>
    <t>Tarapaya</t>
  </si>
  <si>
    <t>BTA-050</t>
  </si>
  <si>
    <t>07/12/2023</t>
  </si>
  <si>
    <t>13:35</t>
  </si>
  <si>
    <t>19 28 18.64</t>
  </si>
  <si>
    <t>65 47 39.51</t>
  </si>
  <si>
    <t>San Antonio - Potosí</t>
  </si>
  <si>
    <t>BSA-030</t>
  </si>
  <si>
    <t>Aljamayu</t>
  </si>
  <si>
    <t>19 34 41.47</t>
  </si>
  <si>
    <t>65 48 12.26</t>
  </si>
  <si>
    <t>Potosí - Naciente río La Ribera</t>
  </si>
  <si>
    <t>BNR-010</t>
  </si>
  <si>
    <t>8:40</t>
  </si>
  <si>
    <t>De la Ribera</t>
  </si>
  <si>
    <t>19° 35' 51.41"</t>
  </si>
  <si>
    <t>65° 43' 52.87"</t>
  </si>
  <si>
    <t>Tacobamba - Agua arriba confluencia Pilcomayo - Tacobamba</t>
  </si>
  <si>
    <t>BTC-116</t>
  </si>
  <si>
    <t>06/12/2023</t>
  </si>
  <si>
    <t>12:15</t>
  </si>
  <si>
    <t>Tacobamba</t>
  </si>
  <si>
    <t>19 07 55.90</t>
  </si>
  <si>
    <t>65 34 11.77</t>
  </si>
  <si>
    <t>Pilcomayo - Agua arriba confluencia Pilcomayo - Tacobamba</t>
  </si>
  <si>
    <t>BPT-118</t>
  </si>
  <si>
    <t>10:45</t>
  </si>
  <si>
    <t>19 07 56.34</t>
  </si>
  <si>
    <t>65 34 19.25</t>
  </si>
  <si>
    <t>Palca Grande</t>
  </si>
  <si>
    <t>BPG-110</t>
  </si>
  <si>
    <t>05/12/2023</t>
  </si>
  <si>
    <t>15:40</t>
  </si>
  <si>
    <t>20 44 32.13</t>
  </si>
  <si>
    <t>65 14 27.10</t>
  </si>
  <si>
    <t>El Puente</t>
  </si>
  <si>
    <t>BEP-100</t>
  </si>
  <si>
    <t>13:10</t>
  </si>
  <si>
    <t>21 14 21.62</t>
  </si>
  <si>
    <t>65 12 32.84</t>
  </si>
  <si>
    <t>San Josecito</t>
  </si>
  <si>
    <t>BSJ-130</t>
  </si>
  <si>
    <t>04/12/2023</t>
  </si>
  <si>
    <t>18:15</t>
  </si>
  <si>
    <t>Pilaya</t>
  </si>
  <si>
    <t>Unidad 6</t>
  </si>
  <si>
    <t>21 09 05.33</t>
  </si>
  <si>
    <t>64 14 17.85</t>
  </si>
  <si>
    <t>Puente Aruma - Automática</t>
  </si>
  <si>
    <t>BPA-140</t>
  </si>
  <si>
    <t>11:00</t>
  </si>
  <si>
    <t>Unidad 7</t>
  </si>
  <si>
    <t>20 54 50.36</t>
  </si>
  <si>
    <t>64 06 38.10</t>
  </si>
  <si>
    <t>Villamontes</t>
  </si>
  <si>
    <t>BVI-150</t>
  </si>
  <si>
    <t>03/12/2023</t>
  </si>
  <si>
    <t>13:30</t>
  </si>
  <si>
    <t>21 15 32.23</t>
  </si>
  <si>
    <t>63 30 41.79</t>
  </si>
  <si>
    <t>Misión La Paz - SNIH</t>
  </si>
  <si>
    <t>AML-170</t>
  </si>
  <si>
    <t>7:05</t>
  </si>
  <si>
    <t>Cuenca Baja</t>
  </si>
  <si>
    <t>22 22 40.64</t>
  </si>
  <si>
    <t>62 31 06.70</t>
  </si>
  <si>
    <t>General Bruguez</t>
  </si>
  <si>
    <t>PGB-250</t>
  </si>
  <si>
    <t>21/11/2023</t>
  </si>
  <si>
    <t>14:40</t>
  </si>
  <si>
    <t>Noviembre 2023</t>
  </si>
  <si>
    <t>Chaco Paraguayo</t>
  </si>
  <si>
    <t>24° 44' 53.92"</t>
  </si>
  <si>
    <t>58° 49' 59.06"</t>
  </si>
  <si>
    <t>Ruta 11</t>
  </si>
  <si>
    <t>AR11-290</t>
  </si>
  <si>
    <t>Montelindo</t>
  </si>
  <si>
    <t>25° 47' 18.17"</t>
  </si>
  <si>
    <t>58° 1' 17.23"</t>
  </si>
  <si>
    <t>Clorinda</t>
  </si>
  <si>
    <t>ACL-310</t>
  </si>
  <si>
    <t>8:55</t>
  </si>
  <si>
    <t>Porteño</t>
  </si>
  <si>
    <t>El Porteño</t>
  </si>
  <si>
    <t>25° 15' 55.50"</t>
  </si>
  <si>
    <t>57° 43' 43.49"</t>
  </si>
  <si>
    <t>Salida Laguna Salada</t>
  </si>
  <si>
    <t>ASL-270</t>
  </si>
  <si>
    <t>20/11/2023</t>
  </si>
  <si>
    <t>8:20</t>
  </si>
  <si>
    <t>Salada</t>
  </si>
  <si>
    <t>24 41 46.6</t>
  </si>
  <si>
    <t>59 49 02.93</t>
  </si>
  <si>
    <t>Ruta 28-Vertedero</t>
  </si>
  <si>
    <t>AR28-300</t>
  </si>
  <si>
    <t>19/11/2023</t>
  </si>
  <si>
    <t>La Estrella</t>
  </si>
  <si>
    <t>Bañado La Estrella</t>
  </si>
  <si>
    <t>24° 24' 31.28"</t>
  </si>
  <si>
    <t>60° 20' 04.6"</t>
  </si>
  <si>
    <t>El Potrillo</t>
  </si>
  <si>
    <t>AEP-180</t>
  </si>
  <si>
    <t>9:50</t>
  </si>
  <si>
    <t>23° 08' 17.51"</t>
  </si>
  <si>
    <t>61° 57' 50.26"</t>
  </si>
  <si>
    <t>Puente Loyola</t>
  </si>
  <si>
    <t>APL-320</t>
  </si>
  <si>
    <t>16/11/2023</t>
  </si>
  <si>
    <t>Cuenca Paraguay</t>
  </si>
  <si>
    <t>25° 15' 50.99"</t>
  </si>
  <si>
    <t>57° 43' 27.63"</t>
  </si>
  <si>
    <t>Villa Hayes</t>
  </si>
  <si>
    <t>PVH-280</t>
  </si>
  <si>
    <t>Confuso</t>
  </si>
  <si>
    <t>25° 06' 26.93"</t>
  </si>
  <si>
    <t>57° 32' 47.95"</t>
  </si>
  <si>
    <t>14/11/2023</t>
  </si>
  <si>
    <t>7:00</t>
  </si>
  <si>
    <t>22° 22' 41.07"</t>
  </si>
  <si>
    <t>62° 31' 06.84"</t>
  </si>
  <si>
    <t>María Cristina</t>
  </si>
  <si>
    <t>AMC-190</t>
  </si>
  <si>
    <t>13/11/2023</t>
  </si>
  <si>
    <t>7:10</t>
  </si>
  <si>
    <t>22° 41' 48.90"</t>
  </si>
  <si>
    <t>62° 11' 48.64"</t>
  </si>
  <si>
    <t>20/10/2023</t>
  </si>
  <si>
    <t>10:15</t>
  </si>
  <si>
    <t>Octubre 2023</t>
  </si>
  <si>
    <t>19° 7' 51.11"</t>
  </si>
  <si>
    <t>65° 27' 2.03"</t>
  </si>
  <si>
    <t>19/10/2023</t>
  </si>
  <si>
    <t>19° 24.' 26.85"</t>
  </si>
  <si>
    <t>64° 51' 48.9"</t>
  </si>
  <si>
    <t>18/10/2023</t>
  </si>
  <si>
    <t>14:10</t>
  </si>
  <si>
    <t>19° 19' 17.1"</t>
  </si>
  <si>
    <t>65° 33' 7.0"</t>
  </si>
  <si>
    <t>8:35</t>
  </si>
  <si>
    <t>19° 28' 18.77"</t>
  </si>
  <si>
    <t>65° 47' 39.52"</t>
  </si>
  <si>
    <t>17/10/2023</t>
  </si>
  <si>
    <t>12:05</t>
  </si>
  <si>
    <t>19° 8' 39.59"</t>
  </si>
  <si>
    <t>65° 33' 57.58"</t>
  </si>
  <si>
    <t>19° 7' 55.43"</t>
  </si>
  <si>
    <t>65° 34' 17.58"</t>
  </si>
  <si>
    <t>16/10/2023</t>
  </si>
  <si>
    <t>13:45</t>
  </si>
  <si>
    <t>20° 44' 32.25"</t>
  </si>
  <si>
    <t>65° 14' 24.27"</t>
  </si>
  <si>
    <t>11:35</t>
  </si>
  <si>
    <t>21° 14' 20.86"</t>
  </si>
  <si>
    <t>65° 12' 32.54"</t>
  </si>
  <si>
    <t>15/10/2023</t>
  </si>
  <si>
    <t>21° 15' 31.35"</t>
  </si>
  <si>
    <t>63° 30' 41.54"</t>
  </si>
  <si>
    <t>6:50</t>
  </si>
  <si>
    <t>22° 22' 40.43"</t>
  </si>
  <si>
    <t>62° 31' 6.77"</t>
  </si>
  <si>
    <t>08/08/2023</t>
  </si>
  <si>
    <t>13:05</t>
  </si>
  <si>
    <t>Agosto 2023</t>
  </si>
  <si>
    <t>22° 5' 51,99"</t>
  </si>
  <si>
    <t>65° 35' 9.63"</t>
  </si>
  <si>
    <t>21° 33' 40.58"</t>
  </si>
  <si>
    <t>65° 38' 51.74"</t>
  </si>
  <si>
    <t>8:15</t>
  </si>
  <si>
    <t>21° 30' 35.471"</t>
  </si>
  <si>
    <t>65° 41' 57.899"</t>
  </si>
  <si>
    <t>07/08/2023</t>
  </si>
  <si>
    <t>16:00</t>
  </si>
  <si>
    <t>20° 49' 23.178"</t>
  </si>
  <si>
    <t>65° 39' 18.726"</t>
  </si>
  <si>
    <t>14:20</t>
  </si>
  <si>
    <t>20° 29' 11.946"</t>
  </si>
  <si>
    <t>65° 37' 6.954"</t>
  </si>
  <si>
    <t>9:25</t>
  </si>
  <si>
    <t>19° 23' 51.252"</t>
  </si>
  <si>
    <t>65° 54' 27.816"</t>
  </si>
  <si>
    <t>06/08/2023</t>
  </si>
  <si>
    <t>14:30</t>
  </si>
  <si>
    <t>19° 19' 17.136"</t>
  </si>
  <si>
    <t>65° 33' 6.954"</t>
  </si>
  <si>
    <t>10:10</t>
  </si>
  <si>
    <t>19° 21' 36.852"</t>
  </si>
  <si>
    <t>65° 10' 12.726"</t>
  </si>
  <si>
    <t>05/08/2023</t>
  </si>
  <si>
    <t>13:00</t>
  </si>
  <si>
    <t>19° 24' 27.648"</t>
  </si>
  <si>
    <t>64° 51' 47.184"</t>
  </si>
  <si>
    <t>04/08/2023</t>
  </si>
  <si>
    <t>12:45</t>
  </si>
  <si>
    <t>19° 7' 51.438"</t>
  </si>
  <si>
    <t>65° 27' 2.334"</t>
  </si>
  <si>
    <t>03/08/2023</t>
  </si>
  <si>
    <t>19° 34' 41.544"</t>
  </si>
  <si>
    <t>65° 48' 12"</t>
  </si>
  <si>
    <t>14:15</t>
  </si>
  <si>
    <t>19 28 18.726</t>
  </si>
  <si>
    <t>65 47 39.402</t>
  </si>
  <si>
    <t>19° 35' 51.756"</t>
  </si>
  <si>
    <t>65° 43' 53.796"</t>
  </si>
  <si>
    <t>02/08/2023</t>
  </si>
  <si>
    <t>14:05</t>
  </si>
  <si>
    <t>19 8 50.22</t>
  </si>
  <si>
    <t>65 33 51.798</t>
  </si>
  <si>
    <t>19° 7' 57.45"</t>
  </si>
  <si>
    <t>65° 34' 19.746"</t>
  </si>
  <si>
    <t>01/08/2023</t>
  </si>
  <si>
    <t>17:50</t>
  </si>
  <si>
    <t>20° 44' 32.29"</t>
  </si>
  <si>
    <t>65° 14' 25.356"</t>
  </si>
  <si>
    <t>15:50</t>
  </si>
  <si>
    <t>21° 14' 22.722"</t>
  </si>
  <si>
    <t>65° 12' 30.888"</t>
  </si>
  <si>
    <t>31/07/2023</t>
  </si>
  <si>
    <t>18:30</t>
  </si>
  <si>
    <t>Julio 2023</t>
  </si>
  <si>
    <t>21 9 15.006</t>
  </si>
  <si>
    <t>64 13 51.15</t>
  </si>
  <si>
    <t>20 54 50.142</t>
  </si>
  <si>
    <t>64 6 37.788</t>
  </si>
  <si>
    <t>30/07/2023</t>
  </si>
  <si>
    <t>15:25</t>
  </si>
  <si>
    <t>21 15 32.142</t>
  </si>
  <si>
    <t>63 30 41.7</t>
  </si>
  <si>
    <t>7:25</t>
  </si>
  <si>
    <t>22 22 41.41</t>
  </si>
  <si>
    <t>62 31 7.04</t>
  </si>
  <si>
    <t>Ruta 95</t>
  </si>
  <si>
    <t>AR95-220</t>
  </si>
  <si>
    <t>07/06/2023</t>
  </si>
  <si>
    <t>11:30</t>
  </si>
  <si>
    <t>Junio 2023</t>
  </si>
  <si>
    <t>25° 8' 54.01"</t>
  </si>
  <si>
    <t>59° 40' 44.69"</t>
  </si>
  <si>
    <t>9:22</t>
  </si>
  <si>
    <t>24° 41' 46.77"</t>
  </si>
  <si>
    <t>59° 49' 2.76"</t>
  </si>
  <si>
    <t>06/06/2023</t>
  </si>
  <si>
    <t>24° 21' 31.59"</t>
  </si>
  <si>
    <t>60° 18' 23.23"</t>
  </si>
  <si>
    <t>9:24</t>
  </si>
  <si>
    <t>23° 8' 18.05"</t>
  </si>
  <si>
    <t>61° 57' 50.76"</t>
  </si>
  <si>
    <t>Negro Ruta PY09</t>
  </si>
  <si>
    <t>PR9N-230</t>
  </si>
  <si>
    <t>20/04/2023</t>
  </si>
  <si>
    <t>Abril 2023</t>
  </si>
  <si>
    <t>Negro</t>
  </si>
  <si>
    <t>24° 11' 23.6"</t>
  </si>
  <si>
    <t>58° 17' 59.3"</t>
  </si>
  <si>
    <t>Montelindo en ruta PY09</t>
  </si>
  <si>
    <t>PR9M-260</t>
  </si>
  <si>
    <t>23° 53' 35.0"</t>
  </si>
  <si>
    <t>58° 26' 47.5"</t>
  </si>
  <si>
    <t>Verde Ruta PY09</t>
  </si>
  <si>
    <t>PR9V-210</t>
  </si>
  <si>
    <t>8:05</t>
  </si>
  <si>
    <t>Verde</t>
  </si>
  <si>
    <t>23° 12' 54.1"</t>
  </si>
  <si>
    <t>59° 12' 9.1"</t>
  </si>
  <si>
    <t>Montelindo en Hacienda Sta Ana</t>
  </si>
  <si>
    <t>PMSA-208</t>
  </si>
  <si>
    <t>19/04/2023</t>
  </si>
  <si>
    <t>13:31</t>
  </si>
  <si>
    <t>23° 43' 9.1"</t>
  </si>
  <si>
    <t>59° 31' 44.3"</t>
  </si>
  <si>
    <t>Tinfunke</t>
  </si>
  <si>
    <t>PTI-204</t>
  </si>
  <si>
    <t>10:27</t>
  </si>
  <si>
    <t>23° 45' 31.9"</t>
  </si>
  <si>
    <t>60° 7' 48.4"</t>
  </si>
  <si>
    <t>General Díaz</t>
  </si>
  <si>
    <t>PGD-200</t>
  </si>
  <si>
    <t>18/04/2023</t>
  </si>
  <si>
    <t>16:01</t>
  </si>
  <si>
    <t>23° 34' 37.6"</t>
  </si>
  <si>
    <t>60° 34' 47.8"</t>
  </si>
  <si>
    <t>Hacienda 9 de junio</t>
  </si>
  <si>
    <t>P9J-198</t>
  </si>
  <si>
    <t>12:50</t>
  </si>
  <si>
    <t>23° 27' 12.5"</t>
  </si>
  <si>
    <t>60° 52' 45.7"</t>
  </si>
  <si>
    <t>El Solitario</t>
  </si>
  <si>
    <t>PES-194</t>
  </si>
  <si>
    <t>16/04/2023</t>
  </si>
  <si>
    <t>22° 51' 36.8"</t>
  </si>
  <si>
    <t>62° 1' 8.6"</t>
  </si>
  <si>
    <t>Meyer Sitio 01</t>
  </si>
  <si>
    <t>PCM-191</t>
  </si>
  <si>
    <t>8:56</t>
  </si>
  <si>
    <t>Pilcomayo Medio Embocadura - Canal Paraguayo</t>
  </si>
  <si>
    <t>22° 42' 42.7"</t>
  </si>
  <si>
    <t>62° 9' 20.9"</t>
  </si>
  <si>
    <t>7:50</t>
  </si>
  <si>
    <t>22° 42' 0.6"</t>
  </si>
  <si>
    <t>62° 11' 35.6"</t>
  </si>
  <si>
    <t>12/04/2023</t>
  </si>
  <si>
    <t>9:00</t>
  </si>
  <si>
    <t>25° 47' 18.18"</t>
  </si>
  <si>
    <t>58° 1' 17.958"</t>
  </si>
  <si>
    <t>7:30</t>
  </si>
  <si>
    <t>25° 15' 55.506"</t>
  </si>
  <si>
    <t>57° 43' 45.252"</t>
  </si>
  <si>
    <t>6:35</t>
  </si>
  <si>
    <t>25° 15' 50.634"</t>
  </si>
  <si>
    <t>57° 43' 26.442"</t>
  </si>
  <si>
    <t>11/04/2023</t>
  </si>
  <si>
    <t>11:18</t>
  </si>
  <si>
    <t>24° 44' 52.81"</t>
  </si>
  <si>
    <t>58° 49' 58.8"</t>
  </si>
  <si>
    <t>25° 6' 26.2"</t>
  </si>
  <si>
    <t>57° 32' 48.9"</t>
  </si>
  <si>
    <t>26/01/2023</t>
  </si>
  <si>
    <t>Enero 2023</t>
  </si>
  <si>
    <t>22 22 41.058</t>
  </si>
  <si>
    <t>62 31 7.972</t>
  </si>
  <si>
    <t>25/01/2023</t>
  </si>
  <si>
    <t>14:45</t>
  </si>
  <si>
    <t>21 15 31.938</t>
  </si>
  <si>
    <t>63 30 41.664</t>
  </si>
  <si>
    <t>24/01/2023</t>
  </si>
  <si>
    <t>15:20</t>
  </si>
  <si>
    <t>21° 14' 20.37"</t>
  </si>
  <si>
    <t>65° 12' 33.792"</t>
  </si>
  <si>
    <t>20° 44' 31.8"</t>
  </si>
  <si>
    <t>65° 14' 25.944"</t>
  </si>
  <si>
    <t>23/01/2023</t>
  </si>
  <si>
    <t>19° 19' 16.83"</t>
  </si>
  <si>
    <t>65° 33' 6.534"</t>
  </si>
  <si>
    <t>9:10</t>
  </si>
  <si>
    <t>19° 28' 18.798"</t>
  </si>
  <si>
    <t>65° 47' 39.45"</t>
  </si>
  <si>
    <t>22/01/2023</t>
  </si>
  <si>
    <t>17:26</t>
  </si>
  <si>
    <t>19 8 13.65</t>
  </si>
  <si>
    <t>65 34 6.102</t>
  </si>
  <si>
    <t>19° 7' 56.1"</t>
  </si>
  <si>
    <t>65° 34' 19.94"</t>
  </si>
  <si>
    <t>21/01/2023</t>
  </si>
  <si>
    <t>11:55</t>
  </si>
  <si>
    <t>19 24 26.7</t>
  </si>
  <si>
    <t>64 51 49.5</t>
  </si>
  <si>
    <t>20/01/2023</t>
  </si>
  <si>
    <t>11:50</t>
  </si>
  <si>
    <t>19° 7' 51.43"</t>
  </si>
  <si>
    <t>65° 27' 2.898"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</si>
</sst>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3"/>
      <c r="DC1" s="3"/>
    </row>
    <row r="2">
      <c r="A2" s="4" t="s">
        <v>105</v>
      </c>
      <c r="B2" s="4" t="s">
        <v>106</v>
      </c>
      <c r="C2" s="5" t="s">
        <v>107</v>
      </c>
      <c r="D2" s="5" t="s">
        <v>108</v>
      </c>
      <c r="E2" s="4" t="s">
        <v>109</v>
      </c>
      <c r="F2" s="4" t="s">
        <v>110</v>
      </c>
      <c r="G2" s="4" t="s">
        <v>111</v>
      </c>
      <c r="H2" s="4" t="s">
        <v>105</v>
      </c>
      <c r="I2" s="4" t="s">
        <v>112</v>
      </c>
      <c r="J2" s="4" t="s">
        <v>113</v>
      </c>
      <c r="K2" s="4" t="s">
        <v>114</v>
      </c>
      <c r="L2" s="4">
        <v>-22.0978</v>
      </c>
      <c r="M2" s="4">
        <v>-65.5867</v>
      </c>
      <c r="N2" s="4">
        <v>1.01</v>
      </c>
      <c r="O2" s="4">
        <v>1.0</v>
      </c>
      <c r="P2" s="4">
        <v>821.0</v>
      </c>
      <c r="Q2" s="4">
        <v>60.8</v>
      </c>
      <c r="R2" s="4">
        <v>8.11</v>
      </c>
      <c r="S2" s="4">
        <v>-72.4</v>
      </c>
      <c r="T2" s="4">
        <v>1220.0</v>
      </c>
      <c r="U2" s="4">
        <v>0.55</v>
      </c>
      <c r="V2" s="4">
        <v>28.5</v>
      </c>
      <c r="W2" s="4">
        <v>2.31</v>
      </c>
      <c r="X2" s="4">
        <v>45.8</v>
      </c>
      <c r="Y2" s="4"/>
      <c r="Z2" s="4">
        <v>810.0</v>
      </c>
      <c r="AA2" s="4">
        <v>685.0</v>
      </c>
      <c r="AB2" s="4">
        <v>91.0</v>
      </c>
      <c r="AC2" s="4">
        <v>51.0</v>
      </c>
      <c r="AD2" s="4">
        <v>236.0</v>
      </c>
      <c r="AE2" s="4">
        <f>0.5*0.1</f>
        <v>0.05</v>
      </c>
      <c r="AF2" s="4">
        <v>350.0</v>
      </c>
      <c r="AG2" s="4">
        <v>115.7</v>
      </c>
      <c r="AH2" s="4">
        <v>124.7</v>
      </c>
      <c r="AI2" s="4">
        <v>48.91</v>
      </c>
      <c r="AJ2" s="4">
        <v>19.95</v>
      </c>
      <c r="AK2" s="4">
        <v>105.5</v>
      </c>
      <c r="AL2" s="4">
        <v>27.14</v>
      </c>
      <c r="AM2" s="4">
        <v>50.76</v>
      </c>
      <c r="AN2" s="4">
        <v>24.17</v>
      </c>
      <c r="AO2" s="4">
        <v>107.15</v>
      </c>
      <c r="AP2" s="4">
        <v>30.28</v>
      </c>
      <c r="AQ2" s="4">
        <v>15.9</v>
      </c>
      <c r="AR2" s="4">
        <v>11.3</v>
      </c>
      <c r="AS2" s="4">
        <v>34.04</v>
      </c>
      <c r="AT2" s="4">
        <f t="shared" ref="AT2:AT3" si="4">0.5*0.02</f>
        <v>0.01</v>
      </c>
      <c r="AU2" s="4">
        <v>4.71</v>
      </c>
      <c r="AV2" s="4">
        <v>44.94</v>
      </c>
      <c r="AW2" s="4">
        <v>47.0</v>
      </c>
      <c r="AX2" s="4">
        <v>109.0</v>
      </c>
      <c r="AY2" s="4">
        <v>145.0</v>
      </c>
      <c r="AZ2" s="4">
        <f t="shared" ref="AZ2:BA2" si="1">1.5*100000</f>
        <v>150000</v>
      </c>
      <c r="BA2" s="4">
        <f t="shared" si="1"/>
        <v>150000</v>
      </c>
      <c r="BB2" s="4"/>
      <c r="BC2" s="4"/>
      <c r="BD2" s="4">
        <v>50.0</v>
      </c>
      <c r="BE2" s="4">
        <f t="shared" ref="BE2:BF2" si="2">0.5*10</f>
        <v>5</v>
      </c>
      <c r="BF2" s="4">
        <f t="shared" si="2"/>
        <v>5</v>
      </c>
      <c r="BG2" s="4">
        <f t="shared" ref="BG2:BH2" si="3">0.5*50</f>
        <v>25</v>
      </c>
      <c r="BH2" s="4">
        <f t="shared" si="3"/>
        <v>25</v>
      </c>
      <c r="BI2" s="4">
        <f t="shared" ref="BI2:BI81" si="7">0.5*10</f>
        <v>5</v>
      </c>
      <c r="BJ2" s="4">
        <v>140.0</v>
      </c>
      <c r="BK2" s="4">
        <v>2.0</v>
      </c>
      <c r="BL2" s="4">
        <f t="shared" ref="BL2:BL8" si="8">0.5*10</f>
        <v>5</v>
      </c>
      <c r="BM2" s="4">
        <f t="shared" ref="BM2:BM5" si="9">0.5*50</f>
        <v>25</v>
      </c>
      <c r="BN2" s="4">
        <v>24.0</v>
      </c>
      <c r="BO2" s="4">
        <f>0.5*0.5</f>
        <v>0.25</v>
      </c>
      <c r="BP2" s="4">
        <f t="shared" ref="BP2:BP8" si="10">0.5*1</f>
        <v>0.5</v>
      </c>
      <c r="BQ2" s="4">
        <f t="shared" ref="BQ2:BQ83" si="11">0.5*5</f>
        <v>2.5</v>
      </c>
      <c r="BR2" s="4">
        <f t="shared" ref="BR2:BR83" si="12">0.5*0.5</f>
        <v>0.25</v>
      </c>
      <c r="BS2" s="4">
        <v>148.0</v>
      </c>
      <c r="BT2" s="4">
        <v>1724.0</v>
      </c>
      <c r="BU2" s="4">
        <v>2.0</v>
      </c>
      <c r="BV2" s="4">
        <f t="shared" ref="BV2:BV3" si="13">0.5*10</f>
        <v>5</v>
      </c>
      <c r="BW2" s="4">
        <v>143.0</v>
      </c>
      <c r="BX2" s="4">
        <v>2.0</v>
      </c>
      <c r="BY2" s="4">
        <f>0.5*10</f>
        <v>5</v>
      </c>
      <c r="BZ2" s="4">
        <v>64.0</v>
      </c>
      <c r="CA2" s="4">
        <v>32.0</v>
      </c>
      <c r="CB2" s="4">
        <f>0.5*0.5</f>
        <v>0.25</v>
      </c>
      <c r="CC2" s="4">
        <v>2.0</v>
      </c>
      <c r="CD2" s="4">
        <f t="shared" ref="CD2:CD5" si="14">0.5*5</f>
        <v>2.5</v>
      </c>
      <c r="CE2" s="4">
        <f t="shared" ref="CE2:CE5" si="15">0.5*0.5</f>
        <v>0.25</v>
      </c>
      <c r="CF2" s="4">
        <v>807.0</v>
      </c>
      <c r="CG2" s="4">
        <v>1787.0</v>
      </c>
      <c r="CH2" s="4">
        <v>2.0</v>
      </c>
      <c r="CI2" s="4"/>
      <c r="CJ2" s="4">
        <f t="shared" ref="CJ2:CJ19" si="16">0.5*0.002</f>
        <v>0.001</v>
      </c>
      <c r="CK2" s="4">
        <v>0.02</v>
      </c>
      <c r="CL2" s="4"/>
      <c r="CM2" s="4">
        <v>0.3</v>
      </c>
      <c r="CN2" s="4">
        <v>0.0</v>
      </c>
      <c r="CO2" s="4">
        <v>703.3</v>
      </c>
      <c r="CP2" s="4"/>
      <c r="CQ2" s="4">
        <v>87.91</v>
      </c>
      <c r="CR2" s="4"/>
      <c r="CS2" s="4">
        <v>692.31</v>
      </c>
      <c r="CT2" s="4"/>
      <c r="CU2" s="4"/>
      <c r="CV2" s="4"/>
      <c r="CW2" s="4">
        <v>7241.76</v>
      </c>
      <c r="CX2" s="4">
        <v>32.97</v>
      </c>
      <c r="CY2" s="4"/>
      <c r="CZ2" s="4">
        <v>0.0</v>
      </c>
      <c r="DA2" s="4"/>
    </row>
    <row r="3">
      <c r="A3" s="4" t="s">
        <v>115</v>
      </c>
      <c r="B3" s="4" t="s">
        <v>116</v>
      </c>
      <c r="C3" s="5" t="s">
        <v>107</v>
      </c>
      <c r="D3" s="5" t="s">
        <v>117</v>
      </c>
      <c r="E3" s="4" t="s">
        <v>109</v>
      </c>
      <c r="F3" s="4" t="s">
        <v>110</v>
      </c>
      <c r="G3" s="4" t="s">
        <v>111</v>
      </c>
      <c r="H3" s="4" t="s">
        <v>118</v>
      </c>
      <c r="J3" s="4" t="s">
        <v>119</v>
      </c>
      <c r="K3" s="4" t="s">
        <v>120</v>
      </c>
      <c r="L3" s="4">
        <v>-22.5311</v>
      </c>
      <c r="M3" s="4">
        <v>-66.3491</v>
      </c>
      <c r="N3" s="4">
        <v>0.739</v>
      </c>
      <c r="O3" s="4">
        <v>1.0</v>
      </c>
      <c r="P3" s="4">
        <v>710.5</v>
      </c>
      <c r="Q3" s="4">
        <v>134.5</v>
      </c>
      <c r="R3" s="4">
        <v>8.41</v>
      </c>
      <c r="S3" s="4">
        <v>-85.7</v>
      </c>
      <c r="T3" s="4">
        <v>1407.0</v>
      </c>
      <c r="U3" s="4">
        <v>0.7</v>
      </c>
      <c r="V3" s="4">
        <v>14.8</v>
      </c>
      <c r="W3" s="4">
        <v>6.53</v>
      </c>
      <c r="X3" s="4">
        <v>102.8</v>
      </c>
      <c r="Y3" s="4">
        <v>633.8</v>
      </c>
      <c r="Z3" s="4">
        <v>1594.0</v>
      </c>
      <c r="AA3" s="4">
        <v>823.0</v>
      </c>
      <c r="AB3" s="4">
        <v>534.0</v>
      </c>
      <c r="AC3" s="4">
        <v>31.0</v>
      </c>
      <c r="AD3" s="4">
        <v>198.0</v>
      </c>
      <c r="AE3" s="4">
        <v>0.1</v>
      </c>
      <c r="AF3" s="4">
        <v>110.0</v>
      </c>
      <c r="AG3" s="4">
        <v>133.9</v>
      </c>
      <c r="AH3" s="4">
        <v>114.9</v>
      </c>
      <c r="AI3" s="4">
        <v>59.65</v>
      </c>
      <c r="AJ3" s="4">
        <v>15.08</v>
      </c>
      <c r="AK3" s="4">
        <v>207.9</v>
      </c>
      <c r="AL3" s="4">
        <v>23.59</v>
      </c>
      <c r="AM3" s="4">
        <v>60.38</v>
      </c>
      <c r="AN3" s="4">
        <v>20.47</v>
      </c>
      <c r="AO3" s="4">
        <v>210.9</v>
      </c>
      <c r="AP3" s="4">
        <v>25.66</v>
      </c>
      <c r="AQ3" s="4">
        <v>1.1</v>
      </c>
      <c r="AR3" s="4">
        <v>0.4</v>
      </c>
      <c r="AS3" s="4">
        <v>0.14</v>
      </c>
      <c r="AT3" s="4">
        <f t="shared" si="4"/>
        <v>0.01</v>
      </c>
      <c r="AU3" s="4">
        <v>2.5</v>
      </c>
      <c r="AV3" s="4">
        <v>15.54</v>
      </c>
      <c r="AW3" s="4">
        <v>10.0</v>
      </c>
      <c r="AX3" s="4">
        <f>0.5*5</f>
        <v>2.5</v>
      </c>
      <c r="AY3" s="4">
        <v>14.0</v>
      </c>
      <c r="AZ3" s="4">
        <v>540.0</v>
      </c>
      <c r="BA3" s="4">
        <v>40.0</v>
      </c>
      <c r="BB3" s="4"/>
      <c r="BC3" s="4"/>
      <c r="BD3" s="4">
        <v>140.0</v>
      </c>
      <c r="BE3" s="4">
        <f t="shared" ref="BE3:BF3" si="5">0.5*10</f>
        <v>5</v>
      </c>
      <c r="BF3" s="4">
        <f t="shared" si="5"/>
        <v>5</v>
      </c>
      <c r="BG3" s="4">
        <f t="shared" ref="BG3:BH3" si="6">0.5*50</f>
        <v>25</v>
      </c>
      <c r="BH3" s="4">
        <f t="shared" si="6"/>
        <v>25</v>
      </c>
      <c r="BI3" s="4">
        <f t="shared" si="7"/>
        <v>5</v>
      </c>
      <c r="BJ3" s="4">
        <f t="shared" ref="BJ3:BJ4" si="19">0.5*50</f>
        <v>25</v>
      </c>
      <c r="BK3" s="4">
        <f>0.5*1</f>
        <v>0.5</v>
      </c>
      <c r="BL3" s="4">
        <f t="shared" si="8"/>
        <v>5</v>
      </c>
      <c r="BM3" s="4">
        <f t="shared" si="9"/>
        <v>25</v>
      </c>
      <c r="BN3" s="4">
        <v>19.0</v>
      </c>
      <c r="BO3" s="4">
        <v>0.8</v>
      </c>
      <c r="BP3" s="4">
        <f t="shared" si="10"/>
        <v>0.5</v>
      </c>
      <c r="BQ3" s="4">
        <f t="shared" si="11"/>
        <v>2.5</v>
      </c>
      <c r="BR3" s="4">
        <f t="shared" si="12"/>
        <v>0.25</v>
      </c>
      <c r="BS3" s="4">
        <f t="shared" ref="BS3:BS5" si="20">0.5*100</f>
        <v>50</v>
      </c>
      <c r="BT3" s="4">
        <v>23385.0</v>
      </c>
      <c r="BU3" s="4">
        <f>0.5*1</f>
        <v>0.5</v>
      </c>
      <c r="BV3" s="4">
        <f t="shared" si="13"/>
        <v>5</v>
      </c>
      <c r="BW3" s="4">
        <v>277.0</v>
      </c>
      <c r="BX3" s="4">
        <v>10.0</v>
      </c>
      <c r="BY3" s="4">
        <v>25.0</v>
      </c>
      <c r="BZ3" s="4">
        <v>616.0</v>
      </c>
      <c r="CA3" s="4">
        <v>38.0</v>
      </c>
      <c r="CB3" s="4">
        <v>2.9</v>
      </c>
      <c r="CC3" s="4">
        <v>25.0</v>
      </c>
      <c r="CD3" s="4">
        <f t="shared" si="14"/>
        <v>2.5</v>
      </c>
      <c r="CE3" s="4">
        <f t="shared" si="15"/>
        <v>0.25</v>
      </c>
      <c r="CF3" s="4">
        <v>17868.0</v>
      </c>
      <c r="CG3" s="4">
        <v>24079.0</v>
      </c>
      <c r="CH3" s="4">
        <f>0.5*1</f>
        <v>0.5</v>
      </c>
      <c r="CI3" s="4"/>
      <c r="CJ3" s="4">
        <f t="shared" si="16"/>
        <v>0.001</v>
      </c>
      <c r="CK3" s="4">
        <f t="shared" ref="CK3:CK5" si="21">0.5*0.001</f>
        <v>0.0005</v>
      </c>
      <c r="CL3" s="4"/>
      <c r="CM3" s="4">
        <f t="shared" ref="CM3:CM12" si="22">0.5*0.038</f>
        <v>0.019</v>
      </c>
      <c r="CN3" s="4"/>
      <c r="CO3" s="4">
        <v>1153.56</v>
      </c>
      <c r="CP3" s="4">
        <v>2.64</v>
      </c>
      <c r="CQ3" s="4">
        <v>35.58</v>
      </c>
      <c r="CR3" s="4"/>
      <c r="CS3" s="4">
        <v>1299.63</v>
      </c>
      <c r="CT3" s="4">
        <v>3.93</v>
      </c>
      <c r="CU3" s="4">
        <v>46.82</v>
      </c>
      <c r="CV3" s="4"/>
      <c r="CW3" s="4">
        <v>33460.67</v>
      </c>
      <c r="CX3" s="4">
        <v>518.73</v>
      </c>
      <c r="CY3" s="4"/>
      <c r="CZ3" s="4">
        <v>18.73</v>
      </c>
      <c r="DA3" s="4"/>
    </row>
    <row r="4">
      <c r="A4" s="4" t="s">
        <v>121</v>
      </c>
      <c r="B4" s="4" t="s">
        <v>122</v>
      </c>
      <c r="C4" s="5" t="s">
        <v>123</v>
      </c>
      <c r="D4" s="5" t="s">
        <v>124</v>
      </c>
      <c r="E4" s="4" t="s">
        <v>109</v>
      </c>
      <c r="F4" s="4" t="s">
        <v>110</v>
      </c>
      <c r="G4" s="4" t="s">
        <v>111</v>
      </c>
      <c r="H4" s="4" t="s">
        <v>125</v>
      </c>
      <c r="I4" s="4" t="s">
        <v>112</v>
      </c>
      <c r="J4" s="4" t="s">
        <v>126</v>
      </c>
      <c r="K4" s="4" t="s">
        <v>127</v>
      </c>
      <c r="L4" s="4">
        <v>-21.5611</v>
      </c>
      <c r="M4" s="4">
        <v>-65.6473</v>
      </c>
      <c r="N4" s="4">
        <v>1.733</v>
      </c>
      <c r="O4" s="4">
        <v>13.0</v>
      </c>
      <c r="P4" s="4">
        <v>910.0</v>
      </c>
      <c r="Q4" s="4">
        <v>143.2</v>
      </c>
      <c r="R4" s="4">
        <v>8.12</v>
      </c>
      <c r="S4" s="4">
        <v>-71.0</v>
      </c>
      <c r="T4" s="4">
        <v>1098.0</v>
      </c>
      <c r="U4" s="4">
        <v>0.5</v>
      </c>
      <c r="V4" s="4">
        <v>20.6</v>
      </c>
      <c r="W4" s="4">
        <v>6.23</v>
      </c>
      <c r="X4" s="4">
        <v>97.7</v>
      </c>
      <c r="Y4" s="4">
        <f>1.5*1100</f>
        <v>1650</v>
      </c>
      <c r="Z4" s="4">
        <v>22473.0</v>
      </c>
      <c r="AA4" s="4">
        <v>882.0</v>
      </c>
      <c r="AB4" s="4">
        <v>21030.0</v>
      </c>
      <c r="AC4" s="4">
        <v>3.0</v>
      </c>
      <c r="AD4" s="4">
        <v>398.0</v>
      </c>
      <c r="AE4" s="4">
        <f t="shared" ref="AE4:AE9" si="23">0.5*0.1</f>
        <v>0.05</v>
      </c>
      <c r="AF4" s="4">
        <v>140.0</v>
      </c>
      <c r="AG4" s="4">
        <v>43.0</v>
      </c>
      <c r="AH4" s="4">
        <v>435.3</v>
      </c>
      <c r="AI4" s="4">
        <v>80.25</v>
      </c>
      <c r="AJ4" s="4">
        <v>30.05</v>
      </c>
      <c r="AK4" s="4">
        <v>63.5</v>
      </c>
      <c r="AL4" s="4">
        <v>11.0</v>
      </c>
      <c r="AM4" s="4">
        <v>436.3</v>
      </c>
      <c r="AN4" s="4">
        <v>431.35</v>
      </c>
      <c r="AO4" s="4">
        <v>114.3</v>
      </c>
      <c r="AP4" s="4">
        <v>25.89</v>
      </c>
      <c r="AQ4" s="4">
        <v>44.5</v>
      </c>
      <c r="AR4" s="4">
        <v>0.3</v>
      </c>
      <c r="AS4" s="4">
        <v>0.23</v>
      </c>
      <c r="AT4" s="4">
        <v>0.02</v>
      </c>
      <c r="AU4" s="4">
        <v>3.36</v>
      </c>
      <c r="AV4" s="4">
        <v>5.74</v>
      </c>
      <c r="AW4" s="4">
        <v>15.0</v>
      </c>
      <c r="AX4" s="4">
        <v>24.0</v>
      </c>
      <c r="AY4" s="4">
        <v>32.0</v>
      </c>
      <c r="AZ4" s="4">
        <f t="shared" ref="AZ4:AZ5" si="24">1.5*100000</f>
        <v>150000</v>
      </c>
      <c r="BA4" s="4">
        <v>630.0</v>
      </c>
      <c r="BB4" s="4"/>
      <c r="BC4" s="4"/>
      <c r="BD4" s="4">
        <v>100.0</v>
      </c>
      <c r="BE4" s="4">
        <f t="shared" ref="BE4:BF4" si="17">0.5*10</f>
        <v>5</v>
      </c>
      <c r="BF4" s="4">
        <f t="shared" si="17"/>
        <v>5</v>
      </c>
      <c r="BG4" s="4">
        <f t="shared" ref="BG4:BH4" si="18">0.5*50</f>
        <v>25</v>
      </c>
      <c r="BH4" s="4">
        <f t="shared" si="18"/>
        <v>25</v>
      </c>
      <c r="BI4" s="4">
        <f t="shared" si="7"/>
        <v>5</v>
      </c>
      <c r="BJ4" s="4">
        <f t="shared" si="19"/>
        <v>25</v>
      </c>
      <c r="BK4" s="4">
        <v>1.0</v>
      </c>
      <c r="BL4" s="4">
        <f t="shared" si="8"/>
        <v>5</v>
      </c>
      <c r="BM4" s="4">
        <f t="shared" si="9"/>
        <v>25</v>
      </c>
      <c r="BN4" s="4">
        <v>10.0</v>
      </c>
      <c r="BO4" s="4">
        <v>1.2</v>
      </c>
      <c r="BP4" s="4">
        <f t="shared" si="10"/>
        <v>0.5</v>
      </c>
      <c r="BQ4" s="4">
        <f t="shared" si="11"/>
        <v>2.5</v>
      </c>
      <c r="BR4" s="4">
        <f t="shared" si="12"/>
        <v>0.25</v>
      </c>
      <c r="BS4" s="4">
        <f t="shared" si="20"/>
        <v>50</v>
      </c>
      <c r="BT4" s="4">
        <v>5492.0</v>
      </c>
      <c r="BU4" s="4">
        <v>3.0</v>
      </c>
      <c r="BV4" s="4">
        <v>708.0</v>
      </c>
      <c r="BW4" s="4">
        <v>15756.0</v>
      </c>
      <c r="BX4" s="4">
        <v>462.0</v>
      </c>
      <c r="BY4" s="4">
        <v>348.0</v>
      </c>
      <c r="BZ4" s="4">
        <v>2696.0</v>
      </c>
      <c r="CA4" s="4">
        <v>196.0</v>
      </c>
      <c r="CB4" s="4">
        <v>7.2</v>
      </c>
      <c r="CC4" s="4">
        <v>365.0</v>
      </c>
      <c r="CD4" s="4">
        <f t="shared" si="14"/>
        <v>2.5</v>
      </c>
      <c r="CE4" s="4">
        <f t="shared" si="15"/>
        <v>0.25</v>
      </c>
      <c r="CF4" s="4">
        <v>1017980.0</v>
      </c>
      <c r="CG4" s="4">
        <v>5792.0</v>
      </c>
      <c r="CH4" s="4">
        <v>13.0</v>
      </c>
      <c r="CI4" s="4"/>
      <c r="CJ4" s="4">
        <f t="shared" si="16"/>
        <v>0.001</v>
      </c>
      <c r="CK4" s="4">
        <f t="shared" si="21"/>
        <v>0.0005</v>
      </c>
      <c r="CL4" s="4"/>
      <c r="CM4" s="4">
        <f t="shared" si="22"/>
        <v>0.019</v>
      </c>
      <c r="CN4" s="4">
        <v>0.48</v>
      </c>
      <c r="CO4" s="4">
        <v>128.2</v>
      </c>
      <c r="CP4" s="4">
        <v>16.83</v>
      </c>
      <c r="CQ4" s="4">
        <v>8.84</v>
      </c>
      <c r="CR4" s="4"/>
      <c r="CS4" s="4">
        <v>14.27</v>
      </c>
      <c r="CT4" s="4">
        <v>0.29</v>
      </c>
      <c r="CU4" s="4">
        <v>16.55</v>
      </c>
      <c r="CV4" s="4">
        <v>33.67</v>
      </c>
      <c r="CW4" s="4">
        <v>48406.09</v>
      </c>
      <c r="CX4" s="4">
        <v>749.22</v>
      </c>
      <c r="CY4" s="4"/>
      <c r="CZ4" s="4">
        <v>21.92</v>
      </c>
      <c r="DA4" s="4"/>
    </row>
    <row r="5">
      <c r="A5" s="4" t="s">
        <v>128</v>
      </c>
      <c r="B5" s="4" t="s">
        <v>129</v>
      </c>
      <c r="C5" s="5" t="s">
        <v>123</v>
      </c>
      <c r="D5" s="5" t="s">
        <v>130</v>
      </c>
      <c r="E5" s="4" t="s">
        <v>109</v>
      </c>
      <c r="F5" s="4" t="s">
        <v>110</v>
      </c>
      <c r="G5" s="4" t="s">
        <v>111</v>
      </c>
      <c r="H5" s="4" t="s">
        <v>131</v>
      </c>
      <c r="I5" s="4" t="s">
        <v>112</v>
      </c>
      <c r="J5" s="4" t="s">
        <v>132</v>
      </c>
      <c r="K5" s="4" t="s">
        <v>133</v>
      </c>
      <c r="L5" s="4">
        <v>-21.5097</v>
      </c>
      <c r="M5" s="4">
        <v>-65.6977</v>
      </c>
      <c r="N5" s="4">
        <v>1.718</v>
      </c>
      <c r="O5" s="4">
        <v>3.0</v>
      </c>
      <c r="P5" s="4">
        <v>704.0</v>
      </c>
      <c r="Q5" s="4">
        <v>141.6</v>
      </c>
      <c r="R5" s="4">
        <v>8.186</v>
      </c>
      <c r="S5" s="4">
        <v>-74.9</v>
      </c>
      <c r="T5" s="4">
        <v>1420.0</v>
      </c>
      <c r="U5" s="4">
        <v>0.7</v>
      </c>
      <c r="V5" s="4">
        <v>20.15</v>
      </c>
      <c r="W5" s="4">
        <v>6.2</v>
      </c>
      <c r="X5" s="4">
        <v>97.0</v>
      </c>
      <c r="Y5" s="4">
        <v>1067.0</v>
      </c>
      <c r="Z5" s="4">
        <v>2209.0</v>
      </c>
      <c r="AA5" s="4">
        <v>1190.0</v>
      </c>
      <c r="AB5" s="4">
        <v>1494.0</v>
      </c>
      <c r="AC5" s="4">
        <v>9.0</v>
      </c>
      <c r="AD5" s="4">
        <v>472.0</v>
      </c>
      <c r="AE5" s="4">
        <f t="shared" si="23"/>
        <v>0.05</v>
      </c>
      <c r="AF5" s="4">
        <v>165.0</v>
      </c>
      <c r="AG5" s="4">
        <v>51.0</v>
      </c>
      <c r="AH5" s="4">
        <v>593.1</v>
      </c>
      <c r="AI5" s="4">
        <v>86.05</v>
      </c>
      <c r="AJ5" s="4">
        <v>86.23</v>
      </c>
      <c r="AK5" s="4">
        <v>55.68</v>
      </c>
      <c r="AL5" s="4">
        <v>11.15</v>
      </c>
      <c r="AM5" s="4">
        <v>117.1</v>
      </c>
      <c r="AN5" s="4">
        <v>96.98</v>
      </c>
      <c r="AO5" s="4">
        <v>71.34</v>
      </c>
      <c r="AP5" s="4">
        <v>14.05</v>
      </c>
      <c r="AQ5" s="4">
        <v>1.6</v>
      </c>
      <c r="AR5" s="4">
        <v>0.5</v>
      </c>
      <c r="AS5" s="4">
        <v>2.54</v>
      </c>
      <c r="AT5" s="4">
        <v>0.05</v>
      </c>
      <c r="AU5" s="4">
        <v>4.59</v>
      </c>
      <c r="AV5" s="4">
        <v>6.44</v>
      </c>
      <c r="AW5" s="4">
        <v>10.0</v>
      </c>
      <c r="AX5" s="4">
        <v>10.0</v>
      </c>
      <c r="AY5" s="4">
        <v>13.0</v>
      </c>
      <c r="AZ5" s="4">
        <f t="shared" si="24"/>
        <v>150000</v>
      </c>
      <c r="BA5" s="4">
        <f>1.5*100000</f>
        <v>150000</v>
      </c>
      <c r="BB5" s="4"/>
      <c r="BC5" s="4"/>
      <c r="BD5" s="4">
        <v>5.0</v>
      </c>
      <c r="BE5" s="4">
        <f t="shared" ref="BE5:BF5" si="25">0.5*10</f>
        <v>5</v>
      </c>
      <c r="BF5" s="4">
        <f t="shared" si="25"/>
        <v>5</v>
      </c>
      <c r="BG5" s="4">
        <f t="shared" ref="BG5:BH5" si="26">0.5*50</f>
        <v>25</v>
      </c>
      <c r="BH5" s="4">
        <f t="shared" si="26"/>
        <v>25</v>
      </c>
      <c r="BI5" s="4">
        <f t="shared" si="7"/>
        <v>5</v>
      </c>
      <c r="BJ5" s="4">
        <v>410.0</v>
      </c>
      <c r="BK5" s="4">
        <v>5.0</v>
      </c>
      <c r="BL5" s="4">
        <f t="shared" si="8"/>
        <v>5</v>
      </c>
      <c r="BM5" s="4">
        <f t="shared" si="9"/>
        <v>25</v>
      </c>
      <c r="BN5" s="4">
        <v>2.0</v>
      </c>
      <c r="BO5" s="4">
        <f>0.5*0.5</f>
        <v>0.25</v>
      </c>
      <c r="BP5" s="4">
        <f t="shared" si="10"/>
        <v>0.5</v>
      </c>
      <c r="BQ5" s="4">
        <f t="shared" si="11"/>
        <v>2.5</v>
      </c>
      <c r="BR5" s="4">
        <f t="shared" si="12"/>
        <v>0.25</v>
      </c>
      <c r="BS5" s="4">
        <f t="shared" si="20"/>
        <v>50</v>
      </c>
      <c r="BT5" s="4">
        <v>3352.0</v>
      </c>
      <c r="BU5" s="4">
        <v>2.0</v>
      </c>
      <c r="BV5" s="4">
        <v>25.0</v>
      </c>
      <c r="BW5" s="4">
        <v>2347.0</v>
      </c>
      <c r="BX5" s="4">
        <v>29.0</v>
      </c>
      <c r="BY5" s="4">
        <v>29.0</v>
      </c>
      <c r="BZ5" s="4">
        <v>692.0</v>
      </c>
      <c r="CA5" s="4">
        <v>20.0</v>
      </c>
      <c r="CB5" s="4">
        <v>2.3</v>
      </c>
      <c r="CC5" s="4">
        <v>151.0</v>
      </c>
      <c r="CD5" s="4">
        <f t="shared" si="14"/>
        <v>2.5</v>
      </c>
      <c r="CE5" s="4">
        <f t="shared" si="15"/>
        <v>0.25</v>
      </c>
      <c r="CF5" s="4">
        <v>52978.0</v>
      </c>
      <c r="CG5" s="4">
        <v>3566.0</v>
      </c>
      <c r="CH5" s="4">
        <v>2.0</v>
      </c>
      <c r="CI5" s="4"/>
      <c r="CJ5" s="4">
        <f t="shared" si="16"/>
        <v>0.001</v>
      </c>
      <c r="CK5" s="4">
        <f t="shared" si="21"/>
        <v>0.0005</v>
      </c>
      <c r="CL5" s="4"/>
      <c r="CM5" s="4">
        <f t="shared" si="22"/>
        <v>0.019</v>
      </c>
      <c r="CN5" s="4">
        <v>0.0</v>
      </c>
      <c r="CO5" s="4">
        <v>463.19</v>
      </c>
      <c r="CP5" s="4">
        <v>93.61</v>
      </c>
      <c r="CQ5" s="4">
        <v>12.05</v>
      </c>
      <c r="CR5" s="4"/>
      <c r="CS5" s="4">
        <v>143.24</v>
      </c>
      <c r="CT5" s="4">
        <v>1.54</v>
      </c>
      <c r="CU5" s="4">
        <v>19.41</v>
      </c>
      <c r="CV5" s="4">
        <v>16.73</v>
      </c>
      <c r="CW5" s="4">
        <v>35460.51</v>
      </c>
      <c r="CX5" s="4">
        <v>1296.52</v>
      </c>
      <c r="CY5" s="4"/>
      <c r="CZ5" s="4">
        <v>16.06</v>
      </c>
      <c r="DA5" s="4"/>
    </row>
    <row r="6">
      <c r="A6" s="4" t="s">
        <v>134</v>
      </c>
      <c r="B6" s="4" t="s">
        <v>135</v>
      </c>
      <c r="C6" s="5" t="s">
        <v>136</v>
      </c>
      <c r="D6" s="5" t="s">
        <v>137</v>
      </c>
      <c r="E6" s="4" t="s">
        <v>109</v>
      </c>
      <c r="F6" s="4" t="s">
        <v>110</v>
      </c>
      <c r="G6" s="4" t="s">
        <v>111</v>
      </c>
      <c r="H6" s="4" t="s">
        <v>134</v>
      </c>
      <c r="I6" s="4" t="s">
        <v>138</v>
      </c>
      <c r="J6" s="4" t="s">
        <v>139</v>
      </c>
      <c r="K6" s="4" t="s">
        <v>140</v>
      </c>
      <c r="L6" s="4">
        <v>-20.8224</v>
      </c>
      <c r="M6" s="4">
        <v>-65.6584</v>
      </c>
      <c r="N6" s="4"/>
      <c r="O6" s="4"/>
      <c r="P6" s="4">
        <v>724.0</v>
      </c>
      <c r="Q6" s="4">
        <v>144.1</v>
      </c>
      <c r="R6" s="4">
        <v>7.247</v>
      </c>
      <c r="S6" s="4">
        <v>-22.3</v>
      </c>
      <c r="T6" s="4">
        <v>1381.0</v>
      </c>
      <c r="U6" s="4">
        <v>0.6</v>
      </c>
      <c r="V6" s="4">
        <v>24.2</v>
      </c>
      <c r="W6" s="4">
        <v>5.88</v>
      </c>
      <c r="X6" s="4">
        <v>97.4</v>
      </c>
      <c r="Y6" s="4">
        <f t="shared" ref="Y6:Y7" si="28">1.5*1100</f>
        <v>1650</v>
      </c>
      <c r="Z6" s="4">
        <v>21355.0</v>
      </c>
      <c r="AA6" s="4">
        <v>1250.0</v>
      </c>
      <c r="AB6" s="4">
        <v>20461.0</v>
      </c>
      <c r="AC6" s="4">
        <v>1.0</v>
      </c>
      <c r="AD6" s="4">
        <v>679.3</v>
      </c>
      <c r="AE6" s="4">
        <f t="shared" si="23"/>
        <v>0.05</v>
      </c>
      <c r="AF6" s="4">
        <v>35.0</v>
      </c>
      <c r="AG6" s="4">
        <v>32.8</v>
      </c>
      <c r="AH6" s="4">
        <v>725.8</v>
      </c>
      <c r="AI6" s="4">
        <v>96.23</v>
      </c>
      <c r="AJ6" s="4">
        <v>83.38</v>
      </c>
      <c r="AK6" s="4">
        <v>52.26</v>
      </c>
      <c r="AL6" s="4">
        <v>14.55</v>
      </c>
      <c r="AM6" s="4">
        <v>126.88</v>
      </c>
      <c r="AN6" s="4">
        <v>166.85</v>
      </c>
      <c r="AO6" s="4">
        <v>74.36</v>
      </c>
      <c r="AP6" s="4">
        <v>21.15</v>
      </c>
      <c r="AQ6" s="4">
        <v>6.9</v>
      </c>
      <c r="AR6" s="4">
        <v>0.2</v>
      </c>
      <c r="AS6" s="4">
        <v>0.2</v>
      </c>
      <c r="AT6" s="4">
        <f t="shared" ref="AT6:AT9" si="29">0.5*0.02</f>
        <v>0.01</v>
      </c>
      <c r="AU6" s="4">
        <v>2.13</v>
      </c>
      <c r="AV6" s="4">
        <v>2.94</v>
      </c>
      <c r="AW6" s="4">
        <v>15.0</v>
      </c>
      <c r="AX6" s="4">
        <v>24.0</v>
      </c>
      <c r="AY6" s="4">
        <v>32.0</v>
      </c>
      <c r="AZ6" s="4">
        <v>200.0</v>
      </c>
      <c r="BA6" s="4">
        <v>36.0</v>
      </c>
      <c r="BB6" s="4"/>
      <c r="BC6" s="4"/>
      <c r="BD6" s="4">
        <v>20.0</v>
      </c>
      <c r="BE6" s="4">
        <f t="shared" ref="BE6:BE93" si="30">0.5*10</f>
        <v>5</v>
      </c>
      <c r="BF6" s="4">
        <v>38.0</v>
      </c>
      <c r="BG6" s="4">
        <f t="shared" ref="BG6:BH6" si="27">0.5*50</f>
        <v>25</v>
      </c>
      <c r="BH6" s="4">
        <f t="shared" si="27"/>
        <v>25</v>
      </c>
      <c r="BI6" s="4">
        <f t="shared" si="7"/>
        <v>5</v>
      </c>
      <c r="BJ6" s="4">
        <v>2260.0</v>
      </c>
      <c r="BK6" s="4">
        <v>27.0</v>
      </c>
      <c r="BL6" s="4">
        <f t="shared" si="8"/>
        <v>5</v>
      </c>
      <c r="BM6" s="4">
        <v>86.0</v>
      </c>
      <c r="BN6" s="4">
        <v>1.0</v>
      </c>
      <c r="BO6" s="4">
        <v>1.0</v>
      </c>
      <c r="BP6" s="4">
        <f t="shared" si="10"/>
        <v>0.5</v>
      </c>
      <c r="BQ6" s="4">
        <f t="shared" si="11"/>
        <v>2.5</v>
      </c>
      <c r="BR6" s="4">
        <f t="shared" si="12"/>
        <v>0.25</v>
      </c>
      <c r="BS6" s="4">
        <v>200.0</v>
      </c>
      <c r="BT6" s="4">
        <v>1989.0</v>
      </c>
      <c r="BU6" s="4">
        <f t="shared" ref="BU6:BU7" si="32">0.5*1</f>
        <v>0.5</v>
      </c>
      <c r="BV6" s="4">
        <v>599.0</v>
      </c>
      <c r="BW6" s="4">
        <v>15867.0</v>
      </c>
      <c r="BX6" s="4">
        <v>560.0</v>
      </c>
      <c r="BY6" s="4">
        <v>823.0</v>
      </c>
      <c r="BZ6" s="4">
        <v>5048.0</v>
      </c>
      <c r="CA6" s="4">
        <v>700.0</v>
      </c>
      <c r="CB6" s="4">
        <v>18.3</v>
      </c>
      <c r="CC6" s="4">
        <v>1010.0</v>
      </c>
      <c r="CD6" s="4">
        <v>10.0</v>
      </c>
      <c r="CE6" s="4">
        <v>1.7</v>
      </c>
      <c r="CF6" s="4">
        <v>936237.0</v>
      </c>
      <c r="CG6" s="4">
        <v>4149.0</v>
      </c>
      <c r="CH6" s="4">
        <v>15.0</v>
      </c>
      <c r="CI6" s="4"/>
      <c r="CJ6" s="4">
        <f t="shared" si="16"/>
        <v>0.001</v>
      </c>
      <c r="CK6" s="4">
        <v>0.004</v>
      </c>
      <c r="CL6" s="4"/>
      <c r="CM6" s="4">
        <f t="shared" si="22"/>
        <v>0.019</v>
      </c>
      <c r="CN6" s="4">
        <v>0.73</v>
      </c>
      <c r="CO6" s="4">
        <v>242.51</v>
      </c>
      <c r="CP6" s="4">
        <v>48.65</v>
      </c>
      <c r="CQ6" s="4">
        <v>34.16</v>
      </c>
      <c r="CR6" s="4">
        <v>1.86</v>
      </c>
      <c r="CS6" s="4">
        <v>105.57</v>
      </c>
      <c r="CT6" s="4">
        <v>0.85</v>
      </c>
      <c r="CU6" s="4">
        <v>40.22</v>
      </c>
      <c r="CV6" s="4">
        <v>29.28</v>
      </c>
      <c r="CW6" s="4">
        <v>45747.37</v>
      </c>
      <c r="CX6" s="4">
        <v>665.02</v>
      </c>
      <c r="CY6" s="4">
        <v>0.08</v>
      </c>
      <c r="CZ6" s="4">
        <v>26.05</v>
      </c>
      <c r="DA6" s="4">
        <v>0.49</v>
      </c>
    </row>
    <row r="7">
      <c r="A7" s="4" t="s">
        <v>141</v>
      </c>
      <c r="B7" s="4" t="s">
        <v>142</v>
      </c>
      <c r="C7" s="5" t="s">
        <v>136</v>
      </c>
      <c r="D7" s="5" t="s">
        <v>143</v>
      </c>
      <c r="E7" s="4" t="s">
        <v>109</v>
      </c>
      <c r="F7" s="4" t="s">
        <v>110</v>
      </c>
      <c r="G7" s="4" t="s">
        <v>111</v>
      </c>
      <c r="H7" s="4" t="s">
        <v>141</v>
      </c>
      <c r="I7" s="4" t="s">
        <v>138</v>
      </c>
      <c r="J7" s="4" t="s">
        <v>144</v>
      </c>
      <c r="K7" s="4" t="s">
        <v>145</v>
      </c>
      <c r="L7" s="4">
        <v>-20.4873</v>
      </c>
      <c r="M7" s="4">
        <v>-65.6176</v>
      </c>
      <c r="N7" s="4">
        <v>1.863</v>
      </c>
      <c r="O7" s="4">
        <v>36.0</v>
      </c>
      <c r="P7" s="4">
        <v>1493.0</v>
      </c>
      <c r="Q7" s="4">
        <v>134.7</v>
      </c>
      <c r="R7" s="4">
        <v>7.96</v>
      </c>
      <c r="S7" s="4">
        <v>-63.1</v>
      </c>
      <c r="T7" s="4">
        <v>670.0</v>
      </c>
      <c r="U7" s="4">
        <v>0.3</v>
      </c>
      <c r="V7" s="4">
        <v>25.1</v>
      </c>
      <c r="W7" s="4">
        <v>5.42</v>
      </c>
      <c r="X7" s="4">
        <v>90.7</v>
      </c>
      <c r="Y7" s="4">
        <f t="shared" si="28"/>
        <v>1650</v>
      </c>
      <c r="Z7" s="4">
        <v>16624.0</v>
      </c>
      <c r="AA7" s="4">
        <v>520.0</v>
      </c>
      <c r="AB7" s="4">
        <v>15881.0</v>
      </c>
      <c r="AC7" s="4">
        <v>16.0</v>
      </c>
      <c r="AD7" s="4">
        <v>246.0</v>
      </c>
      <c r="AE7" s="4">
        <f t="shared" si="23"/>
        <v>0.05</v>
      </c>
      <c r="AF7" s="4">
        <v>105.0</v>
      </c>
      <c r="AG7" s="4">
        <v>26.3</v>
      </c>
      <c r="AH7" s="4">
        <v>220.0</v>
      </c>
      <c r="AI7" s="4">
        <v>41.93</v>
      </c>
      <c r="AJ7" s="4">
        <v>28.36</v>
      </c>
      <c r="AK7" s="4">
        <v>44.48</v>
      </c>
      <c r="AL7" s="4">
        <v>7.87</v>
      </c>
      <c r="AM7" s="4">
        <v>93.58</v>
      </c>
      <c r="AN7" s="4">
        <v>91.55</v>
      </c>
      <c r="AO7" s="4">
        <v>67.22</v>
      </c>
      <c r="AP7" s="4">
        <v>15.29</v>
      </c>
      <c r="AQ7" s="4">
        <v>12.1</v>
      </c>
      <c r="AR7" s="4">
        <v>0.09</v>
      </c>
      <c r="AS7" s="4">
        <v>0.2</v>
      </c>
      <c r="AT7" s="4">
        <f t="shared" si="29"/>
        <v>0.01</v>
      </c>
      <c r="AU7" s="4">
        <v>2.87</v>
      </c>
      <c r="AV7" s="4">
        <v>3.64</v>
      </c>
      <c r="AW7" s="4">
        <v>19.0</v>
      </c>
      <c r="AX7" s="4">
        <v>35.0</v>
      </c>
      <c r="AY7" s="4">
        <v>47.0</v>
      </c>
      <c r="AZ7" s="4">
        <v>85.0</v>
      </c>
      <c r="BA7" s="4">
        <v>30.0</v>
      </c>
      <c r="BB7" s="4"/>
      <c r="BC7" s="4"/>
      <c r="BD7" s="4">
        <v>40.0</v>
      </c>
      <c r="BE7" s="4">
        <f t="shared" si="30"/>
        <v>5</v>
      </c>
      <c r="BF7" s="4">
        <v>10.0</v>
      </c>
      <c r="BG7" s="4">
        <f t="shared" ref="BG7:BH7" si="31">0.5*50</f>
        <v>25</v>
      </c>
      <c r="BH7" s="4">
        <f t="shared" si="31"/>
        <v>25</v>
      </c>
      <c r="BI7" s="4">
        <f t="shared" si="7"/>
        <v>5</v>
      </c>
      <c r="BJ7" s="4">
        <f t="shared" ref="BJ7:BJ8" si="34">0.5*50</f>
        <v>25</v>
      </c>
      <c r="BK7" s="4">
        <f t="shared" ref="BK7:BK8" si="35">0.5*1</f>
        <v>0.5</v>
      </c>
      <c r="BL7" s="4">
        <f t="shared" si="8"/>
        <v>5</v>
      </c>
      <c r="BM7" s="4">
        <v>52.0</v>
      </c>
      <c r="BN7" s="4">
        <v>1.0</v>
      </c>
      <c r="BO7" s="4">
        <f t="shared" ref="BO7:BO8" si="36">0.5*0.5</f>
        <v>0.25</v>
      </c>
      <c r="BP7" s="4">
        <f t="shared" si="10"/>
        <v>0.5</v>
      </c>
      <c r="BQ7" s="4">
        <f t="shared" si="11"/>
        <v>2.5</v>
      </c>
      <c r="BR7" s="4">
        <f t="shared" si="12"/>
        <v>0.25</v>
      </c>
      <c r="BS7" s="4">
        <v>190.0</v>
      </c>
      <c r="BT7" s="4">
        <v>1000.0</v>
      </c>
      <c r="BU7" s="4">
        <f t="shared" si="32"/>
        <v>0.5</v>
      </c>
      <c r="BV7" s="4">
        <v>497.0</v>
      </c>
      <c r="BW7" s="4">
        <v>20239.0</v>
      </c>
      <c r="BX7" s="4">
        <v>514.0</v>
      </c>
      <c r="BY7" s="4">
        <v>495.0</v>
      </c>
      <c r="BZ7" s="4">
        <v>2830.0</v>
      </c>
      <c r="CA7" s="4">
        <v>237.0</v>
      </c>
      <c r="CB7" s="4">
        <v>4.3</v>
      </c>
      <c r="CC7" s="4">
        <v>545.0</v>
      </c>
      <c r="CD7" s="4">
        <f t="shared" ref="CD7:CD11" si="37">0.5*5</f>
        <v>2.5</v>
      </c>
      <c r="CE7" s="4">
        <v>1.1</v>
      </c>
      <c r="CF7" s="4">
        <v>1144140.0</v>
      </c>
      <c r="CG7" s="4">
        <v>1642.0</v>
      </c>
      <c r="CH7" s="4">
        <v>10.0</v>
      </c>
      <c r="CI7" s="4"/>
      <c r="CJ7" s="4">
        <f t="shared" si="16"/>
        <v>0.001</v>
      </c>
      <c r="CK7" s="4">
        <f t="shared" ref="CK7:CK10" si="38">0.5*0.001</f>
        <v>0.0005</v>
      </c>
      <c r="CL7" s="4"/>
      <c r="CM7" s="4">
        <f t="shared" si="22"/>
        <v>0.019</v>
      </c>
      <c r="CN7" s="4">
        <v>0.63</v>
      </c>
      <c r="CO7" s="4">
        <v>174.93</v>
      </c>
      <c r="CP7" s="4">
        <v>33.82</v>
      </c>
      <c r="CQ7" s="4">
        <v>14.86</v>
      </c>
      <c r="CR7" s="4">
        <v>0.63</v>
      </c>
      <c r="CS7" s="4">
        <v>40.43</v>
      </c>
      <c r="CT7" s="4">
        <v>0.27</v>
      </c>
      <c r="CU7" s="4">
        <v>31.17</v>
      </c>
      <c r="CV7" s="4">
        <v>31.3</v>
      </c>
      <c r="CW7" s="4">
        <v>72032.62</v>
      </c>
      <c r="CX7" s="4">
        <v>1274.42</v>
      </c>
      <c r="CY7" s="4">
        <v>0.07</v>
      </c>
      <c r="CZ7" s="4">
        <v>32.37</v>
      </c>
      <c r="DA7" s="4"/>
    </row>
    <row r="8">
      <c r="A8" s="4" t="s">
        <v>146</v>
      </c>
      <c r="B8" s="4" t="s">
        <v>147</v>
      </c>
      <c r="C8" s="5" t="s">
        <v>136</v>
      </c>
      <c r="D8" s="5" t="s">
        <v>148</v>
      </c>
      <c r="E8" s="4" t="s">
        <v>109</v>
      </c>
      <c r="F8" s="4" t="s">
        <v>110</v>
      </c>
      <c r="G8" s="4" t="s">
        <v>111</v>
      </c>
      <c r="H8" s="4" t="s">
        <v>149</v>
      </c>
      <c r="I8" s="4" t="s">
        <v>150</v>
      </c>
      <c r="J8" s="4" t="s">
        <v>151</v>
      </c>
      <c r="K8" s="4" t="s">
        <v>152</v>
      </c>
      <c r="L8" s="4">
        <v>-19.3961</v>
      </c>
      <c r="M8" s="4">
        <v>-65.9069</v>
      </c>
      <c r="N8" s="4">
        <v>1.342</v>
      </c>
      <c r="O8" s="4">
        <v>14.0</v>
      </c>
      <c r="P8" s="4">
        <v>1274.0</v>
      </c>
      <c r="Q8" s="4">
        <v>139.25</v>
      </c>
      <c r="R8" s="4">
        <v>8.24</v>
      </c>
      <c r="S8" s="4">
        <v>-76.1</v>
      </c>
      <c r="T8" s="4">
        <v>786.0</v>
      </c>
      <c r="U8" s="4">
        <v>0.3</v>
      </c>
      <c r="V8" s="4">
        <v>14.4</v>
      </c>
      <c r="W8" s="4">
        <v>6.8</v>
      </c>
      <c r="X8" s="4">
        <v>99.8</v>
      </c>
      <c r="Y8" s="4">
        <v>775.0</v>
      </c>
      <c r="Z8" s="4">
        <v>1619.0</v>
      </c>
      <c r="AA8" s="4">
        <v>545.0</v>
      </c>
      <c r="AB8" s="4">
        <v>1116.0</v>
      </c>
      <c r="AC8" s="4">
        <v>21.0</v>
      </c>
      <c r="AD8" s="4">
        <v>114.0</v>
      </c>
      <c r="AE8" s="4">
        <f t="shared" si="23"/>
        <v>0.05</v>
      </c>
      <c r="AF8" s="4">
        <v>75.0</v>
      </c>
      <c r="AG8" s="4">
        <v>145.8</v>
      </c>
      <c r="AH8" s="4">
        <v>60.3</v>
      </c>
      <c r="AI8" s="4">
        <v>29.74</v>
      </c>
      <c r="AJ8" s="4">
        <v>5.7</v>
      </c>
      <c r="AK8" s="4">
        <v>101.3</v>
      </c>
      <c r="AL8" s="4">
        <v>8.85</v>
      </c>
      <c r="AM8" s="4">
        <v>71.79</v>
      </c>
      <c r="AN8" s="4">
        <v>20.44</v>
      </c>
      <c r="AO8" s="4">
        <v>120.1</v>
      </c>
      <c r="AP8" s="4">
        <v>13.26</v>
      </c>
      <c r="AQ8" s="4">
        <v>2.3</v>
      </c>
      <c r="AR8" s="4">
        <v>0.6</v>
      </c>
      <c r="AS8" s="4">
        <v>0.3</v>
      </c>
      <c r="AT8" s="4">
        <f t="shared" si="29"/>
        <v>0.01</v>
      </c>
      <c r="AU8" s="4">
        <v>2.38</v>
      </c>
      <c r="AV8" s="4">
        <v>4.34</v>
      </c>
      <c r="AW8" s="4">
        <v>10.0</v>
      </c>
      <c r="AX8" s="4">
        <v>11.0</v>
      </c>
      <c r="AY8" s="4">
        <v>15.0</v>
      </c>
      <c r="AZ8" s="4">
        <f>1.5*100000</f>
        <v>150000</v>
      </c>
      <c r="BA8" s="4">
        <v>540.0</v>
      </c>
      <c r="BB8" s="4"/>
      <c r="BC8" s="4"/>
      <c r="BD8" s="4">
        <v>220.0</v>
      </c>
      <c r="BE8" s="4">
        <f t="shared" si="30"/>
        <v>5</v>
      </c>
      <c r="BF8" s="4">
        <f t="shared" ref="BF8:BF11" si="39">0.5*10</f>
        <v>5</v>
      </c>
      <c r="BG8" s="4">
        <f t="shared" ref="BG8:BH8" si="33">0.5*50</f>
        <v>25</v>
      </c>
      <c r="BH8" s="4">
        <f t="shared" si="33"/>
        <v>25</v>
      </c>
      <c r="BI8" s="4">
        <f t="shared" si="7"/>
        <v>5</v>
      </c>
      <c r="BJ8" s="4">
        <f t="shared" si="34"/>
        <v>25</v>
      </c>
      <c r="BK8" s="4">
        <f t="shared" si="35"/>
        <v>0.5</v>
      </c>
      <c r="BL8" s="4">
        <f t="shared" si="8"/>
        <v>5</v>
      </c>
      <c r="BM8" s="4">
        <v>61.0</v>
      </c>
      <c r="BN8" s="4">
        <v>18.0</v>
      </c>
      <c r="BO8" s="4">
        <f t="shared" si="36"/>
        <v>0.25</v>
      </c>
      <c r="BP8" s="4">
        <f t="shared" si="10"/>
        <v>0.5</v>
      </c>
      <c r="BQ8" s="4">
        <f t="shared" si="11"/>
        <v>2.5</v>
      </c>
      <c r="BR8" s="4">
        <f t="shared" si="12"/>
        <v>0.25</v>
      </c>
      <c r="BS8" s="4">
        <f>0.5*100</f>
        <v>50</v>
      </c>
      <c r="BT8" s="4">
        <v>1180.0</v>
      </c>
      <c r="BU8" s="4">
        <v>1.0</v>
      </c>
      <c r="BV8" s="4">
        <v>33.0</v>
      </c>
      <c r="BW8" s="4">
        <v>659.0</v>
      </c>
      <c r="BX8" s="4">
        <v>16.0</v>
      </c>
      <c r="BY8" s="4">
        <v>12.0</v>
      </c>
      <c r="BZ8" s="4">
        <v>105.0</v>
      </c>
      <c r="CA8" s="4">
        <v>21.0</v>
      </c>
      <c r="CB8" s="4">
        <f>0.5*0.5</f>
        <v>0.25</v>
      </c>
      <c r="CC8" s="4">
        <v>16.0</v>
      </c>
      <c r="CD8" s="4">
        <f t="shared" si="37"/>
        <v>2.5</v>
      </c>
      <c r="CE8" s="4">
        <f t="shared" ref="CE8:CE11" si="41">0.5*0.5</f>
        <v>0.25</v>
      </c>
      <c r="CF8" s="4">
        <v>35141.0</v>
      </c>
      <c r="CG8" s="4">
        <v>1311.0</v>
      </c>
      <c r="CH8" s="4">
        <v>1.0</v>
      </c>
      <c r="CI8" s="4"/>
      <c r="CJ8" s="4">
        <f t="shared" si="16"/>
        <v>0.001</v>
      </c>
      <c r="CK8" s="4">
        <f t="shared" si="38"/>
        <v>0.0005</v>
      </c>
      <c r="CL8" s="4"/>
      <c r="CM8" s="4">
        <f t="shared" si="22"/>
        <v>0.019</v>
      </c>
      <c r="CN8" s="4">
        <v>0.0</v>
      </c>
      <c r="CO8" s="4">
        <v>39.43</v>
      </c>
      <c r="CP8" s="4">
        <v>6.41</v>
      </c>
      <c r="CQ8" s="4">
        <v>2.69</v>
      </c>
      <c r="CR8" s="4"/>
      <c r="CS8" s="4">
        <v>117.38</v>
      </c>
      <c r="CT8" s="4"/>
      <c r="CU8" s="4">
        <v>10.75</v>
      </c>
      <c r="CV8" s="4">
        <v>29.57</v>
      </c>
      <c r="CW8" s="4">
        <v>31488.35</v>
      </c>
      <c r="CX8" s="4">
        <v>590.5</v>
      </c>
      <c r="CY8" s="4"/>
      <c r="CZ8" s="4">
        <v>14.34</v>
      </c>
      <c r="DA8" s="4"/>
    </row>
    <row r="9">
      <c r="A9" s="4" t="s">
        <v>153</v>
      </c>
      <c r="B9" s="4" t="s">
        <v>154</v>
      </c>
      <c r="C9" s="5" t="s">
        <v>155</v>
      </c>
      <c r="D9" s="5" t="s">
        <v>156</v>
      </c>
      <c r="E9" s="4" t="s">
        <v>109</v>
      </c>
      <c r="F9" s="4" t="s">
        <v>110</v>
      </c>
      <c r="G9" s="4" t="s">
        <v>111</v>
      </c>
      <c r="H9" s="4" t="s">
        <v>157</v>
      </c>
      <c r="I9" s="4" t="s">
        <v>150</v>
      </c>
      <c r="J9" s="4" t="s">
        <v>158</v>
      </c>
      <c r="K9" s="4" t="s">
        <v>159</v>
      </c>
      <c r="L9" s="4">
        <v>-19.3213</v>
      </c>
      <c r="M9" s="4">
        <v>-65.5519</v>
      </c>
      <c r="N9" s="4">
        <v>0.473</v>
      </c>
      <c r="O9" s="4">
        <v>0.0</v>
      </c>
      <c r="P9" s="4">
        <v>1701.5</v>
      </c>
      <c r="Q9" s="4">
        <v>135.1</v>
      </c>
      <c r="R9" s="4">
        <v>5.03</v>
      </c>
      <c r="S9" s="4">
        <v>100.2</v>
      </c>
      <c r="T9" s="4">
        <v>588.0</v>
      </c>
      <c r="U9" s="4">
        <v>0.2</v>
      </c>
      <c r="V9" s="4">
        <v>14.9</v>
      </c>
      <c r="W9" s="4">
        <v>6.52</v>
      </c>
      <c r="X9" s="4">
        <v>100.3</v>
      </c>
      <c r="Y9" s="4">
        <v>7.33</v>
      </c>
      <c r="Z9" s="4">
        <v>669.0</v>
      </c>
      <c r="AA9" s="4">
        <v>617.0</v>
      </c>
      <c r="AB9" s="4">
        <v>12.0</v>
      </c>
      <c r="AC9" s="4">
        <f>0.5*0.05</f>
        <v>0.025</v>
      </c>
      <c r="AD9" s="4">
        <v>10.0</v>
      </c>
      <c r="AE9" s="4">
        <f t="shared" si="23"/>
        <v>0.05</v>
      </c>
      <c r="AF9" s="4">
        <v>10.0</v>
      </c>
      <c r="AG9" s="4">
        <v>6.0</v>
      </c>
      <c r="AH9" s="4">
        <v>312.9</v>
      </c>
      <c r="AI9" s="4">
        <v>36.79</v>
      </c>
      <c r="AJ9" s="4">
        <v>36.2</v>
      </c>
      <c r="AK9" s="4">
        <v>1.93</v>
      </c>
      <c r="AL9" s="4">
        <v>5.18</v>
      </c>
      <c r="AM9" s="4">
        <v>38.55</v>
      </c>
      <c r="AN9" s="4">
        <v>40.07</v>
      </c>
      <c r="AO9" s="4">
        <v>1.4</v>
      </c>
      <c r="AP9" s="4">
        <v>5.28</v>
      </c>
      <c r="AQ9" s="4">
        <v>0.4</v>
      </c>
      <c r="AR9" s="4">
        <v>0.2</v>
      </c>
      <c r="AS9" s="4">
        <v>0.9</v>
      </c>
      <c r="AT9" s="4">
        <f t="shared" si="29"/>
        <v>0.01</v>
      </c>
      <c r="AU9" s="4">
        <f>0.5*0.01</f>
        <v>0.005</v>
      </c>
      <c r="AV9" s="4">
        <v>5.74</v>
      </c>
      <c r="AW9" s="4">
        <f>0.5*2</f>
        <v>1</v>
      </c>
      <c r="AX9" s="4">
        <f>0.5*5</f>
        <v>2.5</v>
      </c>
      <c r="AY9" s="4">
        <f>0.5*2</f>
        <v>1</v>
      </c>
      <c r="AZ9" s="4">
        <v>0.0</v>
      </c>
      <c r="BA9" s="4">
        <v>0.0</v>
      </c>
      <c r="BB9" s="4"/>
      <c r="BC9" s="4"/>
      <c r="BD9" s="4">
        <v>1.0</v>
      </c>
      <c r="BE9" s="4">
        <f t="shared" si="30"/>
        <v>5</v>
      </c>
      <c r="BF9" s="4">
        <f t="shared" si="39"/>
        <v>5</v>
      </c>
      <c r="BG9" s="4">
        <f t="shared" ref="BG9:BH9" si="40">0.5*50</f>
        <v>25</v>
      </c>
      <c r="BH9" s="4">
        <f t="shared" si="40"/>
        <v>25</v>
      </c>
      <c r="BI9" s="4">
        <f t="shared" si="7"/>
        <v>5</v>
      </c>
      <c r="BJ9" s="4">
        <v>14367.0</v>
      </c>
      <c r="BK9" s="4">
        <v>80.0</v>
      </c>
      <c r="BL9" s="4">
        <v>349.0</v>
      </c>
      <c r="BM9" s="4">
        <v>2244.0</v>
      </c>
      <c r="BN9" s="4">
        <f>0.5*1</f>
        <v>0.5</v>
      </c>
      <c r="BO9" s="4">
        <v>8.2</v>
      </c>
      <c r="BP9" s="4">
        <v>2.0</v>
      </c>
      <c r="BQ9" s="4">
        <f t="shared" si="11"/>
        <v>2.5</v>
      </c>
      <c r="BR9" s="4">
        <f t="shared" si="12"/>
        <v>0.25</v>
      </c>
      <c r="BS9" s="4">
        <v>1155.0</v>
      </c>
      <c r="BT9" s="4">
        <v>157.0</v>
      </c>
      <c r="BU9" s="4">
        <f>0.5*1</f>
        <v>0.5</v>
      </c>
      <c r="BV9" s="4">
        <f>0.5*10</f>
        <v>5</v>
      </c>
      <c r="BW9" s="4">
        <v>16271.0</v>
      </c>
      <c r="BX9" s="4">
        <v>82.0</v>
      </c>
      <c r="BY9" s="4">
        <v>361.0</v>
      </c>
      <c r="BZ9" s="4">
        <v>2303.0</v>
      </c>
      <c r="CA9" s="4">
        <f>0.5*1</f>
        <v>0.5</v>
      </c>
      <c r="CB9" s="4">
        <v>8.3</v>
      </c>
      <c r="CC9" s="4">
        <v>2.0</v>
      </c>
      <c r="CD9" s="4">
        <f t="shared" si="37"/>
        <v>2.5</v>
      </c>
      <c r="CE9" s="4">
        <f t="shared" si="41"/>
        <v>0.25</v>
      </c>
      <c r="CF9" s="4">
        <v>1393.0</v>
      </c>
      <c r="CG9" s="4">
        <v>172.0</v>
      </c>
      <c r="CH9" s="4">
        <v>1.0</v>
      </c>
      <c r="CI9" s="4"/>
      <c r="CJ9" s="4">
        <f t="shared" si="16"/>
        <v>0.001</v>
      </c>
      <c r="CK9" s="4">
        <f t="shared" si="38"/>
        <v>0.0005</v>
      </c>
      <c r="CL9" s="4"/>
      <c r="CM9" s="4">
        <f t="shared" si="22"/>
        <v>0.019</v>
      </c>
      <c r="CN9" s="4">
        <v>83.33</v>
      </c>
      <c r="CO9" s="4">
        <v>4916.67</v>
      </c>
      <c r="CP9" s="4"/>
      <c r="CQ9" s="4"/>
      <c r="CR9" s="4"/>
      <c r="CS9" s="4">
        <v>1250.0</v>
      </c>
      <c r="CT9" s="4">
        <v>8.33</v>
      </c>
      <c r="CU9" s="4">
        <v>1000.0</v>
      </c>
      <c r="CV9" s="4"/>
      <c r="CW9" s="4">
        <v>19833.33</v>
      </c>
      <c r="CX9" s="4">
        <v>158666.67</v>
      </c>
      <c r="CY9" s="4"/>
      <c r="CZ9" s="4">
        <v>166.67</v>
      </c>
      <c r="DA9" s="4"/>
    </row>
    <row r="10">
      <c r="A10" s="4" t="s">
        <v>160</v>
      </c>
      <c r="B10" s="4" t="s">
        <v>161</v>
      </c>
      <c r="C10" s="5" t="s">
        <v>155</v>
      </c>
      <c r="D10" s="5" t="s">
        <v>162</v>
      </c>
      <c r="E10" s="4" t="s">
        <v>109</v>
      </c>
      <c r="F10" s="4" t="s">
        <v>110</v>
      </c>
      <c r="G10" s="4" t="s">
        <v>111</v>
      </c>
      <c r="H10" s="4" t="s">
        <v>149</v>
      </c>
      <c r="I10" s="4" t="s">
        <v>163</v>
      </c>
      <c r="J10" s="4" t="s">
        <v>164</v>
      </c>
      <c r="K10" s="4" t="s">
        <v>165</v>
      </c>
      <c r="L10" s="4">
        <v>-19.361</v>
      </c>
      <c r="M10" s="4">
        <v>-65.1692</v>
      </c>
      <c r="N10" s="4">
        <v>1.689</v>
      </c>
      <c r="O10" s="4">
        <v>24.0</v>
      </c>
      <c r="P10" s="4">
        <v>1274.0</v>
      </c>
      <c r="Q10" s="4">
        <v>159.0</v>
      </c>
      <c r="R10" s="4">
        <v>8.401</v>
      </c>
      <c r="S10" s="4">
        <v>-87.3</v>
      </c>
      <c r="T10" s="4">
        <v>785.0</v>
      </c>
      <c r="U10" s="4">
        <v>0.3</v>
      </c>
      <c r="V10" s="4">
        <v>22.2</v>
      </c>
      <c r="W10" s="4">
        <v>6.7</v>
      </c>
      <c r="X10" s="4">
        <v>100.7</v>
      </c>
      <c r="Y10" s="4">
        <v>1037.0</v>
      </c>
      <c r="Z10" s="4">
        <v>2006.0</v>
      </c>
      <c r="AA10" s="4">
        <v>759.0</v>
      </c>
      <c r="AB10" s="4">
        <v>1280.0</v>
      </c>
      <c r="AC10" s="4">
        <v>5.0</v>
      </c>
      <c r="AD10" s="4">
        <v>202.0</v>
      </c>
      <c r="AE10" s="4">
        <v>10.0</v>
      </c>
      <c r="AF10" s="4">
        <v>110.0</v>
      </c>
      <c r="AG10" s="4">
        <v>98.8</v>
      </c>
      <c r="AH10" s="4">
        <v>122.6</v>
      </c>
      <c r="AI10" s="4">
        <v>42.9</v>
      </c>
      <c r="AJ10" s="4">
        <v>19.1</v>
      </c>
      <c r="AK10" s="4">
        <v>70.17</v>
      </c>
      <c r="AL10" s="4">
        <v>8.46</v>
      </c>
      <c r="AM10" s="4">
        <v>55.09</v>
      </c>
      <c r="AN10" s="4">
        <v>29.9</v>
      </c>
      <c r="AO10" s="4">
        <v>91.12</v>
      </c>
      <c r="AP10" s="4">
        <v>10.22</v>
      </c>
      <c r="AQ10" s="4">
        <v>1.7</v>
      </c>
      <c r="AR10" s="4">
        <v>0.4</v>
      </c>
      <c r="AS10" s="4">
        <v>0.72</v>
      </c>
      <c r="AT10" s="4">
        <v>0.36</v>
      </c>
      <c r="AU10" s="4">
        <v>3.98</v>
      </c>
      <c r="AV10" s="4">
        <v>7.14</v>
      </c>
      <c r="AW10" s="4">
        <v>8.0</v>
      </c>
      <c r="AX10" s="4">
        <v>5.0</v>
      </c>
      <c r="AY10" s="4">
        <v>7.0</v>
      </c>
      <c r="AZ10" s="4">
        <v>174.0</v>
      </c>
      <c r="BA10" s="4">
        <v>50.0</v>
      </c>
      <c r="BB10" s="4"/>
      <c r="BC10" s="4"/>
      <c r="BD10" s="4">
        <v>25.0</v>
      </c>
      <c r="BE10" s="4">
        <f t="shared" si="30"/>
        <v>5</v>
      </c>
      <c r="BF10" s="4">
        <f t="shared" si="39"/>
        <v>5</v>
      </c>
      <c r="BG10" s="4">
        <f t="shared" ref="BG10:BH10" si="42">0.5*50</f>
        <v>25</v>
      </c>
      <c r="BH10" s="4">
        <f t="shared" si="42"/>
        <v>25</v>
      </c>
      <c r="BI10" s="4">
        <f t="shared" si="7"/>
        <v>5</v>
      </c>
      <c r="BJ10" s="4">
        <f t="shared" ref="BJ10:BJ12" si="44">0.5*50</f>
        <v>25</v>
      </c>
      <c r="BK10" s="4">
        <f t="shared" ref="BK10:BK12" si="45">0.5*1</f>
        <v>0.5</v>
      </c>
      <c r="BL10" s="4">
        <f t="shared" ref="BL10:BL12" si="46">0.5*10</f>
        <v>5</v>
      </c>
      <c r="BM10" s="4">
        <f t="shared" ref="BM10:BM12" si="47">0.5*50</f>
        <v>25</v>
      </c>
      <c r="BN10" s="4">
        <v>7.0</v>
      </c>
      <c r="BO10" s="4">
        <f t="shared" ref="BO10:BO12" si="48">0.5*0.5</f>
        <v>0.25</v>
      </c>
      <c r="BP10" s="4">
        <f t="shared" ref="BP10:BP18" si="49">0.5*1</f>
        <v>0.5</v>
      </c>
      <c r="BQ10" s="4">
        <f t="shared" si="11"/>
        <v>2.5</v>
      </c>
      <c r="BR10" s="4">
        <f t="shared" si="12"/>
        <v>0.25</v>
      </c>
      <c r="BS10" s="4">
        <f t="shared" ref="BS10:BS11" si="50">0.5*100</f>
        <v>50</v>
      </c>
      <c r="BT10" s="4">
        <v>905.0</v>
      </c>
      <c r="BU10" s="4">
        <v>1.0</v>
      </c>
      <c r="BV10" s="4">
        <v>44.0</v>
      </c>
      <c r="BW10" s="4">
        <v>797.0</v>
      </c>
      <c r="BX10" s="4">
        <v>28.0</v>
      </c>
      <c r="BY10" s="4">
        <v>20.0</v>
      </c>
      <c r="BZ10" s="4">
        <v>205.0</v>
      </c>
      <c r="CA10" s="4">
        <v>24.0</v>
      </c>
      <c r="CB10" s="4">
        <f>0.5*0.5</f>
        <v>0.25</v>
      </c>
      <c r="CC10" s="4">
        <v>33.0</v>
      </c>
      <c r="CD10" s="4">
        <f t="shared" si="37"/>
        <v>2.5</v>
      </c>
      <c r="CE10" s="4">
        <f t="shared" si="41"/>
        <v>0.25</v>
      </c>
      <c r="CF10" s="4">
        <v>56140.0</v>
      </c>
      <c r="CG10" s="4">
        <v>929.0</v>
      </c>
      <c r="CH10" s="4">
        <v>2.0</v>
      </c>
      <c r="CI10" s="4"/>
      <c r="CJ10" s="4">
        <f t="shared" si="16"/>
        <v>0.001</v>
      </c>
      <c r="CK10" s="4">
        <f t="shared" si="38"/>
        <v>0.0005</v>
      </c>
      <c r="CL10" s="4"/>
      <c r="CM10" s="4">
        <f t="shared" si="22"/>
        <v>0.019</v>
      </c>
      <c r="CN10" s="4">
        <v>0.78</v>
      </c>
      <c r="CO10" s="4">
        <v>160.16</v>
      </c>
      <c r="CP10" s="4">
        <v>19.17</v>
      </c>
      <c r="CQ10" s="4">
        <v>13.28</v>
      </c>
      <c r="CR10" s="4"/>
      <c r="CS10" s="4">
        <v>18.75</v>
      </c>
      <c r="CT10" s="4"/>
      <c r="CU10" s="4">
        <v>15.63</v>
      </c>
      <c r="CV10" s="4">
        <v>34.38</v>
      </c>
      <c r="CW10" s="4">
        <v>43859.38</v>
      </c>
      <c r="CX10" s="4">
        <v>622.66</v>
      </c>
      <c r="CY10" s="4"/>
      <c r="CZ10" s="4">
        <v>21.88</v>
      </c>
      <c r="DA10" s="4"/>
    </row>
    <row r="11">
      <c r="A11" s="4" t="s">
        <v>166</v>
      </c>
      <c r="B11" s="4" t="s">
        <v>167</v>
      </c>
      <c r="C11" s="5" t="s">
        <v>168</v>
      </c>
      <c r="D11" s="5" t="s">
        <v>169</v>
      </c>
      <c r="E11" s="4" t="s">
        <v>109</v>
      </c>
      <c r="F11" s="4" t="s">
        <v>110</v>
      </c>
      <c r="G11" s="4" t="s">
        <v>111</v>
      </c>
      <c r="H11" s="4" t="s">
        <v>149</v>
      </c>
      <c r="I11" s="4" t="s">
        <v>163</v>
      </c>
      <c r="J11" s="4" t="s">
        <v>170</v>
      </c>
      <c r="K11" s="4" t="s">
        <v>171</v>
      </c>
      <c r="L11" s="4">
        <v>-19.4157</v>
      </c>
      <c r="M11" s="4">
        <v>-64.8522</v>
      </c>
      <c r="N11" s="4"/>
      <c r="O11" s="4"/>
      <c r="P11" s="4">
        <v>2500.0</v>
      </c>
      <c r="Q11" s="4">
        <v>162.7</v>
      </c>
      <c r="R11" s="4">
        <v>8.164</v>
      </c>
      <c r="S11" s="4">
        <v>-74.0</v>
      </c>
      <c r="T11" s="4">
        <v>400.0</v>
      </c>
      <c r="U11" s="4">
        <v>0.1</v>
      </c>
      <c r="V11" s="4">
        <v>21.1</v>
      </c>
      <c r="W11" s="4">
        <v>7.0</v>
      </c>
      <c r="X11" s="4">
        <v>100.5</v>
      </c>
      <c r="Y11" s="4">
        <f t="shared" ref="Y11:Y12" si="51">1.5*1100</f>
        <v>1650</v>
      </c>
      <c r="Z11" s="4">
        <v>22229.0</v>
      </c>
      <c r="AA11" s="4">
        <v>1029.0</v>
      </c>
      <c r="AB11" s="4">
        <v>10837.0</v>
      </c>
      <c r="AC11" s="4">
        <v>20.0</v>
      </c>
      <c r="AD11" s="4">
        <v>138.0</v>
      </c>
      <c r="AE11" s="4">
        <f>0.5*0.1</f>
        <v>0.05</v>
      </c>
      <c r="AF11" s="4">
        <v>70.0</v>
      </c>
      <c r="AG11" s="4">
        <v>38.5</v>
      </c>
      <c r="AH11" s="4">
        <v>70.4</v>
      </c>
      <c r="AI11" s="4">
        <v>23.53</v>
      </c>
      <c r="AJ11" s="4">
        <v>12.4</v>
      </c>
      <c r="AK11" s="4">
        <v>30.7</v>
      </c>
      <c r="AL11" s="4">
        <v>5.53</v>
      </c>
      <c r="AM11" s="4">
        <v>83.08</v>
      </c>
      <c r="AN11" s="4">
        <v>80.85</v>
      </c>
      <c r="AO11" s="4">
        <v>33.27</v>
      </c>
      <c r="AP11" s="4">
        <v>9.21</v>
      </c>
      <c r="AQ11" s="4">
        <v>9.1</v>
      </c>
      <c r="AR11" s="4">
        <v>0.2</v>
      </c>
      <c r="AS11" s="4">
        <v>0.71</v>
      </c>
      <c r="AT11" s="4">
        <v>0.15</v>
      </c>
      <c r="AU11" s="4">
        <v>3.61</v>
      </c>
      <c r="AV11" s="4">
        <v>11.34</v>
      </c>
      <c r="AW11" s="4">
        <v>8.0</v>
      </c>
      <c r="AX11" s="4"/>
      <c r="AY11" s="4">
        <v>8.0</v>
      </c>
      <c r="AZ11" s="4"/>
      <c r="BA11" s="4"/>
      <c r="BB11" s="4"/>
      <c r="BC11" s="4"/>
      <c r="BD11" s="4"/>
      <c r="BE11" s="4">
        <f t="shared" si="30"/>
        <v>5</v>
      </c>
      <c r="BF11" s="4">
        <f t="shared" si="39"/>
        <v>5</v>
      </c>
      <c r="BG11" s="4">
        <f t="shared" ref="BG11:BH11" si="43">0.5*50</f>
        <v>25</v>
      </c>
      <c r="BH11" s="4">
        <f t="shared" si="43"/>
        <v>25</v>
      </c>
      <c r="BI11" s="4">
        <f t="shared" si="7"/>
        <v>5</v>
      </c>
      <c r="BJ11" s="4">
        <f t="shared" si="44"/>
        <v>25</v>
      </c>
      <c r="BK11" s="4">
        <f t="shared" si="45"/>
        <v>0.5</v>
      </c>
      <c r="BL11" s="4">
        <f t="shared" si="46"/>
        <v>5</v>
      </c>
      <c r="BM11" s="4">
        <f t="shared" si="47"/>
        <v>25</v>
      </c>
      <c r="BN11" s="4">
        <v>2.0</v>
      </c>
      <c r="BO11" s="4">
        <f t="shared" si="48"/>
        <v>0.25</v>
      </c>
      <c r="BP11" s="4">
        <f t="shared" si="49"/>
        <v>0.5</v>
      </c>
      <c r="BQ11" s="4">
        <f t="shared" si="11"/>
        <v>2.5</v>
      </c>
      <c r="BR11" s="4">
        <f t="shared" si="12"/>
        <v>0.25</v>
      </c>
      <c r="BS11" s="4">
        <f t="shared" si="50"/>
        <v>50</v>
      </c>
      <c r="BT11" s="4">
        <v>523.0</v>
      </c>
      <c r="BU11" s="4">
        <v>2.0</v>
      </c>
      <c r="BV11" s="4">
        <v>206.0</v>
      </c>
      <c r="BW11" s="4">
        <v>9972.0</v>
      </c>
      <c r="BX11" s="4">
        <v>145.0</v>
      </c>
      <c r="BY11" s="4">
        <v>119.0</v>
      </c>
      <c r="BZ11" s="4">
        <v>722.0</v>
      </c>
      <c r="CA11" s="4">
        <v>80.0</v>
      </c>
      <c r="CB11" s="4">
        <v>2.7</v>
      </c>
      <c r="CC11" s="4">
        <v>159.0</v>
      </c>
      <c r="CD11" s="4">
        <f t="shared" si="37"/>
        <v>2.5</v>
      </c>
      <c r="CE11" s="4">
        <f t="shared" si="41"/>
        <v>0.25</v>
      </c>
      <c r="CF11" s="4">
        <v>394543.0</v>
      </c>
      <c r="CG11" s="4">
        <v>661.0</v>
      </c>
      <c r="CH11" s="4">
        <v>8.0</v>
      </c>
      <c r="CI11" s="4"/>
      <c r="CJ11" s="4">
        <f t="shared" si="16"/>
        <v>0.001</v>
      </c>
      <c r="CK11" s="4">
        <v>0.005</v>
      </c>
      <c r="CL11" s="4"/>
      <c r="CM11" s="4">
        <f t="shared" si="22"/>
        <v>0.019</v>
      </c>
      <c r="CN11" s="4">
        <v>0.55</v>
      </c>
      <c r="CO11" s="4">
        <v>66.62</v>
      </c>
      <c r="CP11" s="4">
        <v>14.16</v>
      </c>
      <c r="CQ11" s="4">
        <v>7.2</v>
      </c>
      <c r="CR11" s="4"/>
      <c r="CS11" s="4">
        <v>12.73</v>
      </c>
      <c r="CT11" s="4">
        <v>0.25</v>
      </c>
      <c r="CU11" s="4">
        <v>10.98</v>
      </c>
      <c r="CV11" s="4">
        <v>19.01</v>
      </c>
      <c r="CW11" s="4">
        <v>36407.03</v>
      </c>
      <c r="CX11" s="4">
        <v>920.18</v>
      </c>
      <c r="CY11" s="4"/>
      <c r="CZ11" s="4">
        <v>13.38</v>
      </c>
      <c r="DA11" s="4"/>
    </row>
    <row r="12">
      <c r="A12" s="4" t="s">
        <v>172</v>
      </c>
      <c r="B12" s="4" t="s">
        <v>173</v>
      </c>
      <c r="C12" s="5" t="s">
        <v>174</v>
      </c>
      <c r="D12" s="5" t="s">
        <v>175</v>
      </c>
      <c r="E12" s="4" t="s">
        <v>109</v>
      </c>
      <c r="F12" s="4" t="s">
        <v>110</v>
      </c>
      <c r="G12" s="4" t="s">
        <v>111</v>
      </c>
      <c r="H12" s="4" t="s">
        <v>149</v>
      </c>
      <c r="I12" s="4" t="s">
        <v>150</v>
      </c>
      <c r="J12" s="4" t="s">
        <v>176</v>
      </c>
      <c r="K12" s="4" t="s">
        <v>177</v>
      </c>
      <c r="L12" s="4">
        <v>-19.1308</v>
      </c>
      <c r="M12" s="4">
        <v>-65.4505</v>
      </c>
      <c r="N12" s="4"/>
      <c r="O12" s="4"/>
      <c r="P12" s="4">
        <v>1684.0</v>
      </c>
      <c r="Q12" s="4">
        <v>154.3</v>
      </c>
      <c r="R12" s="4">
        <v>8.25</v>
      </c>
      <c r="S12" s="4">
        <v>-77.05</v>
      </c>
      <c r="T12" s="4">
        <v>594.0</v>
      </c>
      <c r="U12" s="4">
        <v>0.2</v>
      </c>
      <c r="V12" s="4">
        <v>15.7</v>
      </c>
      <c r="W12" s="4">
        <v>7.36</v>
      </c>
      <c r="X12" s="4">
        <v>100.3</v>
      </c>
      <c r="Y12" s="4">
        <f t="shared" si="51"/>
        <v>1650</v>
      </c>
      <c r="Z12" s="4">
        <v>26506.0</v>
      </c>
      <c r="AA12" s="4">
        <v>605.0</v>
      </c>
      <c r="AB12" s="4">
        <v>10323.0</v>
      </c>
      <c r="AC12" s="4">
        <v>4.0</v>
      </c>
      <c r="AD12" s="4">
        <v>184.0</v>
      </c>
      <c r="AE12" s="4">
        <v>10.0</v>
      </c>
      <c r="AF12" s="4">
        <v>85.0</v>
      </c>
      <c r="AG12" s="4">
        <v>56.1</v>
      </c>
      <c r="AH12" s="4">
        <v>129.7</v>
      </c>
      <c r="AI12" s="4">
        <v>32.32</v>
      </c>
      <c r="AJ12" s="4">
        <v>20.15</v>
      </c>
      <c r="AK12" s="4">
        <v>54.25</v>
      </c>
      <c r="AL12" s="4">
        <v>8.75</v>
      </c>
      <c r="AM12" s="4">
        <v>185.09</v>
      </c>
      <c r="AN12" s="4">
        <v>224.35</v>
      </c>
      <c r="AO12" s="4">
        <v>100.9</v>
      </c>
      <c r="AP12" s="4">
        <v>16.87</v>
      </c>
      <c r="AQ12" s="4">
        <v>14.7</v>
      </c>
      <c r="AR12" s="4">
        <v>0.12</v>
      </c>
      <c r="AS12" s="4">
        <v>1.02</v>
      </c>
      <c r="AT12" s="4">
        <v>0.16</v>
      </c>
      <c r="AU12" s="4">
        <v>3.61</v>
      </c>
      <c r="AV12" s="4">
        <v>8.54</v>
      </c>
      <c r="AW12" s="4">
        <v>7.0</v>
      </c>
      <c r="AX12" s="4"/>
      <c r="AY12" s="4">
        <v>3.0</v>
      </c>
      <c r="AZ12" s="4"/>
      <c r="BA12" s="4"/>
      <c r="BB12" s="4"/>
      <c r="BC12" s="4"/>
      <c r="BD12" s="4"/>
      <c r="BE12" s="4">
        <f t="shared" si="30"/>
        <v>5</v>
      </c>
      <c r="BF12" s="4">
        <v>17.0</v>
      </c>
      <c r="BG12" s="4">
        <f t="shared" ref="BG12:BH12" si="52">0.5*50</f>
        <v>25</v>
      </c>
      <c r="BH12" s="4">
        <f t="shared" si="52"/>
        <v>25</v>
      </c>
      <c r="BI12" s="4">
        <f t="shared" si="7"/>
        <v>5</v>
      </c>
      <c r="BJ12" s="4">
        <f t="shared" si="44"/>
        <v>25</v>
      </c>
      <c r="BK12" s="4">
        <f t="shared" si="45"/>
        <v>0.5</v>
      </c>
      <c r="BL12" s="4">
        <f t="shared" si="46"/>
        <v>5</v>
      </c>
      <c r="BM12" s="4">
        <f t="shared" si="47"/>
        <v>25</v>
      </c>
      <c r="BN12" s="4">
        <v>1.0</v>
      </c>
      <c r="BO12" s="4">
        <f t="shared" si="48"/>
        <v>0.25</v>
      </c>
      <c r="BP12" s="4">
        <f t="shared" si="49"/>
        <v>0.5</v>
      </c>
      <c r="BQ12" s="4">
        <f t="shared" si="11"/>
        <v>2.5</v>
      </c>
      <c r="BR12" s="4">
        <f t="shared" si="12"/>
        <v>0.25</v>
      </c>
      <c r="BS12" s="4">
        <v>346.0</v>
      </c>
      <c r="BT12" s="4">
        <v>698.0</v>
      </c>
      <c r="BU12" s="4">
        <v>1.0</v>
      </c>
      <c r="BV12" s="4">
        <v>1238.0</v>
      </c>
      <c r="BW12" s="4">
        <v>52393.0</v>
      </c>
      <c r="BX12" s="4">
        <v>1126.0</v>
      </c>
      <c r="BY12" s="4">
        <v>943.0</v>
      </c>
      <c r="BZ12" s="4">
        <v>3285.0</v>
      </c>
      <c r="CA12" s="4">
        <v>540.0</v>
      </c>
      <c r="CB12" s="4">
        <v>57.0</v>
      </c>
      <c r="CC12" s="4">
        <v>768.0</v>
      </c>
      <c r="CD12" s="4">
        <v>10.0</v>
      </c>
      <c r="CE12" s="4">
        <v>4.7</v>
      </c>
      <c r="CF12" s="4">
        <v>1377210.0</v>
      </c>
      <c r="CG12" s="4">
        <v>2314.0</v>
      </c>
      <c r="CH12" s="4">
        <v>28.0</v>
      </c>
      <c r="CI12" s="4"/>
      <c r="CJ12" s="4">
        <f t="shared" si="16"/>
        <v>0.001</v>
      </c>
      <c r="CK12" s="4">
        <v>0.001</v>
      </c>
      <c r="CL12" s="4"/>
      <c r="CM12" s="4">
        <f t="shared" si="22"/>
        <v>0.019</v>
      </c>
      <c r="CN12" s="4">
        <v>2.62</v>
      </c>
      <c r="CO12" s="4">
        <v>318.22</v>
      </c>
      <c r="CP12" s="4">
        <v>73.55</v>
      </c>
      <c r="CQ12" s="4">
        <v>52.21</v>
      </c>
      <c r="CR12" s="4">
        <v>1.65</v>
      </c>
      <c r="CS12" s="4">
        <v>156.54</v>
      </c>
      <c r="CT12" s="4">
        <v>5.52</v>
      </c>
      <c r="CU12" s="4">
        <v>91.35</v>
      </c>
      <c r="CV12" s="4">
        <v>119.93</v>
      </c>
      <c r="CW12" s="4">
        <v>133378.28</v>
      </c>
      <c r="CX12" s="4">
        <v>5075.37</v>
      </c>
      <c r="CY12" s="4">
        <v>0.46</v>
      </c>
      <c r="CZ12" s="4">
        <v>109.08</v>
      </c>
      <c r="DA12" s="4">
        <v>0.97</v>
      </c>
    </row>
    <row r="13">
      <c r="A13" s="4" t="s">
        <v>178</v>
      </c>
      <c r="B13" s="4" t="s">
        <v>179</v>
      </c>
      <c r="C13" s="5" t="s">
        <v>180</v>
      </c>
      <c r="D13" s="5" t="s">
        <v>181</v>
      </c>
      <c r="E13" s="4" t="s">
        <v>109</v>
      </c>
      <c r="F13" s="4" t="s">
        <v>110</v>
      </c>
      <c r="G13" s="4" t="s">
        <v>111</v>
      </c>
      <c r="H13" s="4" t="s">
        <v>178</v>
      </c>
      <c r="I13" s="4" t="s">
        <v>150</v>
      </c>
      <c r="J13" s="4" t="s">
        <v>182</v>
      </c>
      <c r="K13" s="4" t="s">
        <v>183</v>
      </c>
      <c r="L13" s="4">
        <v>-19.4718</v>
      </c>
      <c r="M13" s="4">
        <v>-65.7943</v>
      </c>
      <c r="N13" s="4">
        <v>0.876</v>
      </c>
      <c r="O13" s="4">
        <v>1.0</v>
      </c>
      <c r="P13" s="4">
        <v>762.0</v>
      </c>
      <c r="Q13" s="4">
        <v>115.6</v>
      </c>
      <c r="R13" s="4">
        <v>7.732</v>
      </c>
      <c r="S13" s="4">
        <v>-49.8</v>
      </c>
      <c r="T13" s="4">
        <v>1314.0</v>
      </c>
      <c r="U13" s="4">
        <v>0.6</v>
      </c>
      <c r="V13" s="4">
        <v>22.1</v>
      </c>
      <c r="W13" s="4">
        <v>4.88</v>
      </c>
      <c r="X13" s="4">
        <v>84.0</v>
      </c>
      <c r="Y13" s="4">
        <v>319.0</v>
      </c>
      <c r="Z13" s="4">
        <v>1180.0</v>
      </c>
      <c r="AA13" s="4">
        <v>927.0</v>
      </c>
      <c r="AB13" s="4">
        <v>252.0</v>
      </c>
      <c r="AC13" s="4">
        <v>14.0</v>
      </c>
      <c r="AD13" s="4">
        <v>357.5</v>
      </c>
      <c r="AE13" s="4">
        <f t="shared" ref="AE13:AE14" si="54">0.5*0.1</f>
        <v>0.05</v>
      </c>
      <c r="AF13" s="4">
        <v>135.0</v>
      </c>
      <c r="AG13" s="4">
        <v>87.6</v>
      </c>
      <c r="AH13" s="4">
        <v>398.9</v>
      </c>
      <c r="AI13" s="4">
        <v>104.38</v>
      </c>
      <c r="AJ13" s="4">
        <v>15.45</v>
      </c>
      <c r="AK13" s="4">
        <v>77.58</v>
      </c>
      <c r="AL13" s="4">
        <v>19.24</v>
      </c>
      <c r="AM13" s="4">
        <v>109.73</v>
      </c>
      <c r="AN13" s="4">
        <v>20.66</v>
      </c>
      <c r="AO13" s="4">
        <v>92.4</v>
      </c>
      <c r="AP13" s="4">
        <v>22.62</v>
      </c>
      <c r="AQ13" s="4">
        <v>2.8</v>
      </c>
      <c r="AR13" s="4">
        <v>0.2</v>
      </c>
      <c r="AS13" s="4">
        <v>22.0</v>
      </c>
      <c r="AT13" s="4">
        <f t="shared" ref="AT13:AT16" si="55">0.5*0.02</f>
        <v>0.01</v>
      </c>
      <c r="AU13" s="4">
        <v>1.4</v>
      </c>
      <c r="AV13" s="4">
        <v>15.54</v>
      </c>
      <c r="AW13" s="4">
        <v>16.0</v>
      </c>
      <c r="AX13" s="4">
        <v>76.0</v>
      </c>
      <c r="AY13" s="4">
        <v>35.0</v>
      </c>
      <c r="AZ13" s="4">
        <v>202.0</v>
      </c>
      <c r="BA13" s="4">
        <v>72.0</v>
      </c>
      <c r="BB13" s="4"/>
      <c r="BC13" s="4"/>
      <c r="BD13" s="4">
        <v>850.0</v>
      </c>
      <c r="BE13" s="4">
        <f t="shared" si="30"/>
        <v>5</v>
      </c>
      <c r="BF13" s="4">
        <f t="shared" ref="BF13:BF17" si="56">0.5*10</f>
        <v>5</v>
      </c>
      <c r="BG13" s="4">
        <f t="shared" ref="BG13:BH13" si="53">0.5*50</f>
        <v>25</v>
      </c>
      <c r="BH13" s="4">
        <f t="shared" si="53"/>
        <v>25</v>
      </c>
      <c r="BI13" s="4">
        <f t="shared" si="7"/>
        <v>5</v>
      </c>
      <c r="BJ13" s="4">
        <v>1927.0</v>
      </c>
      <c r="BK13" s="4">
        <v>16.0</v>
      </c>
      <c r="BL13" s="4">
        <v>16.0</v>
      </c>
      <c r="BM13" s="4">
        <v>1015.0</v>
      </c>
      <c r="BN13" s="4">
        <v>78.0</v>
      </c>
      <c r="BO13" s="4">
        <v>1.8</v>
      </c>
      <c r="BP13" s="4">
        <f t="shared" si="49"/>
        <v>0.5</v>
      </c>
      <c r="BQ13" s="4">
        <f t="shared" si="11"/>
        <v>2.5</v>
      </c>
      <c r="BR13" s="4">
        <f t="shared" si="12"/>
        <v>0.25</v>
      </c>
      <c r="BS13" s="4">
        <v>123.0</v>
      </c>
      <c r="BT13" s="4">
        <v>452.0</v>
      </c>
      <c r="BU13" s="4">
        <v>2.0</v>
      </c>
      <c r="BV13" s="4">
        <f t="shared" ref="BV13:BV16" si="58">0.5*10</f>
        <v>5</v>
      </c>
      <c r="BW13" s="4">
        <v>2428.0</v>
      </c>
      <c r="BX13" s="4">
        <v>18.0</v>
      </c>
      <c r="BY13" s="4">
        <v>61.0</v>
      </c>
      <c r="BZ13" s="4">
        <v>6445.0</v>
      </c>
      <c r="CA13" s="4">
        <v>181.0</v>
      </c>
      <c r="CB13" s="4">
        <v>7.3</v>
      </c>
      <c r="CC13" s="4">
        <v>23.0</v>
      </c>
      <c r="CD13" s="4">
        <f t="shared" ref="CD13:CD18" si="59">0.5*5</f>
        <v>2.5</v>
      </c>
      <c r="CE13" s="4">
        <f t="shared" ref="CE13:CE17" si="60">0.5*0.5</f>
        <v>0.25</v>
      </c>
      <c r="CF13" s="4">
        <v>19031.0</v>
      </c>
      <c r="CG13" s="4">
        <v>567.0</v>
      </c>
      <c r="CH13" s="4">
        <v>2.0</v>
      </c>
      <c r="CI13" s="4"/>
      <c r="CJ13" s="4">
        <f t="shared" si="16"/>
        <v>0.001</v>
      </c>
      <c r="CK13" s="4">
        <f>0.5*0.001</f>
        <v>0.0005</v>
      </c>
      <c r="CL13" s="4"/>
      <c r="CM13" s="4">
        <v>0.24</v>
      </c>
      <c r="CN13" s="4">
        <v>0.0</v>
      </c>
      <c r="CO13" s="4">
        <v>21547.62</v>
      </c>
      <c r="CP13" s="4">
        <v>14.92</v>
      </c>
      <c r="CQ13" s="4">
        <v>408.73</v>
      </c>
      <c r="CR13" s="4"/>
      <c r="CS13" s="4">
        <v>456.35</v>
      </c>
      <c r="CT13" s="4">
        <v>21.83</v>
      </c>
      <c r="CU13" s="4">
        <v>178.57</v>
      </c>
      <c r="CV13" s="4"/>
      <c r="CW13" s="4">
        <v>75031.75</v>
      </c>
      <c r="CX13" s="4">
        <v>1988.1</v>
      </c>
      <c r="CY13" s="4"/>
      <c r="CZ13" s="4">
        <v>7.94</v>
      </c>
      <c r="DA13" s="4"/>
    </row>
    <row r="14">
      <c r="A14" s="4" t="s">
        <v>184</v>
      </c>
      <c r="B14" s="4" t="s">
        <v>185</v>
      </c>
      <c r="C14" s="5" t="s">
        <v>180</v>
      </c>
      <c r="D14" s="5" t="s">
        <v>169</v>
      </c>
      <c r="E14" s="4" t="s">
        <v>109</v>
      </c>
      <c r="F14" s="4" t="s">
        <v>110</v>
      </c>
      <c r="G14" s="4" t="s">
        <v>111</v>
      </c>
      <c r="H14" s="4" t="s">
        <v>186</v>
      </c>
      <c r="I14" s="4" t="s">
        <v>150</v>
      </c>
      <c r="J14" s="4" t="s">
        <v>187</v>
      </c>
      <c r="K14" s="4" t="s">
        <v>188</v>
      </c>
      <c r="L14" s="4">
        <v>-19.5782</v>
      </c>
      <c r="M14" s="4">
        <v>-65.8034</v>
      </c>
      <c r="N14" s="4">
        <v>0.639</v>
      </c>
      <c r="O14" s="4">
        <v>1.0</v>
      </c>
      <c r="P14" s="4">
        <v>660.0</v>
      </c>
      <c r="Q14" s="4">
        <v>126.6</v>
      </c>
      <c r="R14" s="4">
        <v>7.869</v>
      </c>
      <c r="S14" s="4">
        <v>-57.2</v>
      </c>
      <c r="T14" s="4">
        <v>1516.0</v>
      </c>
      <c r="U14" s="4">
        <v>0.7</v>
      </c>
      <c r="V14" s="4">
        <v>20.4</v>
      </c>
      <c r="W14" s="4">
        <v>5.5</v>
      </c>
      <c r="X14" s="4">
        <v>94.4</v>
      </c>
      <c r="Y14" s="4">
        <v>456.0</v>
      </c>
      <c r="Z14" s="4">
        <v>1299.0</v>
      </c>
      <c r="AA14" s="4">
        <v>991.0</v>
      </c>
      <c r="AB14" s="4">
        <v>75.0</v>
      </c>
      <c r="AC14" s="4">
        <v>30.0</v>
      </c>
      <c r="AD14" s="4">
        <v>754.7</v>
      </c>
      <c r="AE14" s="4">
        <f t="shared" si="54"/>
        <v>0.05</v>
      </c>
      <c r="AF14" s="4">
        <v>215.0</v>
      </c>
      <c r="AG14" s="4">
        <v>97.4</v>
      </c>
      <c r="AH14" s="4">
        <v>365.2</v>
      </c>
      <c r="AI14" s="4">
        <v>65.86</v>
      </c>
      <c r="AJ14" s="4">
        <v>16.17</v>
      </c>
      <c r="AK14" s="4">
        <v>99.01</v>
      </c>
      <c r="AL14" s="4">
        <v>46.09</v>
      </c>
      <c r="AM14" s="4">
        <v>71.84</v>
      </c>
      <c r="AN14" s="4">
        <v>19.11</v>
      </c>
      <c r="AO14" s="4">
        <v>101.6</v>
      </c>
      <c r="AP14" s="4">
        <v>46.95</v>
      </c>
      <c r="AQ14" s="4">
        <v>5.3</v>
      </c>
      <c r="AR14" s="4">
        <v>0.3</v>
      </c>
      <c r="AS14" s="4">
        <v>55.7</v>
      </c>
      <c r="AT14" s="4">
        <f t="shared" si="55"/>
        <v>0.01</v>
      </c>
      <c r="AU14" s="4">
        <v>3.49</v>
      </c>
      <c r="AV14" s="4">
        <v>16.94</v>
      </c>
      <c r="AW14" s="4">
        <v>56.0</v>
      </c>
      <c r="AX14" s="4">
        <v>73.0</v>
      </c>
      <c r="AY14" s="4">
        <v>176.0</v>
      </c>
      <c r="AZ14" s="4">
        <v>63300.0</v>
      </c>
      <c r="BA14" s="4">
        <v>47000.0</v>
      </c>
      <c r="BB14" s="4"/>
      <c r="BC14" s="4"/>
      <c r="BD14" s="4">
        <v>100.0</v>
      </c>
      <c r="BE14" s="4">
        <f t="shared" si="30"/>
        <v>5</v>
      </c>
      <c r="BF14" s="4">
        <f t="shared" si="56"/>
        <v>5</v>
      </c>
      <c r="BG14" s="4">
        <f t="shared" ref="BG14:BH14" si="57">0.5*50</f>
        <v>25</v>
      </c>
      <c r="BH14" s="4">
        <f t="shared" si="57"/>
        <v>25</v>
      </c>
      <c r="BI14" s="4">
        <f t="shared" si="7"/>
        <v>5</v>
      </c>
      <c r="BJ14" s="4">
        <v>3130.0</v>
      </c>
      <c r="BK14" s="4">
        <v>40.0</v>
      </c>
      <c r="BL14" s="4">
        <v>88.0</v>
      </c>
      <c r="BM14" s="4">
        <v>2582.0</v>
      </c>
      <c r="BN14" s="4">
        <v>26.0</v>
      </c>
      <c r="BO14" s="4">
        <v>11.3</v>
      </c>
      <c r="BP14" s="4">
        <f t="shared" si="49"/>
        <v>0.5</v>
      </c>
      <c r="BQ14" s="4">
        <f t="shared" si="11"/>
        <v>2.5</v>
      </c>
      <c r="BR14" s="4">
        <f t="shared" si="12"/>
        <v>0.25</v>
      </c>
      <c r="BS14" s="4">
        <v>522.0</v>
      </c>
      <c r="BT14" s="4">
        <v>457.0</v>
      </c>
      <c r="BU14" s="4">
        <v>2.0</v>
      </c>
      <c r="BV14" s="4">
        <f t="shared" si="58"/>
        <v>5</v>
      </c>
      <c r="BW14" s="4">
        <v>3982.0</v>
      </c>
      <c r="BX14" s="4">
        <v>43.0</v>
      </c>
      <c r="BY14" s="4">
        <v>311.0</v>
      </c>
      <c r="BZ14" s="4">
        <v>31362.0</v>
      </c>
      <c r="CA14" s="4">
        <v>221.0</v>
      </c>
      <c r="CB14" s="4">
        <v>37.1</v>
      </c>
      <c r="CC14" s="4">
        <v>104.0</v>
      </c>
      <c r="CD14" s="4">
        <f t="shared" si="59"/>
        <v>2.5</v>
      </c>
      <c r="CE14" s="4">
        <f t="shared" si="60"/>
        <v>0.25</v>
      </c>
      <c r="CF14" s="4">
        <v>38956.0</v>
      </c>
      <c r="CG14" s="4">
        <v>601.0</v>
      </c>
      <c r="CH14" s="4">
        <v>2.0</v>
      </c>
      <c r="CI14" s="4"/>
      <c r="CJ14" s="4">
        <f t="shared" si="16"/>
        <v>0.001</v>
      </c>
      <c r="CK14" s="4">
        <v>0.035</v>
      </c>
      <c r="CL14" s="4"/>
      <c r="CM14" s="4">
        <v>0.28</v>
      </c>
      <c r="CN14" s="4">
        <v>0.0</v>
      </c>
      <c r="CO14" s="4">
        <v>383733.33</v>
      </c>
      <c r="CP14" s="4">
        <v>772.13</v>
      </c>
      <c r="CQ14" s="4">
        <v>2600.0</v>
      </c>
      <c r="CR14" s="4"/>
      <c r="CS14" s="4">
        <v>1920.0</v>
      </c>
      <c r="CT14" s="4">
        <v>344.0</v>
      </c>
      <c r="CU14" s="4">
        <v>2973.33</v>
      </c>
      <c r="CV14" s="4"/>
      <c r="CW14" s="4">
        <v>512453.33</v>
      </c>
      <c r="CX14" s="4">
        <v>11360.0</v>
      </c>
      <c r="CY14" s="4"/>
      <c r="CZ14" s="4">
        <v>40.0</v>
      </c>
      <c r="DA14" s="4"/>
    </row>
    <row r="15">
      <c r="A15" s="4" t="s">
        <v>189</v>
      </c>
      <c r="B15" s="4" t="s">
        <v>190</v>
      </c>
      <c r="C15" s="5" t="s">
        <v>180</v>
      </c>
      <c r="D15" s="5" t="s">
        <v>191</v>
      </c>
      <c r="E15" s="4" t="s">
        <v>109</v>
      </c>
      <c r="F15" s="4" t="s">
        <v>110</v>
      </c>
      <c r="G15" s="4" t="s">
        <v>111</v>
      </c>
      <c r="H15" s="4" t="s">
        <v>192</v>
      </c>
      <c r="I15" s="4" t="s">
        <v>150</v>
      </c>
      <c r="J15" s="4" t="s">
        <v>193</v>
      </c>
      <c r="K15" s="4" t="s">
        <v>194</v>
      </c>
      <c r="L15" s="4">
        <v>-19.5976</v>
      </c>
      <c r="M15" s="4">
        <v>-65.7314</v>
      </c>
      <c r="N15" s="4"/>
      <c r="O15" s="4"/>
      <c r="P15" s="4">
        <v>2890.0</v>
      </c>
      <c r="Q15" s="4">
        <v>82.6</v>
      </c>
      <c r="R15" s="4">
        <v>7.24</v>
      </c>
      <c r="S15" s="4">
        <v>-24.8</v>
      </c>
      <c r="T15" s="4">
        <v>342.0</v>
      </c>
      <c r="U15" s="4">
        <v>0.1</v>
      </c>
      <c r="V15" s="4">
        <v>9.9</v>
      </c>
      <c r="W15" s="4">
        <v>4.42</v>
      </c>
      <c r="X15" s="4">
        <v>64.5</v>
      </c>
      <c r="Y15" s="4">
        <v>1.62</v>
      </c>
      <c r="Z15" s="4">
        <v>235.0</v>
      </c>
      <c r="AA15" s="4">
        <v>297.0</v>
      </c>
      <c r="AB15" s="4">
        <v>58.0</v>
      </c>
      <c r="AC15" s="4">
        <v>6.0</v>
      </c>
      <c r="AD15" s="4">
        <v>138.0</v>
      </c>
      <c r="AE15" s="4">
        <f>0.5*1</f>
        <v>0.5</v>
      </c>
      <c r="AF15" s="4">
        <v>90.0</v>
      </c>
      <c r="AG15" s="4">
        <v>7.9</v>
      </c>
      <c r="AH15" s="4">
        <v>89.7</v>
      </c>
      <c r="AI15" s="4">
        <v>36.72</v>
      </c>
      <c r="AJ15" s="4">
        <v>4.48</v>
      </c>
      <c r="AK15" s="4">
        <v>14.47</v>
      </c>
      <c r="AL15" s="4">
        <v>5.57</v>
      </c>
      <c r="AM15" s="4">
        <v>40.92</v>
      </c>
      <c r="AN15" s="4">
        <v>4.78</v>
      </c>
      <c r="AO15" s="4">
        <v>16.87</v>
      </c>
      <c r="AP15" s="4">
        <v>5.62</v>
      </c>
      <c r="AQ15" s="4">
        <v>0.2</v>
      </c>
      <c r="AR15" s="4">
        <v>0.2</v>
      </c>
      <c r="AS15" s="4">
        <v>0.3</v>
      </c>
      <c r="AT15" s="4">
        <f t="shared" si="55"/>
        <v>0.01</v>
      </c>
      <c r="AU15" s="4">
        <v>0.66</v>
      </c>
      <c r="AV15" s="4">
        <v>4.34</v>
      </c>
      <c r="AW15" s="4">
        <v>6.0</v>
      </c>
      <c r="AX15" s="4">
        <f t="shared" ref="AX15:AX16" si="62">0.5*5</f>
        <v>2.5</v>
      </c>
      <c r="AY15" s="4">
        <v>7.0</v>
      </c>
      <c r="AZ15" s="4">
        <v>30.0</v>
      </c>
      <c r="BA15" s="4">
        <v>0.0</v>
      </c>
      <c r="BB15" s="4"/>
      <c r="BC15" s="4"/>
      <c r="BD15" s="4">
        <v>40.0</v>
      </c>
      <c r="BE15" s="4">
        <f t="shared" si="30"/>
        <v>5</v>
      </c>
      <c r="BF15" s="4">
        <f t="shared" si="56"/>
        <v>5</v>
      </c>
      <c r="BG15" s="4">
        <f t="shared" ref="BG15:BH15" si="61">0.5*50</f>
        <v>25</v>
      </c>
      <c r="BH15" s="4">
        <f t="shared" si="61"/>
        <v>25</v>
      </c>
      <c r="BI15" s="4">
        <f t="shared" si="7"/>
        <v>5</v>
      </c>
      <c r="BJ15" s="4">
        <v>842.0</v>
      </c>
      <c r="BK15" s="4">
        <f t="shared" ref="BK15:BK17" si="64">0.5*1</f>
        <v>0.5</v>
      </c>
      <c r="BL15" s="4">
        <f t="shared" ref="BL15:BL35" si="65">0.5*10</f>
        <v>5</v>
      </c>
      <c r="BM15" s="4">
        <f t="shared" ref="BM15:BM35" si="66">0.5*50</f>
        <v>25</v>
      </c>
      <c r="BN15" s="4">
        <v>4.0</v>
      </c>
      <c r="BO15" s="4">
        <f t="shared" ref="BO15:BO33" si="67">0.5*0.5</f>
        <v>0.25</v>
      </c>
      <c r="BP15" s="4">
        <f t="shared" si="49"/>
        <v>0.5</v>
      </c>
      <c r="BQ15" s="4">
        <f t="shared" si="11"/>
        <v>2.5</v>
      </c>
      <c r="BR15" s="4">
        <f t="shared" si="12"/>
        <v>0.25</v>
      </c>
      <c r="BS15" s="4">
        <v>1972.0</v>
      </c>
      <c r="BT15" s="4">
        <v>490.0</v>
      </c>
      <c r="BU15" s="4">
        <f t="shared" ref="BU15:BU17" si="68">0.5*1</f>
        <v>0.5</v>
      </c>
      <c r="BV15" s="4">
        <f t="shared" si="58"/>
        <v>5</v>
      </c>
      <c r="BW15" s="4">
        <v>845.0</v>
      </c>
      <c r="BX15" s="4">
        <f>0.5*1</f>
        <v>0.5</v>
      </c>
      <c r="BY15" s="4">
        <f t="shared" ref="BY15:BY16" si="69">0.5*10</f>
        <v>5</v>
      </c>
      <c r="BZ15" s="4">
        <f t="shared" ref="BZ15:BZ16" si="70">0.5*50</f>
        <v>25</v>
      </c>
      <c r="CA15" s="4">
        <v>4.0</v>
      </c>
      <c r="CB15" s="4">
        <f t="shared" ref="CB15:CB16" si="71">0.5*0.5</f>
        <v>0.25</v>
      </c>
      <c r="CC15" s="4">
        <f>0.5*1</f>
        <v>0.5</v>
      </c>
      <c r="CD15" s="4">
        <f t="shared" si="59"/>
        <v>2.5</v>
      </c>
      <c r="CE15" s="4">
        <f t="shared" si="60"/>
        <v>0.25</v>
      </c>
      <c r="CF15" s="4">
        <v>2186.0</v>
      </c>
      <c r="CG15" s="4">
        <v>497.0</v>
      </c>
      <c r="CH15" s="4">
        <f t="shared" ref="CH15:CH17" si="72">0.5*1</f>
        <v>0.5</v>
      </c>
      <c r="CI15" s="4"/>
      <c r="CJ15" s="4">
        <f t="shared" si="16"/>
        <v>0.001</v>
      </c>
      <c r="CK15" s="4">
        <f>0.5*0.001</f>
        <v>0.0005</v>
      </c>
      <c r="CL15" s="4"/>
      <c r="CM15" s="4"/>
      <c r="CN15" s="4"/>
      <c r="CO15" s="4"/>
      <c r="CP15" s="4"/>
      <c r="CQ15" s="4">
        <v>0.0</v>
      </c>
      <c r="CR15" s="4"/>
      <c r="CS15" s="4">
        <v>120.69</v>
      </c>
      <c r="CT15" s="4"/>
      <c r="CU15" s="4"/>
      <c r="CV15" s="4"/>
      <c r="CW15" s="4">
        <v>3689.66</v>
      </c>
      <c r="CX15" s="4">
        <v>51.72</v>
      </c>
      <c r="CY15" s="4"/>
      <c r="CZ15" s="4"/>
      <c r="DA15" s="4"/>
    </row>
    <row r="16">
      <c r="A16" s="4" t="s">
        <v>195</v>
      </c>
      <c r="B16" s="4" t="s">
        <v>196</v>
      </c>
      <c r="C16" s="5" t="s">
        <v>197</v>
      </c>
      <c r="D16" s="5" t="s">
        <v>198</v>
      </c>
      <c r="E16" s="4" t="s">
        <v>109</v>
      </c>
      <c r="F16" s="4" t="s">
        <v>110</v>
      </c>
      <c r="G16" s="4" t="s">
        <v>111</v>
      </c>
      <c r="H16" s="4" t="s">
        <v>199</v>
      </c>
      <c r="J16" s="4" t="s">
        <v>200</v>
      </c>
      <c r="K16" s="4" t="s">
        <v>201</v>
      </c>
      <c r="L16" s="4">
        <v>-19.1322</v>
      </c>
      <c r="M16" s="4">
        <v>-65.5699</v>
      </c>
      <c r="N16" s="4">
        <v>1.603</v>
      </c>
      <c r="O16" s="4">
        <v>1.0</v>
      </c>
      <c r="P16" s="4">
        <v>1262.0</v>
      </c>
      <c r="Q16" s="4">
        <v>145.9</v>
      </c>
      <c r="R16" s="4">
        <v>8.389</v>
      </c>
      <c r="S16" s="4">
        <v>-87.8</v>
      </c>
      <c r="T16" s="4">
        <v>792.0</v>
      </c>
      <c r="U16" s="4">
        <v>0.3</v>
      </c>
      <c r="V16" s="4">
        <v>27.6</v>
      </c>
      <c r="W16" s="4">
        <v>5.62</v>
      </c>
      <c r="X16" s="4">
        <v>100.9</v>
      </c>
      <c r="Y16" s="4">
        <v>338.0</v>
      </c>
      <c r="Z16" s="4">
        <v>950.0</v>
      </c>
      <c r="AA16" s="4">
        <v>655.0</v>
      </c>
      <c r="AB16" s="4">
        <v>423.0</v>
      </c>
      <c r="AC16" s="4">
        <v>1.0</v>
      </c>
      <c r="AD16" s="4">
        <v>378.0</v>
      </c>
      <c r="AE16" s="4">
        <v>15.0</v>
      </c>
      <c r="AF16" s="4">
        <v>205.0</v>
      </c>
      <c r="AG16" s="4">
        <v>7.1</v>
      </c>
      <c r="AH16" s="4">
        <v>228.4</v>
      </c>
      <c r="AI16" s="4">
        <v>51.41</v>
      </c>
      <c r="AJ16" s="4">
        <v>57.46</v>
      </c>
      <c r="AK16" s="4">
        <v>20.73</v>
      </c>
      <c r="AL16" s="4">
        <v>8.63</v>
      </c>
      <c r="AM16" s="4">
        <v>58.07</v>
      </c>
      <c r="AN16" s="4">
        <v>65.58</v>
      </c>
      <c r="AO16" s="4">
        <v>22.38</v>
      </c>
      <c r="AP16" s="4">
        <v>11.57</v>
      </c>
      <c r="AQ16" s="4">
        <v>0.8</v>
      </c>
      <c r="AR16" s="4">
        <v>0.1</v>
      </c>
      <c r="AS16" s="4">
        <v>0.4</v>
      </c>
      <c r="AT16" s="4">
        <f t="shared" si="55"/>
        <v>0.01</v>
      </c>
      <c r="AU16" s="4">
        <v>3.61</v>
      </c>
      <c r="AV16" s="4">
        <v>5.74</v>
      </c>
      <c r="AW16" s="4">
        <f>0.5*2</f>
        <v>1</v>
      </c>
      <c r="AX16" s="4">
        <f t="shared" si="62"/>
        <v>2.5</v>
      </c>
      <c r="AY16" s="4">
        <f>0.5*2</f>
        <v>1</v>
      </c>
      <c r="AZ16" s="4">
        <v>260.0</v>
      </c>
      <c r="BA16" s="4">
        <v>30.0</v>
      </c>
      <c r="BB16" s="4"/>
      <c r="BC16" s="4"/>
      <c r="BD16" s="4">
        <v>650.0</v>
      </c>
      <c r="BE16" s="4">
        <f t="shared" si="30"/>
        <v>5</v>
      </c>
      <c r="BF16" s="4">
        <f t="shared" si="56"/>
        <v>5</v>
      </c>
      <c r="BG16" s="4">
        <f t="shared" ref="BG16:BH16" si="63">0.5*50</f>
        <v>25</v>
      </c>
      <c r="BH16" s="4">
        <f t="shared" si="63"/>
        <v>25</v>
      </c>
      <c r="BI16" s="4">
        <f t="shared" si="7"/>
        <v>5</v>
      </c>
      <c r="BJ16" s="4">
        <f t="shared" ref="BJ16:BJ18" si="74">0.5*50</f>
        <v>25</v>
      </c>
      <c r="BK16" s="4">
        <f t="shared" si="64"/>
        <v>0.5</v>
      </c>
      <c r="BL16" s="4">
        <f t="shared" si="65"/>
        <v>5</v>
      </c>
      <c r="BM16" s="4">
        <f t="shared" si="66"/>
        <v>25</v>
      </c>
      <c r="BN16" s="4">
        <f>0.5*1</f>
        <v>0.5</v>
      </c>
      <c r="BO16" s="4">
        <f t="shared" si="67"/>
        <v>0.25</v>
      </c>
      <c r="BP16" s="4">
        <f t="shared" si="49"/>
        <v>0.5</v>
      </c>
      <c r="BQ16" s="4">
        <f t="shared" si="11"/>
        <v>2.5</v>
      </c>
      <c r="BR16" s="4">
        <f t="shared" si="12"/>
        <v>0.25</v>
      </c>
      <c r="BS16" s="4">
        <f t="shared" ref="BS16:BS18" si="75">0.5*100</f>
        <v>50</v>
      </c>
      <c r="BT16" s="4">
        <v>257.0</v>
      </c>
      <c r="BU16" s="4">
        <f t="shared" si="68"/>
        <v>0.5</v>
      </c>
      <c r="BV16" s="4">
        <f t="shared" si="58"/>
        <v>5</v>
      </c>
      <c r="BW16" s="4">
        <v>287.0</v>
      </c>
      <c r="BX16" s="4">
        <v>5.0</v>
      </c>
      <c r="BY16" s="4">
        <f t="shared" si="69"/>
        <v>5</v>
      </c>
      <c r="BZ16" s="4">
        <f t="shared" si="70"/>
        <v>25</v>
      </c>
      <c r="CA16" s="4">
        <v>4.0</v>
      </c>
      <c r="CB16" s="4">
        <f t="shared" si="71"/>
        <v>0.25</v>
      </c>
      <c r="CC16" s="4">
        <v>4.0</v>
      </c>
      <c r="CD16" s="4">
        <f t="shared" si="59"/>
        <v>2.5</v>
      </c>
      <c r="CE16" s="4">
        <f t="shared" si="60"/>
        <v>0.25</v>
      </c>
      <c r="CF16" s="4">
        <v>10396.0</v>
      </c>
      <c r="CG16" s="4">
        <v>368.0</v>
      </c>
      <c r="CH16" s="4">
        <f t="shared" si="72"/>
        <v>0.5</v>
      </c>
      <c r="CI16" s="4"/>
      <c r="CJ16" s="4">
        <f t="shared" si="16"/>
        <v>0.001</v>
      </c>
      <c r="CK16" s="4">
        <v>0.001</v>
      </c>
      <c r="CL16" s="4">
        <v>0.049</v>
      </c>
      <c r="CM16" s="4">
        <f t="shared" ref="CM16:CM23" si="76">0.5*0.038</f>
        <v>0.019</v>
      </c>
      <c r="CN16" s="4"/>
      <c r="CO16" s="4"/>
      <c r="CP16" s="4"/>
      <c r="CQ16" s="4">
        <v>9.46</v>
      </c>
      <c r="CR16" s="4"/>
      <c r="CS16" s="4">
        <v>262.41</v>
      </c>
      <c r="CT16" s="4"/>
      <c r="CU16" s="4"/>
      <c r="CV16" s="4"/>
      <c r="CW16" s="4">
        <v>24576.83</v>
      </c>
      <c r="CX16" s="4">
        <v>678.49</v>
      </c>
      <c r="CY16" s="4"/>
      <c r="CZ16" s="4">
        <v>11.82</v>
      </c>
      <c r="DA16" s="4"/>
    </row>
    <row r="17">
      <c r="A17" s="4" t="s">
        <v>202</v>
      </c>
      <c r="B17" s="4" t="s">
        <v>203</v>
      </c>
      <c r="C17" s="5" t="s">
        <v>197</v>
      </c>
      <c r="D17" s="5" t="s">
        <v>204</v>
      </c>
      <c r="E17" s="4" t="s">
        <v>109</v>
      </c>
      <c r="F17" s="4" t="s">
        <v>110</v>
      </c>
      <c r="G17" s="4" t="s">
        <v>111</v>
      </c>
      <c r="H17" s="4" t="s">
        <v>149</v>
      </c>
      <c r="J17" s="4" t="s">
        <v>205</v>
      </c>
      <c r="K17" s="4" t="s">
        <v>206</v>
      </c>
      <c r="L17" s="4">
        <v>-19.1323</v>
      </c>
      <c r="M17" s="4">
        <v>-65.572</v>
      </c>
      <c r="N17" s="4">
        <v>1.66</v>
      </c>
      <c r="O17" s="4">
        <v>16.0</v>
      </c>
      <c r="P17" s="4">
        <v>1234.0</v>
      </c>
      <c r="Q17" s="4">
        <v>149.8</v>
      </c>
      <c r="R17" s="4">
        <v>8.33</v>
      </c>
      <c r="S17" s="4">
        <v>-82.8</v>
      </c>
      <c r="T17" s="4">
        <v>811.0</v>
      </c>
      <c r="U17" s="4">
        <v>0.3</v>
      </c>
      <c r="V17" s="4">
        <v>19.8</v>
      </c>
      <c r="W17" s="4">
        <v>6.6</v>
      </c>
      <c r="X17" s="4">
        <v>101.5</v>
      </c>
      <c r="Y17" s="4">
        <f t="shared" ref="Y17:Y23" si="77">1.5*1100</f>
        <v>1650</v>
      </c>
      <c r="Z17" s="4">
        <v>4599.0</v>
      </c>
      <c r="AA17" s="4">
        <v>591.0</v>
      </c>
      <c r="AB17" s="4">
        <v>3281.0</v>
      </c>
      <c r="AC17" s="4">
        <v>24.0</v>
      </c>
      <c r="AD17" s="4">
        <v>216.0</v>
      </c>
      <c r="AE17" s="4">
        <f t="shared" ref="AE17:AE19" si="78">0.5*0.1</f>
        <v>0.05</v>
      </c>
      <c r="AF17" s="4">
        <v>125.0</v>
      </c>
      <c r="AG17" s="4">
        <v>87.9</v>
      </c>
      <c r="AH17" s="4">
        <v>138.4</v>
      </c>
      <c r="AI17" s="4">
        <v>50.39</v>
      </c>
      <c r="AJ17" s="4">
        <v>15.96</v>
      </c>
      <c r="AK17" s="4">
        <v>74.54</v>
      </c>
      <c r="AL17" s="4">
        <v>15.35</v>
      </c>
      <c r="AM17" s="4">
        <v>86.5</v>
      </c>
      <c r="AN17" s="4">
        <v>38.82</v>
      </c>
      <c r="AO17" s="4">
        <v>86.13</v>
      </c>
      <c r="AP17" s="4">
        <v>19.11</v>
      </c>
      <c r="AQ17" s="4">
        <v>0.9</v>
      </c>
      <c r="AR17" s="4">
        <v>0.3</v>
      </c>
      <c r="AS17" s="4">
        <v>2.0</v>
      </c>
      <c r="AT17" s="4">
        <v>0.31</v>
      </c>
      <c r="AU17" s="4">
        <v>7.78</v>
      </c>
      <c r="AV17" s="4">
        <v>5.04</v>
      </c>
      <c r="AW17" s="4">
        <v>6.0</v>
      </c>
      <c r="AX17" s="4">
        <v>3.0</v>
      </c>
      <c r="AY17" s="4">
        <v>6.0</v>
      </c>
      <c r="AZ17" s="4">
        <v>720.0</v>
      </c>
      <c r="BA17" s="4">
        <v>400.0</v>
      </c>
      <c r="BB17" s="4"/>
      <c r="BC17" s="4"/>
      <c r="BD17" s="4">
        <v>150.0</v>
      </c>
      <c r="BE17" s="4">
        <f t="shared" si="30"/>
        <v>5</v>
      </c>
      <c r="BF17" s="4">
        <f t="shared" si="56"/>
        <v>5</v>
      </c>
      <c r="BG17" s="4">
        <f t="shared" ref="BG17:BH17" si="73">0.5*50</f>
        <v>25</v>
      </c>
      <c r="BH17" s="4">
        <f t="shared" si="73"/>
        <v>25</v>
      </c>
      <c r="BI17" s="4">
        <f t="shared" si="7"/>
        <v>5</v>
      </c>
      <c r="BJ17" s="4">
        <f t="shared" si="74"/>
        <v>25</v>
      </c>
      <c r="BK17" s="4">
        <f t="shared" si="64"/>
        <v>0.5</v>
      </c>
      <c r="BL17" s="4">
        <f t="shared" si="65"/>
        <v>5</v>
      </c>
      <c r="BM17" s="4">
        <f t="shared" si="66"/>
        <v>25</v>
      </c>
      <c r="BN17" s="4">
        <v>15.0</v>
      </c>
      <c r="BO17" s="4">
        <f t="shared" si="67"/>
        <v>0.25</v>
      </c>
      <c r="BP17" s="4">
        <f t="shared" si="49"/>
        <v>0.5</v>
      </c>
      <c r="BQ17" s="4">
        <f t="shared" si="11"/>
        <v>2.5</v>
      </c>
      <c r="BR17" s="4">
        <f t="shared" si="12"/>
        <v>0.25</v>
      </c>
      <c r="BS17" s="4">
        <f t="shared" si="75"/>
        <v>50</v>
      </c>
      <c r="BT17" s="4">
        <v>1059.0</v>
      </c>
      <c r="BU17" s="4">
        <f t="shared" si="68"/>
        <v>0.5</v>
      </c>
      <c r="BV17" s="4">
        <v>58.0</v>
      </c>
      <c r="BW17" s="4">
        <v>2807.0</v>
      </c>
      <c r="BX17" s="4">
        <v>63.0</v>
      </c>
      <c r="BY17" s="4">
        <v>81.0</v>
      </c>
      <c r="BZ17" s="4">
        <v>1388.0</v>
      </c>
      <c r="CA17" s="4">
        <v>105.0</v>
      </c>
      <c r="CB17" s="4">
        <v>2.1</v>
      </c>
      <c r="CC17" s="4">
        <v>88.0</v>
      </c>
      <c r="CD17" s="4">
        <f t="shared" si="59"/>
        <v>2.5</v>
      </c>
      <c r="CE17" s="4">
        <f t="shared" si="60"/>
        <v>0.25</v>
      </c>
      <c r="CF17" s="4">
        <v>119988.0</v>
      </c>
      <c r="CG17" s="4">
        <v>1090.0</v>
      </c>
      <c r="CH17" s="4">
        <f t="shared" si="72"/>
        <v>0.5</v>
      </c>
      <c r="CI17" s="4"/>
      <c r="CJ17" s="4">
        <f t="shared" si="16"/>
        <v>0.001</v>
      </c>
      <c r="CK17" s="4">
        <v>0.002</v>
      </c>
      <c r="CL17" s="4">
        <v>0.055</v>
      </c>
      <c r="CM17" s="4">
        <f t="shared" si="76"/>
        <v>0.019</v>
      </c>
      <c r="CN17" s="4"/>
      <c r="CO17" s="4">
        <v>423.04</v>
      </c>
      <c r="CP17" s="4">
        <v>22.14</v>
      </c>
      <c r="CQ17" s="4">
        <v>27.43</v>
      </c>
      <c r="CR17" s="4"/>
      <c r="CS17" s="4">
        <v>9.45</v>
      </c>
      <c r="CT17" s="4">
        <v>0.64</v>
      </c>
      <c r="CU17" s="4">
        <v>24.69</v>
      </c>
      <c r="CV17" s="4">
        <v>17.68</v>
      </c>
      <c r="CW17" s="4">
        <v>36570.56</v>
      </c>
      <c r="CX17" s="4">
        <v>855.53</v>
      </c>
      <c r="CY17" s="4"/>
      <c r="CZ17" s="4">
        <v>19.2</v>
      </c>
      <c r="DA17" s="4"/>
    </row>
    <row r="18">
      <c r="A18" s="4" t="s">
        <v>207</v>
      </c>
      <c r="B18" s="4" t="s">
        <v>208</v>
      </c>
      <c r="C18" s="5" t="s">
        <v>209</v>
      </c>
      <c r="D18" s="5" t="s">
        <v>210</v>
      </c>
      <c r="E18" s="4" t="s">
        <v>109</v>
      </c>
      <c r="F18" s="4" t="s">
        <v>110</v>
      </c>
      <c r="G18" s="4" t="s">
        <v>111</v>
      </c>
      <c r="H18" s="4" t="s">
        <v>141</v>
      </c>
      <c r="I18" s="4" t="s">
        <v>138</v>
      </c>
      <c r="J18" s="4" t="s">
        <v>211</v>
      </c>
      <c r="K18" s="4" t="s">
        <v>212</v>
      </c>
      <c r="L18" s="4">
        <v>-20.7423</v>
      </c>
      <c r="M18" s="4">
        <v>-65.2409</v>
      </c>
      <c r="N18" s="4">
        <v>1.793</v>
      </c>
      <c r="O18" s="4">
        <v>35.0</v>
      </c>
      <c r="P18" s="4">
        <v>2651.0</v>
      </c>
      <c r="Q18" s="4">
        <v>134.05</v>
      </c>
      <c r="R18" s="4">
        <v>7.87</v>
      </c>
      <c r="S18" s="4">
        <v>-58.3</v>
      </c>
      <c r="T18" s="4">
        <v>754.0</v>
      </c>
      <c r="U18" s="4">
        <v>0.3</v>
      </c>
      <c r="V18" s="4">
        <v>24.1</v>
      </c>
      <c r="W18" s="4">
        <v>5.48</v>
      </c>
      <c r="X18" s="4">
        <v>87.5</v>
      </c>
      <c r="Y18" s="4">
        <f t="shared" si="77"/>
        <v>1650</v>
      </c>
      <c r="Z18" s="4">
        <v>51896.0</v>
      </c>
      <c r="AA18" s="4">
        <v>741.0</v>
      </c>
      <c r="AB18" s="4">
        <v>39096.0</v>
      </c>
      <c r="AC18" s="4">
        <v>37.0</v>
      </c>
      <c r="AD18" s="4">
        <v>310.0</v>
      </c>
      <c r="AE18" s="4">
        <f t="shared" si="78"/>
        <v>0.05</v>
      </c>
      <c r="AF18" s="4">
        <v>125.0</v>
      </c>
      <c r="AG18" s="4">
        <v>29.9</v>
      </c>
      <c r="AH18" s="4">
        <v>248.9</v>
      </c>
      <c r="AI18" s="4">
        <v>57.93</v>
      </c>
      <c r="AJ18" s="4">
        <v>37.59</v>
      </c>
      <c r="AK18" s="4">
        <v>41.33</v>
      </c>
      <c r="AL18" s="4">
        <v>9.35</v>
      </c>
      <c r="AM18" s="4">
        <v>98.17</v>
      </c>
      <c r="AN18" s="4">
        <v>97.21</v>
      </c>
      <c r="AO18" s="4">
        <v>47.67</v>
      </c>
      <c r="AP18" s="4">
        <v>17.77</v>
      </c>
      <c r="AQ18" s="4">
        <v>13.3</v>
      </c>
      <c r="AR18" s="4">
        <v>0.2</v>
      </c>
      <c r="AS18" s="4">
        <v>0.2</v>
      </c>
      <c r="AT18" s="4">
        <v>0.06</v>
      </c>
      <c r="AU18" s="4">
        <v>8.88</v>
      </c>
      <c r="AV18" s="4">
        <v>11.34</v>
      </c>
      <c r="AW18" s="4">
        <v>24.0</v>
      </c>
      <c r="AX18" s="4">
        <v>47.0</v>
      </c>
      <c r="AY18" s="4">
        <v>63.0</v>
      </c>
      <c r="AZ18" s="4">
        <v>420.0</v>
      </c>
      <c r="BA18" s="4">
        <v>28.0</v>
      </c>
      <c r="BB18" s="4"/>
      <c r="BC18" s="4"/>
      <c r="BD18" s="4">
        <v>120.0</v>
      </c>
      <c r="BE18" s="4">
        <f t="shared" si="30"/>
        <v>5</v>
      </c>
      <c r="BF18" s="4">
        <v>12.0</v>
      </c>
      <c r="BG18" s="4">
        <f t="shared" ref="BG18:BH18" si="79">0.5*50</f>
        <v>25</v>
      </c>
      <c r="BH18" s="4">
        <f t="shared" si="79"/>
        <v>25</v>
      </c>
      <c r="BI18" s="4">
        <f t="shared" si="7"/>
        <v>5</v>
      </c>
      <c r="BJ18" s="4">
        <f t="shared" si="74"/>
        <v>25</v>
      </c>
      <c r="BK18" s="4">
        <v>2.0</v>
      </c>
      <c r="BL18" s="4">
        <f t="shared" si="65"/>
        <v>5</v>
      </c>
      <c r="BM18" s="4">
        <f t="shared" si="66"/>
        <v>25</v>
      </c>
      <c r="BN18" s="4">
        <v>2.0</v>
      </c>
      <c r="BO18" s="4">
        <f t="shared" si="67"/>
        <v>0.25</v>
      </c>
      <c r="BP18" s="4">
        <f t="shared" si="49"/>
        <v>0.5</v>
      </c>
      <c r="BQ18" s="4">
        <f t="shared" si="11"/>
        <v>2.5</v>
      </c>
      <c r="BR18" s="4">
        <f t="shared" si="12"/>
        <v>0.25</v>
      </c>
      <c r="BS18" s="4">
        <f t="shared" si="75"/>
        <v>50</v>
      </c>
      <c r="BT18" s="4">
        <v>1194.0</v>
      </c>
      <c r="BU18" s="4">
        <v>1.0</v>
      </c>
      <c r="BV18" s="4">
        <v>404.0</v>
      </c>
      <c r="BW18" s="4">
        <v>18778.0</v>
      </c>
      <c r="BX18" s="4">
        <v>405.0</v>
      </c>
      <c r="BY18" s="4">
        <v>355.0</v>
      </c>
      <c r="BZ18" s="4">
        <v>2717.0</v>
      </c>
      <c r="CA18" s="4">
        <v>187.0</v>
      </c>
      <c r="CB18" s="4">
        <v>3.2</v>
      </c>
      <c r="CC18" s="4">
        <v>429.0</v>
      </c>
      <c r="CD18" s="4">
        <f t="shared" si="59"/>
        <v>2.5</v>
      </c>
      <c r="CE18" s="4">
        <v>0.6</v>
      </c>
      <c r="CF18" s="4">
        <v>1222940.0</v>
      </c>
      <c r="CG18" s="4">
        <v>1528.0</v>
      </c>
      <c r="CH18" s="4">
        <v>12.0</v>
      </c>
      <c r="CI18" s="4"/>
      <c r="CJ18" s="4">
        <f t="shared" si="16"/>
        <v>0.001</v>
      </c>
      <c r="CK18" s="4">
        <f>0.5*0.001</f>
        <v>0.0005</v>
      </c>
      <c r="CL18" s="4">
        <v>0.042</v>
      </c>
      <c r="CM18" s="4">
        <f t="shared" si="76"/>
        <v>0.019</v>
      </c>
      <c r="CN18" s="4">
        <v>0.28</v>
      </c>
      <c r="CO18" s="4">
        <v>69.5</v>
      </c>
      <c r="CP18" s="4">
        <v>10.73</v>
      </c>
      <c r="CQ18" s="4">
        <v>4.73</v>
      </c>
      <c r="CR18" s="4">
        <v>0.31</v>
      </c>
      <c r="CS18" s="4">
        <v>8.54</v>
      </c>
      <c r="CT18" s="4">
        <v>0.08</v>
      </c>
      <c r="CU18" s="4">
        <v>9.08</v>
      </c>
      <c r="CV18" s="4">
        <v>10.33</v>
      </c>
      <c r="CW18" s="4">
        <v>31280.44</v>
      </c>
      <c r="CX18" s="4">
        <v>480.3</v>
      </c>
      <c r="CY18" s="4">
        <v>0.02</v>
      </c>
      <c r="CZ18" s="4">
        <v>10.31</v>
      </c>
      <c r="DA18" s="4"/>
    </row>
    <row r="19">
      <c r="A19" s="4" t="s">
        <v>213</v>
      </c>
      <c r="B19" s="4" t="s">
        <v>214</v>
      </c>
      <c r="C19" s="5" t="s">
        <v>209</v>
      </c>
      <c r="D19" s="5" t="s">
        <v>215</v>
      </c>
      <c r="E19" s="4" t="s">
        <v>109</v>
      </c>
      <c r="F19" s="4" t="s">
        <v>110</v>
      </c>
      <c r="G19" s="4" t="s">
        <v>111</v>
      </c>
      <c r="H19" s="4" t="s">
        <v>125</v>
      </c>
      <c r="I19" s="4" t="s">
        <v>112</v>
      </c>
      <c r="J19" s="4" t="s">
        <v>216</v>
      </c>
      <c r="K19" s="4" t="s">
        <v>217</v>
      </c>
      <c r="L19" s="4">
        <v>-21.2393</v>
      </c>
      <c r="M19" s="4">
        <v>-65.2091</v>
      </c>
      <c r="N19" s="4"/>
      <c r="O19" s="4"/>
      <c r="P19" s="4">
        <v>738.0</v>
      </c>
      <c r="Q19" s="4">
        <v>19.2</v>
      </c>
      <c r="R19" s="4">
        <v>7.63</v>
      </c>
      <c r="S19" s="4">
        <v>-45.0</v>
      </c>
      <c r="T19" s="4">
        <v>1354.0</v>
      </c>
      <c r="U19" s="4">
        <v>0.6</v>
      </c>
      <c r="V19" s="4">
        <v>22.7</v>
      </c>
      <c r="W19" s="4">
        <v>0.81</v>
      </c>
      <c r="X19" s="4">
        <v>12.5</v>
      </c>
      <c r="Y19" s="4">
        <f t="shared" si="77"/>
        <v>1650</v>
      </c>
      <c r="Z19" s="4">
        <v>131004.0</v>
      </c>
      <c r="AA19" s="4">
        <v>1343.0</v>
      </c>
      <c r="AB19" s="4">
        <v>87656.0</v>
      </c>
      <c r="AC19" s="4">
        <v>33.0</v>
      </c>
      <c r="AD19" s="4">
        <v>564.8</v>
      </c>
      <c r="AE19" s="4">
        <f t="shared" si="78"/>
        <v>0.05</v>
      </c>
      <c r="AF19" s="4">
        <v>180.0</v>
      </c>
      <c r="AG19" s="4">
        <v>62.7</v>
      </c>
      <c r="AH19" s="4">
        <v>546.4</v>
      </c>
      <c r="AI19" s="4">
        <v>120.76</v>
      </c>
      <c r="AJ19" s="4">
        <v>55.63</v>
      </c>
      <c r="AK19" s="4">
        <v>85.75</v>
      </c>
      <c r="AL19" s="4">
        <v>10.06</v>
      </c>
      <c r="AM19" s="4">
        <v>380.4</v>
      </c>
      <c r="AN19" s="4">
        <v>280.5</v>
      </c>
      <c r="AO19" s="4">
        <v>112.3</v>
      </c>
      <c r="AP19" s="4">
        <v>26.68</v>
      </c>
      <c r="AQ19" s="4">
        <v>9.8</v>
      </c>
      <c r="AR19" s="4">
        <v>0.3</v>
      </c>
      <c r="AS19" s="4">
        <v>0.17</v>
      </c>
      <c r="AT19" s="4">
        <v>0.19</v>
      </c>
      <c r="AU19" s="4">
        <v>8.27</v>
      </c>
      <c r="AV19" s="4">
        <v>15.54</v>
      </c>
      <c r="AW19" s="4">
        <v>29.0</v>
      </c>
      <c r="AX19" s="4">
        <v>62.0</v>
      </c>
      <c r="AY19" s="4">
        <v>82.0</v>
      </c>
      <c r="AZ19" s="4">
        <v>120.0</v>
      </c>
      <c r="BA19" s="4">
        <v>20.0</v>
      </c>
      <c r="BB19" s="4"/>
      <c r="BC19" s="4"/>
      <c r="BD19" s="4">
        <v>420.0</v>
      </c>
      <c r="BE19" s="4">
        <f t="shared" si="30"/>
        <v>5</v>
      </c>
      <c r="BF19" s="4">
        <v>38.0</v>
      </c>
      <c r="BG19" s="4">
        <f t="shared" ref="BG19:BH19" si="80">0.5*50</f>
        <v>25</v>
      </c>
      <c r="BH19" s="4">
        <f t="shared" si="80"/>
        <v>25</v>
      </c>
      <c r="BI19" s="4">
        <f t="shared" si="7"/>
        <v>5</v>
      </c>
      <c r="BJ19" s="4">
        <v>886.0</v>
      </c>
      <c r="BK19" s="4">
        <v>4.0</v>
      </c>
      <c r="BL19" s="4">
        <f t="shared" si="65"/>
        <v>5</v>
      </c>
      <c r="BM19" s="4">
        <f t="shared" si="66"/>
        <v>25</v>
      </c>
      <c r="BN19" s="4">
        <v>5.0</v>
      </c>
      <c r="BO19" s="4">
        <f t="shared" si="67"/>
        <v>0.25</v>
      </c>
      <c r="BP19" s="4">
        <v>1.0</v>
      </c>
      <c r="BQ19" s="4">
        <f t="shared" si="11"/>
        <v>2.5</v>
      </c>
      <c r="BR19" s="4">
        <f t="shared" si="12"/>
        <v>0.25</v>
      </c>
      <c r="BS19" s="4">
        <v>737.0</v>
      </c>
      <c r="BT19" s="4">
        <v>3180.0</v>
      </c>
      <c r="BU19" s="4">
        <v>1.0</v>
      </c>
      <c r="BV19" s="4">
        <v>2421.0</v>
      </c>
      <c r="BW19" s="4">
        <v>67173.0</v>
      </c>
      <c r="BX19" s="4">
        <v>2755.0</v>
      </c>
      <c r="BY19" s="4">
        <v>2457.0</v>
      </c>
      <c r="BZ19" s="4">
        <v>18462.0</v>
      </c>
      <c r="CA19" s="4">
        <v>1438.0</v>
      </c>
      <c r="CB19" s="4">
        <v>27.7</v>
      </c>
      <c r="CC19" s="4">
        <v>4050.0</v>
      </c>
      <c r="CD19" s="4">
        <v>12.0</v>
      </c>
      <c r="CE19" s="4">
        <v>5.5</v>
      </c>
      <c r="CF19" s="4">
        <v>2680340.0</v>
      </c>
      <c r="CG19" s="4">
        <v>6200.0</v>
      </c>
      <c r="CH19" s="4">
        <v>54.0</v>
      </c>
      <c r="CI19" s="4"/>
      <c r="CJ19" s="4">
        <f t="shared" si="16"/>
        <v>0.001</v>
      </c>
      <c r="CK19" s="4">
        <v>0.004</v>
      </c>
      <c r="CL19" s="4">
        <v>0.058</v>
      </c>
      <c r="CM19" s="4">
        <f t="shared" si="76"/>
        <v>0.019</v>
      </c>
      <c r="CN19" s="4">
        <v>0.6</v>
      </c>
      <c r="CO19" s="4">
        <v>210.62</v>
      </c>
      <c r="CP19" s="4">
        <v>46.09</v>
      </c>
      <c r="CQ19" s="4">
        <v>16.35</v>
      </c>
      <c r="CR19" s="4">
        <v>0.43</v>
      </c>
      <c r="CS19" s="4">
        <v>34.45</v>
      </c>
      <c r="CT19" s="4">
        <v>0.32</v>
      </c>
      <c r="CU19" s="4">
        <v>28.03</v>
      </c>
      <c r="CV19" s="4">
        <v>27.62</v>
      </c>
      <c r="CW19" s="4">
        <v>30569.53</v>
      </c>
      <c r="CX19" s="4">
        <v>756.22</v>
      </c>
      <c r="CY19" s="4">
        <v>0.06</v>
      </c>
      <c r="CZ19" s="4">
        <v>31.38</v>
      </c>
      <c r="DA19" s="4">
        <v>0.14</v>
      </c>
    </row>
    <row r="20">
      <c r="A20" s="4" t="s">
        <v>218</v>
      </c>
      <c r="B20" s="4" t="s">
        <v>219</v>
      </c>
      <c r="C20" s="5" t="s">
        <v>220</v>
      </c>
      <c r="D20" s="5" t="s">
        <v>221</v>
      </c>
      <c r="E20" s="4" t="s">
        <v>109</v>
      </c>
      <c r="F20" s="4" t="s">
        <v>110</v>
      </c>
      <c r="G20" s="4" t="s">
        <v>111</v>
      </c>
      <c r="H20" s="4" t="s">
        <v>222</v>
      </c>
      <c r="I20" s="4" t="s">
        <v>223</v>
      </c>
      <c r="J20" s="4" t="s">
        <v>224</v>
      </c>
      <c r="K20" s="4" t="s">
        <v>225</v>
      </c>
      <c r="L20" s="4">
        <v>-21.1515</v>
      </c>
      <c r="M20" s="4">
        <v>-64.2383</v>
      </c>
      <c r="N20" s="4"/>
      <c r="O20" s="4"/>
      <c r="P20" s="4">
        <v>1672.0</v>
      </c>
      <c r="Q20" s="4">
        <v>183.8</v>
      </c>
      <c r="R20" s="4">
        <v>8.07</v>
      </c>
      <c r="S20" s="4">
        <v>-69.3</v>
      </c>
      <c r="T20" s="4">
        <v>598.0</v>
      </c>
      <c r="U20" s="4">
        <v>0.2</v>
      </c>
      <c r="V20" s="4">
        <v>24.4</v>
      </c>
      <c r="W20" s="4">
        <v>7.47</v>
      </c>
      <c r="X20" s="4">
        <v>98.8</v>
      </c>
      <c r="Y20" s="4">
        <f t="shared" si="77"/>
        <v>1650</v>
      </c>
      <c r="Z20" s="4">
        <v>1429.0</v>
      </c>
      <c r="AA20" s="4">
        <v>179.0</v>
      </c>
      <c r="AB20" s="4">
        <v>1223.0</v>
      </c>
      <c r="AC20" s="4">
        <v>119.0</v>
      </c>
      <c r="AD20" s="4">
        <v>243.2</v>
      </c>
      <c r="AE20" s="4"/>
      <c r="AF20" s="4">
        <v>68.7</v>
      </c>
      <c r="AG20" s="4">
        <v>23.7</v>
      </c>
      <c r="AH20" s="4">
        <v>194.8</v>
      </c>
      <c r="AI20" s="4">
        <v>53.1</v>
      </c>
      <c r="AJ20" s="4">
        <v>26.5</v>
      </c>
      <c r="AK20" s="4">
        <v>34.0</v>
      </c>
      <c r="AL20" s="4">
        <v>4.49</v>
      </c>
      <c r="AM20" s="4">
        <v>106.6</v>
      </c>
      <c r="AN20" s="4">
        <v>49.9</v>
      </c>
      <c r="AO20" s="4">
        <v>36.1</v>
      </c>
      <c r="AP20" s="4">
        <v>10.3</v>
      </c>
      <c r="AQ20" s="4">
        <v>0.25</v>
      </c>
      <c r="AR20" s="4">
        <v>0.15</v>
      </c>
      <c r="AS20" s="4">
        <v>0.75</v>
      </c>
      <c r="AT20" s="4">
        <f t="shared" ref="AT20:AT22" si="82">0.5*0.01</f>
        <v>0.005</v>
      </c>
      <c r="AU20" s="4">
        <v>6.0</v>
      </c>
      <c r="AV20" s="4">
        <v>4.48</v>
      </c>
      <c r="AW20" s="4"/>
      <c r="AX20" s="4">
        <v>18.3</v>
      </c>
      <c r="AY20" s="4">
        <v>25.0</v>
      </c>
      <c r="AZ20" s="4"/>
      <c r="BA20" s="4"/>
      <c r="BB20" s="4">
        <v>4600000.0</v>
      </c>
      <c r="BC20" s="4">
        <v>280000.0</v>
      </c>
      <c r="BD20" s="6">
        <v>7.2E7</v>
      </c>
      <c r="BE20" s="4">
        <f t="shared" si="30"/>
        <v>5</v>
      </c>
      <c r="BF20" s="4">
        <f t="shared" ref="BF20:BF22" si="83">0.5*10</f>
        <v>5</v>
      </c>
      <c r="BG20" s="4">
        <f t="shared" ref="BG20:BH20" si="81">0.5*50</f>
        <v>25</v>
      </c>
      <c r="BH20" s="4">
        <f t="shared" si="81"/>
        <v>25</v>
      </c>
      <c r="BI20" s="4">
        <f t="shared" si="7"/>
        <v>5</v>
      </c>
      <c r="BJ20" s="4">
        <f t="shared" ref="BJ20:BJ23" si="85">0.5*50</f>
        <v>25</v>
      </c>
      <c r="BK20" s="4">
        <v>1.0</v>
      </c>
      <c r="BL20" s="4">
        <f t="shared" si="65"/>
        <v>5</v>
      </c>
      <c r="BM20" s="4">
        <f t="shared" si="66"/>
        <v>25</v>
      </c>
      <c r="BN20" s="4">
        <v>2.0</v>
      </c>
      <c r="BO20" s="4">
        <f t="shared" si="67"/>
        <v>0.25</v>
      </c>
      <c r="BP20" s="4">
        <f t="shared" ref="BP20:BP49" si="86">0.5*1</f>
        <v>0.5</v>
      </c>
      <c r="BQ20" s="4">
        <f t="shared" si="11"/>
        <v>2.5</v>
      </c>
      <c r="BR20" s="4">
        <f t="shared" si="12"/>
        <v>0.25</v>
      </c>
      <c r="BS20" s="4">
        <f t="shared" ref="BS20:BS21" si="87">0.5*100</f>
        <v>50</v>
      </c>
      <c r="BT20" s="4">
        <v>1023.0</v>
      </c>
      <c r="BU20" s="4">
        <v>2.0</v>
      </c>
      <c r="BV20" s="4">
        <v>228.0</v>
      </c>
      <c r="BW20" s="4">
        <v>12839.0</v>
      </c>
      <c r="BX20" s="4">
        <v>235.0</v>
      </c>
      <c r="BY20" s="4">
        <v>171.0</v>
      </c>
      <c r="BZ20" s="4">
        <v>1128.0</v>
      </c>
      <c r="CA20" s="4">
        <v>86.0</v>
      </c>
      <c r="CB20" s="4">
        <v>3.8</v>
      </c>
      <c r="CC20" s="4">
        <v>263.0</v>
      </c>
      <c r="CD20" s="4">
        <f t="shared" ref="CD20:CD83" si="88">0.5*5</f>
        <v>2.5</v>
      </c>
      <c r="CE20" s="4">
        <f>0.5*0.5</f>
        <v>0.25</v>
      </c>
      <c r="CF20" s="4">
        <v>426732.0</v>
      </c>
      <c r="CG20" s="4">
        <v>1200.0</v>
      </c>
      <c r="CH20" s="4">
        <v>8.0</v>
      </c>
      <c r="CI20" s="4">
        <f t="shared" ref="CI20:CI23" si="89">0.5*0.02</f>
        <v>0.01</v>
      </c>
      <c r="CJ20" s="4"/>
      <c r="CK20" s="4">
        <f t="shared" ref="CK20:CK23" si="90">0.5*1</f>
        <v>0.5</v>
      </c>
      <c r="CL20" s="4">
        <v>0.04</v>
      </c>
      <c r="CM20" s="4">
        <f t="shared" si="76"/>
        <v>0.019</v>
      </c>
      <c r="CN20" s="4">
        <v>4.91</v>
      </c>
      <c r="CO20" s="4">
        <v>922.32</v>
      </c>
      <c r="CP20" s="4">
        <v>211.37</v>
      </c>
      <c r="CQ20" s="4">
        <v>68.68</v>
      </c>
      <c r="CR20" s="4"/>
      <c r="CS20" s="4">
        <v>144.73</v>
      </c>
      <c r="CT20" s="4">
        <v>3.11</v>
      </c>
      <c r="CU20" s="4">
        <v>139.82</v>
      </c>
      <c r="CV20" s="4">
        <v>186.43</v>
      </c>
      <c r="CW20" s="4">
        <v>348922.32</v>
      </c>
      <c r="CX20" s="4">
        <v>10497.96</v>
      </c>
      <c r="CY20" s="4"/>
      <c r="CZ20" s="4">
        <v>191.33</v>
      </c>
      <c r="DA20" s="4"/>
    </row>
    <row r="21">
      <c r="A21" s="4" t="s">
        <v>226</v>
      </c>
      <c r="B21" s="4" t="s">
        <v>227</v>
      </c>
      <c r="C21" s="5" t="s">
        <v>220</v>
      </c>
      <c r="D21" s="5" t="s">
        <v>228</v>
      </c>
      <c r="E21" s="4" t="s">
        <v>109</v>
      </c>
      <c r="F21" s="4" t="s">
        <v>110</v>
      </c>
      <c r="G21" s="4" t="s">
        <v>111</v>
      </c>
      <c r="H21" s="4" t="s">
        <v>149</v>
      </c>
      <c r="I21" s="4" t="s">
        <v>229</v>
      </c>
      <c r="J21" s="4" t="s">
        <v>230</v>
      </c>
      <c r="K21" s="4" t="s">
        <v>231</v>
      </c>
      <c r="L21" s="4">
        <v>-20.914</v>
      </c>
      <c r="M21" s="4">
        <v>-64.1106</v>
      </c>
      <c r="N21" s="4"/>
      <c r="O21" s="4"/>
      <c r="P21" s="4">
        <v>2020.0</v>
      </c>
      <c r="Q21" s="4">
        <v>142.0</v>
      </c>
      <c r="R21" s="4">
        <v>7.8</v>
      </c>
      <c r="S21" s="4">
        <v>-53.6</v>
      </c>
      <c r="T21" s="4">
        <v>484.0</v>
      </c>
      <c r="U21" s="4">
        <v>0.2</v>
      </c>
      <c r="V21" s="4">
        <v>23.4</v>
      </c>
      <c r="W21" s="4">
        <v>5.88</v>
      </c>
      <c r="X21" s="4">
        <v>74.3</v>
      </c>
      <c r="Y21" s="4">
        <f t="shared" si="77"/>
        <v>1650</v>
      </c>
      <c r="Z21" s="4">
        <v>1205.0</v>
      </c>
      <c r="AA21" s="4">
        <v>180.0</v>
      </c>
      <c r="AB21" s="4">
        <v>1045.0</v>
      </c>
      <c r="AC21" s="4">
        <v>117.0</v>
      </c>
      <c r="AD21" s="4">
        <v>179.4</v>
      </c>
      <c r="AE21" s="4"/>
      <c r="AF21" s="4">
        <v>74.9</v>
      </c>
      <c r="AG21" s="4">
        <v>33.9</v>
      </c>
      <c r="AH21" s="4">
        <v>155.7</v>
      </c>
      <c r="AI21" s="4">
        <v>44.74</v>
      </c>
      <c r="AJ21" s="4">
        <v>16.2</v>
      </c>
      <c r="AK21" s="4">
        <v>30.9</v>
      </c>
      <c r="AL21" s="4">
        <v>4.42</v>
      </c>
      <c r="AM21" s="4">
        <v>76.42</v>
      </c>
      <c r="AN21" s="4">
        <v>33.2</v>
      </c>
      <c r="AO21" s="4">
        <v>36.2</v>
      </c>
      <c r="AP21" s="4">
        <v>8.9</v>
      </c>
      <c r="AQ21" s="4">
        <v>0.4</v>
      </c>
      <c r="AR21" s="4">
        <v>0.12</v>
      </c>
      <c r="AS21" s="4">
        <v>0.61</v>
      </c>
      <c r="AT21" s="4">
        <f t="shared" si="82"/>
        <v>0.005</v>
      </c>
      <c r="AU21" s="4">
        <v>5.4</v>
      </c>
      <c r="AV21" s="4">
        <v>11.3</v>
      </c>
      <c r="AW21" s="4"/>
      <c r="AX21" s="4">
        <v>18.2</v>
      </c>
      <c r="AY21" s="4">
        <v>29.0</v>
      </c>
      <c r="AZ21" s="4"/>
      <c r="BA21" s="4"/>
      <c r="BB21" s="6">
        <v>1.1E7</v>
      </c>
      <c r="BC21" s="4">
        <v>200000.0</v>
      </c>
      <c r="BD21" s="6">
        <v>4.8E8</v>
      </c>
      <c r="BE21" s="4">
        <f t="shared" si="30"/>
        <v>5</v>
      </c>
      <c r="BF21" s="4">
        <f t="shared" si="83"/>
        <v>5</v>
      </c>
      <c r="BG21" s="4">
        <f t="shared" ref="BG21:BH21" si="84">0.5*50</f>
        <v>25</v>
      </c>
      <c r="BH21" s="4">
        <f t="shared" si="84"/>
        <v>25</v>
      </c>
      <c r="BI21" s="4">
        <f t="shared" si="7"/>
        <v>5</v>
      </c>
      <c r="BJ21" s="4">
        <f t="shared" si="85"/>
        <v>25</v>
      </c>
      <c r="BK21" s="4">
        <f t="shared" ref="BK21:BK22" si="92">0.5*1</f>
        <v>0.5</v>
      </c>
      <c r="BL21" s="4">
        <f t="shared" si="65"/>
        <v>5</v>
      </c>
      <c r="BM21" s="4">
        <f t="shared" si="66"/>
        <v>25</v>
      </c>
      <c r="BN21" s="4">
        <v>2.0</v>
      </c>
      <c r="BO21" s="4">
        <f t="shared" si="67"/>
        <v>0.25</v>
      </c>
      <c r="BP21" s="4">
        <f t="shared" si="86"/>
        <v>0.5</v>
      </c>
      <c r="BQ21" s="4">
        <f t="shared" si="11"/>
        <v>2.5</v>
      </c>
      <c r="BR21" s="4">
        <f t="shared" si="12"/>
        <v>0.25</v>
      </c>
      <c r="BS21" s="4">
        <f t="shared" si="87"/>
        <v>50</v>
      </c>
      <c r="BT21" s="4">
        <v>497.0</v>
      </c>
      <c r="BU21" s="4">
        <v>2.0</v>
      </c>
      <c r="BV21" s="4">
        <v>371.0</v>
      </c>
      <c r="BW21" s="4">
        <v>29014.0</v>
      </c>
      <c r="BX21" s="4">
        <v>319.0</v>
      </c>
      <c r="BY21" s="4">
        <v>240.0</v>
      </c>
      <c r="BZ21" s="4">
        <v>1373.0</v>
      </c>
      <c r="CA21" s="4">
        <v>118.0</v>
      </c>
      <c r="CB21" s="4">
        <v>4.6</v>
      </c>
      <c r="CC21" s="4">
        <v>302.0</v>
      </c>
      <c r="CD21" s="4">
        <f t="shared" si="88"/>
        <v>2.5</v>
      </c>
      <c r="CE21" s="4">
        <v>1.5</v>
      </c>
      <c r="CF21" s="4">
        <v>709199.0</v>
      </c>
      <c r="CG21" s="4">
        <v>689.0</v>
      </c>
      <c r="CH21" s="4">
        <v>12.0</v>
      </c>
      <c r="CI21" s="4">
        <f t="shared" si="89"/>
        <v>0.01</v>
      </c>
      <c r="CJ21" s="4"/>
      <c r="CK21" s="4">
        <f t="shared" si="90"/>
        <v>0.5</v>
      </c>
      <c r="CL21" s="4">
        <v>0.047</v>
      </c>
      <c r="CM21" s="4">
        <f t="shared" si="76"/>
        <v>0.019</v>
      </c>
      <c r="CN21" s="4">
        <v>9.57</v>
      </c>
      <c r="CO21" s="4">
        <v>1313.88</v>
      </c>
      <c r="CP21" s="4">
        <v>284.77</v>
      </c>
      <c r="CQ21" s="4">
        <v>111.0</v>
      </c>
      <c r="CR21" s="4"/>
      <c r="CS21" s="4">
        <v>183.73</v>
      </c>
      <c r="CT21" s="4">
        <v>4.4</v>
      </c>
      <c r="CU21" s="4">
        <v>229.67</v>
      </c>
      <c r="CV21" s="4">
        <v>355.02</v>
      </c>
      <c r="CW21" s="4">
        <v>678659.33</v>
      </c>
      <c r="CX21" s="4">
        <v>27764.59</v>
      </c>
      <c r="CY21" s="4">
        <v>1.44</v>
      </c>
      <c r="CZ21" s="4">
        <v>305.26</v>
      </c>
      <c r="DA21" s="4"/>
    </row>
    <row r="22">
      <c r="A22" s="4" t="s">
        <v>232</v>
      </c>
      <c r="B22" s="4" t="s">
        <v>233</v>
      </c>
      <c r="C22" s="5" t="s">
        <v>234</v>
      </c>
      <c r="D22" s="5" t="s">
        <v>235</v>
      </c>
      <c r="E22" s="4" t="s">
        <v>109</v>
      </c>
      <c r="F22" s="4" t="s">
        <v>110</v>
      </c>
      <c r="G22" s="4" t="s">
        <v>111</v>
      </c>
      <c r="H22" s="4" t="s">
        <v>149</v>
      </c>
      <c r="I22" s="4" t="s">
        <v>229</v>
      </c>
      <c r="J22" s="4" t="s">
        <v>236</v>
      </c>
      <c r="K22" s="4" t="s">
        <v>237</v>
      </c>
      <c r="L22" s="4">
        <v>-21.259</v>
      </c>
      <c r="M22" s="4">
        <v>-63.5116</v>
      </c>
      <c r="N22" s="4">
        <v>1.116</v>
      </c>
      <c r="O22" s="4">
        <v>130.0</v>
      </c>
      <c r="P22" s="4">
        <v>1352.0</v>
      </c>
      <c r="Q22" s="4">
        <v>188.6</v>
      </c>
      <c r="R22" s="4">
        <v>7.78</v>
      </c>
      <c r="S22" s="4">
        <v>-53.75</v>
      </c>
      <c r="T22" s="4">
        <v>740.0</v>
      </c>
      <c r="U22" s="4">
        <v>0.3</v>
      </c>
      <c r="V22" s="4">
        <v>29.4</v>
      </c>
      <c r="W22" s="4">
        <v>7.06</v>
      </c>
      <c r="X22" s="4">
        <v>98.2</v>
      </c>
      <c r="Y22" s="4">
        <f t="shared" si="77"/>
        <v>1650</v>
      </c>
      <c r="Z22" s="4">
        <v>2203.0</v>
      </c>
      <c r="AA22" s="4">
        <v>227.0</v>
      </c>
      <c r="AB22" s="4">
        <v>1934.0</v>
      </c>
      <c r="AC22" s="4">
        <v>110.0</v>
      </c>
      <c r="AD22" s="4">
        <v>199.1</v>
      </c>
      <c r="AE22" s="4"/>
      <c r="AF22" s="4">
        <v>84.3</v>
      </c>
      <c r="AG22" s="4">
        <v>92.5</v>
      </c>
      <c r="AH22" s="4">
        <v>101.4</v>
      </c>
      <c r="AI22" s="4">
        <v>53.49</v>
      </c>
      <c r="AJ22" s="4">
        <v>15.7</v>
      </c>
      <c r="AK22" s="4">
        <v>56.8</v>
      </c>
      <c r="AL22" s="4">
        <v>5.23</v>
      </c>
      <c r="AM22" s="4">
        <v>64.12</v>
      </c>
      <c r="AN22" s="4">
        <v>21.8</v>
      </c>
      <c r="AO22" s="4">
        <v>59.4</v>
      </c>
      <c r="AP22" s="4">
        <v>6.73</v>
      </c>
      <c r="AQ22" s="4">
        <v>0.28</v>
      </c>
      <c r="AR22" s="4">
        <v>0.15</v>
      </c>
      <c r="AS22" s="4">
        <v>0.68</v>
      </c>
      <c r="AT22" s="4">
        <f t="shared" si="82"/>
        <v>0.005</v>
      </c>
      <c r="AU22" s="4">
        <v>1.6</v>
      </c>
      <c r="AV22" s="4">
        <v>8.96</v>
      </c>
      <c r="AW22" s="4"/>
      <c r="AX22" s="4">
        <v>23.3</v>
      </c>
      <c r="AY22" s="4">
        <v>27.0</v>
      </c>
      <c r="AZ22" s="4"/>
      <c r="BA22" s="4"/>
      <c r="BB22" s="4">
        <v>150000.0</v>
      </c>
      <c r="BC22" s="4">
        <v>7000.0</v>
      </c>
      <c r="BD22" s="6">
        <v>5.7E7</v>
      </c>
      <c r="BE22" s="4">
        <f t="shared" si="30"/>
        <v>5</v>
      </c>
      <c r="BF22" s="4">
        <f t="shared" si="83"/>
        <v>5</v>
      </c>
      <c r="BG22" s="4">
        <f t="shared" ref="BG22:BH22" si="91">0.5*50</f>
        <v>25</v>
      </c>
      <c r="BH22" s="4">
        <f t="shared" si="91"/>
        <v>25</v>
      </c>
      <c r="BI22" s="4">
        <f t="shared" si="7"/>
        <v>5</v>
      </c>
      <c r="BJ22" s="4">
        <f t="shared" si="85"/>
        <v>25</v>
      </c>
      <c r="BK22" s="4">
        <f t="shared" si="92"/>
        <v>0.5</v>
      </c>
      <c r="BL22" s="4">
        <f t="shared" si="65"/>
        <v>5</v>
      </c>
      <c r="BM22" s="4">
        <f t="shared" si="66"/>
        <v>25</v>
      </c>
      <c r="BN22" s="4">
        <v>2.0</v>
      </c>
      <c r="BO22" s="4">
        <f t="shared" si="67"/>
        <v>0.25</v>
      </c>
      <c r="BP22" s="4">
        <f t="shared" si="86"/>
        <v>0.5</v>
      </c>
      <c r="BQ22" s="4">
        <f t="shared" si="11"/>
        <v>2.5</v>
      </c>
      <c r="BR22" s="4">
        <f t="shared" si="12"/>
        <v>0.25</v>
      </c>
      <c r="BS22" s="4">
        <v>152.0</v>
      </c>
      <c r="BT22" s="4">
        <v>382.0</v>
      </c>
      <c r="BU22" s="4">
        <f>0.5*1</f>
        <v>0.5</v>
      </c>
      <c r="BV22" s="4">
        <v>91.0</v>
      </c>
      <c r="BW22" s="4">
        <v>3979.0</v>
      </c>
      <c r="BX22" s="4">
        <v>113.0</v>
      </c>
      <c r="BY22" s="4">
        <v>98.0</v>
      </c>
      <c r="BZ22" s="4">
        <v>534.0</v>
      </c>
      <c r="CA22" s="4">
        <v>53.0</v>
      </c>
      <c r="CB22" s="4">
        <v>1.6</v>
      </c>
      <c r="CC22" s="4">
        <v>112.0</v>
      </c>
      <c r="CD22" s="4">
        <f t="shared" si="88"/>
        <v>2.5</v>
      </c>
      <c r="CE22" s="4">
        <v>0.7</v>
      </c>
      <c r="CF22" s="4">
        <v>188369.0</v>
      </c>
      <c r="CG22" s="4">
        <v>756.0</v>
      </c>
      <c r="CH22" s="4">
        <f>0.5*1</f>
        <v>0.5</v>
      </c>
      <c r="CI22" s="4">
        <f t="shared" si="89"/>
        <v>0.01</v>
      </c>
      <c r="CJ22" s="4"/>
      <c r="CK22" s="4">
        <f t="shared" si="90"/>
        <v>0.5</v>
      </c>
      <c r="CL22" s="4">
        <v>0.064</v>
      </c>
      <c r="CM22" s="4">
        <f t="shared" si="76"/>
        <v>0.019</v>
      </c>
      <c r="CN22" s="4"/>
      <c r="CO22" s="4">
        <v>276.11</v>
      </c>
      <c r="CP22" s="4">
        <v>55.21</v>
      </c>
      <c r="CQ22" s="4">
        <v>26.37</v>
      </c>
      <c r="CR22" s="4"/>
      <c r="CS22" s="4">
        <v>193.38</v>
      </c>
      <c r="CT22" s="4">
        <v>0.83</v>
      </c>
      <c r="CU22" s="4">
        <v>50.67</v>
      </c>
      <c r="CV22" s="4">
        <v>47.05</v>
      </c>
      <c r="CW22" s="4">
        <v>97320.06</v>
      </c>
      <c r="CX22" s="4">
        <v>2057.39</v>
      </c>
      <c r="CY22" s="4">
        <v>0.36</v>
      </c>
      <c r="CZ22" s="4">
        <v>58.43</v>
      </c>
      <c r="DA22" s="4"/>
    </row>
    <row r="23">
      <c r="A23" s="4" t="s">
        <v>238</v>
      </c>
      <c r="B23" s="4" t="s">
        <v>239</v>
      </c>
      <c r="C23" s="5" t="s">
        <v>234</v>
      </c>
      <c r="D23" s="5" t="s">
        <v>240</v>
      </c>
      <c r="E23" s="4" t="s">
        <v>109</v>
      </c>
      <c r="F23" s="4" t="s">
        <v>110</v>
      </c>
      <c r="G23" s="4" t="s">
        <v>111</v>
      </c>
      <c r="H23" s="4" t="s">
        <v>149</v>
      </c>
      <c r="I23" s="4" t="s">
        <v>241</v>
      </c>
      <c r="J23" s="4" t="s">
        <v>242</v>
      </c>
      <c r="K23" s="4" t="s">
        <v>243</v>
      </c>
      <c r="L23" s="4">
        <v>-22.378</v>
      </c>
      <c r="M23" s="4">
        <v>-62.5185</v>
      </c>
      <c r="N23" s="4">
        <v>1.391</v>
      </c>
      <c r="O23" s="4">
        <v>120.0</v>
      </c>
      <c r="P23" s="4">
        <v>1100.0</v>
      </c>
      <c r="Q23" s="4">
        <v>99.8</v>
      </c>
      <c r="R23" s="4">
        <v>7.61</v>
      </c>
      <c r="S23" s="4">
        <v>-44.1</v>
      </c>
      <c r="T23" s="4">
        <v>908.0</v>
      </c>
      <c r="U23" s="4">
        <v>0.4</v>
      </c>
      <c r="V23" s="4">
        <v>29.4</v>
      </c>
      <c r="W23" s="4">
        <v>3.75</v>
      </c>
      <c r="X23" s="4">
        <v>51.0</v>
      </c>
      <c r="Y23" s="4">
        <f t="shared" si="77"/>
        <v>1650</v>
      </c>
      <c r="Z23" s="4">
        <v>2228.0</v>
      </c>
      <c r="AA23" s="4">
        <v>230.0</v>
      </c>
      <c r="AB23" s="4">
        <v>1956.0</v>
      </c>
      <c r="AC23" s="4">
        <v>114.0</v>
      </c>
      <c r="AD23" s="4">
        <v>309.9</v>
      </c>
      <c r="AE23" s="4"/>
      <c r="AF23" s="4">
        <v>107.4</v>
      </c>
      <c r="AG23" s="4">
        <v>73.6</v>
      </c>
      <c r="AH23" s="4">
        <v>199.5</v>
      </c>
      <c r="AI23" s="4">
        <v>74.97</v>
      </c>
      <c r="AJ23" s="4">
        <v>29.4</v>
      </c>
      <c r="AK23" s="4">
        <v>54.7</v>
      </c>
      <c r="AL23" s="4">
        <v>6.31</v>
      </c>
      <c r="AM23" s="4">
        <v>145.1</v>
      </c>
      <c r="AN23" s="4">
        <v>53.3</v>
      </c>
      <c r="AO23" s="4">
        <v>57.8</v>
      </c>
      <c r="AP23" s="4">
        <v>12.5</v>
      </c>
      <c r="AQ23" s="4">
        <v>0.18</v>
      </c>
      <c r="AR23" s="4">
        <v>0.12</v>
      </c>
      <c r="AS23" s="4">
        <v>0.68</v>
      </c>
      <c r="AT23" s="4">
        <f>0.5*2</f>
        <v>1</v>
      </c>
      <c r="AU23" s="4">
        <v>3.7</v>
      </c>
      <c r="AV23" s="4">
        <v>5.07</v>
      </c>
      <c r="AW23" s="4"/>
      <c r="AX23" s="4">
        <v>22.3</v>
      </c>
      <c r="AY23" s="4">
        <v>62.0</v>
      </c>
      <c r="AZ23" s="4"/>
      <c r="BA23" s="4"/>
      <c r="BB23" s="4">
        <v>460000.0</v>
      </c>
      <c r="BC23" s="4">
        <v>9000.0</v>
      </c>
      <c r="BD23" s="4">
        <v>6300000.0</v>
      </c>
      <c r="BE23" s="4">
        <f t="shared" si="30"/>
        <v>5</v>
      </c>
      <c r="BF23" s="4">
        <v>10.0</v>
      </c>
      <c r="BG23" s="4">
        <f t="shared" ref="BG23:BH23" si="93">0.5*50</f>
        <v>25</v>
      </c>
      <c r="BH23" s="4">
        <f t="shared" si="93"/>
        <v>25</v>
      </c>
      <c r="BI23" s="4">
        <f t="shared" si="7"/>
        <v>5</v>
      </c>
      <c r="BJ23" s="4">
        <f t="shared" si="85"/>
        <v>25</v>
      </c>
      <c r="BK23" s="4">
        <v>1.0</v>
      </c>
      <c r="BL23" s="4">
        <f t="shared" si="65"/>
        <v>5</v>
      </c>
      <c r="BM23" s="4">
        <f t="shared" si="66"/>
        <v>25</v>
      </c>
      <c r="BN23" s="4">
        <v>2.0</v>
      </c>
      <c r="BO23" s="4">
        <f t="shared" si="67"/>
        <v>0.25</v>
      </c>
      <c r="BP23" s="4">
        <f t="shared" si="86"/>
        <v>0.5</v>
      </c>
      <c r="BQ23" s="4">
        <f t="shared" si="11"/>
        <v>2.5</v>
      </c>
      <c r="BR23" s="4">
        <f t="shared" si="12"/>
        <v>0.25</v>
      </c>
      <c r="BS23" s="4">
        <f t="shared" ref="BS23:BS30" si="95">0.5*100</f>
        <v>50</v>
      </c>
      <c r="BT23" s="4">
        <v>1137.0</v>
      </c>
      <c r="BU23" s="4">
        <v>3.0</v>
      </c>
      <c r="BV23" s="4">
        <v>302.0</v>
      </c>
      <c r="BW23" s="4">
        <v>19617.0</v>
      </c>
      <c r="BX23" s="4">
        <v>263.0</v>
      </c>
      <c r="BY23" s="4">
        <v>207.0</v>
      </c>
      <c r="BZ23" s="4">
        <v>1019.0</v>
      </c>
      <c r="CA23" s="4">
        <v>131.0</v>
      </c>
      <c r="CB23" s="4">
        <v>2.9</v>
      </c>
      <c r="CC23" s="4">
        <v>292.0</v>
      </c>
      <c r="CD23" s="4">
        <f t="shared" si="88"/>
        <v>2.5</v>
      </c>
      <c r="CE23" s="4">
        <f t="shared" ref="CE23:CE31" si="96">0.5*0.5</f>
        <v>0.25</v>
      </c>
      <c r="CF23" s="4">
        <v>756539.0</v>
      </c>
      <c r="CG23" s="4">
        <v>1189.0</v>
      </c>
      <c r="CH23" s="4">
        <v>11.0</v>
      </c>
      <c r="CI23" s="4">
        <f t="shared" si="89"/>
        <v>0.01</v>
      </c>
      <c r="CJ23" s="4"/>
      <c r="CK23" s="4">
        <f t="shared" si="90"/>
        <v>0.5</v>
      </c>
      <c r="CL23" s="4">
        <v>0.052</v>
      </c>
      <c r="CM23" s="4">
        <f t="shared" si="76"/>
        <v>0.019</v>
      </c>
      <c r="CN23" s="4">
        <v>4.09</v>
      </c>
      <c r="CO23" s="4">
        <v>520.96</v>
      </c>
      <c r="CP23" s="4">
        <v>146.06</v>
      </c>
      <c r="CQ23" s="4">
        <v>65.95</v>
      </c>
      <c r="CR23" s="4">
        <v>5.11</v>
      </c>
      <c r="CS23" s="4">
        <v>26.58</v>
      </c>
      <c r="CT23" s="4">
        <v>1.48</v>
      </c>
      <c r="CU23" s="4">
        <v>105.83</v>
      </c>
      <c r="CV23" s="4">
        <v>154.4</v>
      </c>
      <c r="CW23" s="4">
        <v>386778.63</v>
      </c>
      <c r="CX23" s="4">
        <v>10029.14</v>
      </c>
      <c r="CY23" s="4"/>
      <c r="CZ23" s="4">
        <v>133.95</v>
      </c>
      <c r="DA23" s="4"/>
    </row>
    <row r="24">
      <c r="A24" s="4" t="s">
        <v>244</v>
      </c>
      <c r="B24" s="4" t="s">
        <v>245</v>
      </c>
      <c r="C24" s="5" t="s">
        <v>246</v>
      </c>
      <c r="D24" s="5" t="s">
        <v>247</v>
      </c>
      <c r="E24" s="4" t="s">
        <v>248</v>
      </c>
      <c r="F24" s="4" t="s">
        <v>110</v>
      </c>
      <c r="G24" s="4" t="s">
        <v>111</v>
      </c>
      <c r="H24" s="4" t="s">
        <v>149</v>
      </c>
      <c r="I24" s="4" t="s">
        <v>249</v>
      </c>
      <c r="J24" s="4" t="s">
        <v>250</v>
      </c>
      <c r="K24" s="4" t="s">
        <v>251</v>
      </c>
      <c r="L24" s="4">
        <v>-24.7483</v>
      </c>
      <c r="M24" s="4">
        <v>-58.8331</v>
      </c>
      <c r="N24" s="4"/>
      <c r="O24" s="4"/>
      <c r="P24" s="4">
        <v>22.8</v>
      </c>
      <c r="Q24" s="4">
        <v>307.0</v>
      </c>
      <c r="R24" s="4">
        <v>8.4</v>
      </c>
      <c r="S24" s="4">
        <v>-91.4</v>
      </c>
      <c r="T24" s="4">
        <v>43800.0</v>
      </c>
      <c r="U24" s="4">
        <v>28.2</v>
      </c>
      <c r="V24" s="4">
        <v>32.5</v>
      </c>
      <c r="W24" s="4">
        <v>11.0</v>
      </c>
      <c r="X24" s="4">
        <v>155.2</v>
      </c>
      <c r="Y24" s="4">
        <v>5.96</v>
      </c>
      <c r="Z24" s="4">
        <v>28260.4</v>
      </c>
      <c r="AA24" s="4">
        <v>28200.0</v>
      </c>
      <c r="AB24" s="4">
        <v>60.4</v>
      </c>
      <c r="AC24" s="4">
        <v>75.0</v>
      </c>
      <c r="AD24" s="4">
        <v>4500.0</v>
      </c>
      <c r="AE24" s="4">
        <v>108.9</v>
      </c>
      <c r="AF24" s="4">
        <v>584.1</v>
      </c>
      <c r="AG24" s="4">
        <v>8347.01</v>
      </c>
      <c r="AH24" s="4">
        <v>11044.7</v>
      </c>
      <c r="AI24" s="4">
        <v>1142.3</v>
      </c>
      <c r="AJ24" s="4">
        <v>316.2</v>
      </c>
      <c r="AK24" s="4">
        <v>9122.02</v>
      </c>
      <c r="AL24" s="4">
        <v>28.8</v>
      </c>
      <c r="AM24" s="4">
        <v>1202.4</v>
      </c>
      <c r="AN24" s="4">
        <v>364.8</v>
      </c>
      <c r="AO24" s="4">
        <v>9147.42</v>
      </c>
      <c r="AP24" s="4">
        <v>28.8</v>
      </c>
      <c r="AQ24" s="4">
        <v>3.07</v>
      </c>
      <c r="AR24" s="4">
        <v>0.79</v>
      </c>
      <c r="AS24" s="4">
        <v>0.129</v>
      </c>
      <c r="AT24" s="4">
        <v>0.008</v>
      </c>
      <c r="AU24" s="4">
        <v>0.137</v>
      </c>
      <c r="AV24" s="4">
        <v>0.211</v>
      </c>
      <c r="AW24" s="4"/>
      <c r="AX24" s="4">
        <v>3.6</v>
      </c>
      <c r="AY24" s="4">
        <v>557.43</v>
      </c>
      <c r="AZ24" s="4">
        <v>23520.0</v>
      </c>
      <c r="BA24" s="4">
        <v>2240.0</v>
      </c>
      <c r="BB24" s="4"/>
      <c r="BC24" s="4"/>
      <c r="BD24" s="4">
        <v>370.0</v>
      </c>
      <c r="BE24" s="4">
        <f t="shared" si="30"/>
        <v>5</v>
      </c>
      <c r="BF24" s="4">
        <f t="shared" ref="BF24:BF28" si="98">0.5*10</f>
        <v>5</v>
      </c>
      <c r="BG24" s="4">
        <f t="shared" ref="BG24:BH24" si="94">0.5*50</f>
        <v>25</v>
      </c>
      <c r="BH24" s="4">
        <f t="shared" si="94"/>
        <v>25</v>
      </c>
      <c r="BI24" s="4">
        <f t="shared" si="7"/>
        <v>5</v>
      </c>
      <c r="BJ24" s="4">
        <v>92.0</v>
      </c>
      <c r="BK24" s="4">
        <f t="shared" ref="BK24:BK26" si="100">0.5*1</f>
        <v>0.5</v>
      </c>
      <c r="BL24" s="4">
        <f t="shared" si="65"/>
        <v>5</v>
      </c>
      <c r="BM24" s="4">
        <f t="shared" si="66"/>
        <v>25</v>
      </c>
      <c r="BN24" s="4">
        <v>6.0</v>
      </c>
      <c r="BO24" s="4">
        <f t="shared" si="67"/>
        <v>0.25</v>
      </c>
      <c r="BP24" s="4">
        <f t="shared" si="86"/>
        <v>0.5</v>
      </c>
      <c r="BQ24" s="4">
        <f t="shared" si="11"/>
        <v>2.5</v>
      </c>
      <c r="BR24" s="4">
        <f t="shared" si="12"/>
        <v>0.25</v>
      </c>
      <c r="BS24" s="4">
        <f t="shared" si="95"/>
        <v>50</v>
      </c>
      <c r="BT24" s="4">
        <v>6494.0</v>
      </c>
      <c r="BU24" s="4">
        <v>15.0</v>
      </c>
      <c r="BV24" s="4">
        <f t="shared" ref="BV24:BV28" si="101">0.5*10</f>
        <v>5</v>
      </c>
      <c r="BW24" s="4">
        <v>105.0</v>
      </c>
      <c r="BX24" s="4">
        <v>7.0</v>
      </c>
      <c r="BY24" s="4">
        <f t="shared" ref="BY24:BY28" si="102">0.5*10</f>
        <v>5</v>
      </c>
      <c r="BZ24" s="4">
        <f t="shared" ref="BZ24:BZ28" si="103">0.5*50</f>
        <v>25</v>
      </c>
      <c r="CA24" s="4">
        <v>7.0</v>
      </c>
      <c r="CB24" s="4">
        <f t="shared" ref="CB24:CB28" si="104">0.5*0.5</f>
        <v>0.25</v>
      </c>
      <c r="CC24" s="4">
        <f>0.5*1</f>
        <v>0.5</v>
      </c>
      <c r="CD24" s="4">
        <f t="shared" si="88"/>
        <v>2.5</v>
      </c>
      <c r="CE24" s="4">
        <f t="shared" si="96"/>
        <v>0.25</v>
      </c>
      <c r="CF24" s="4">
        <v>101.0</v>
      </c>
      <c r="CG24" s="4">
        <v>7392.0</v>
      </c>
      <c r="CH24" s="4">
        <v>25.0</v>
      </c>
      <c r="CI24" s="4"/>
      <c r="CJ24" s="4"/>
      <c r="CK24" s="4">
        <f t="shared" ref="CK24:CL24" si="97">0.5*0.001</f>
        <v>0.0005</v>
      </c>
      <c r="CL24" s="4">
        <f t="shared" si="97"/>
        <v>0.0005</v>
      </c>
      <c r="CM24" s="4">
        <f t="shared" ref="CM24:CM33" si="106">0.5*0.5</f>
        <v>0.25</v>
      </c>
      <c r="CN24" s="4">
        <v>165.56</v>
      </c>
      <c r="CO24" s="4"/>
      <c r="CP24" s="4"/>
      <c r="CQ24" s="4">
        <v>16.56</v>
      </c>
      <c r="CR24" s="4"/>
      <c r="CS24" s="4">
        <v>14867.55</v>
      </c>
      <c r="CT24" s="4"/>
      <c r="CU24" s="4"/>
      <c r="CV24" s="4"/>
      <c r="CW24" s="4">
        <v>1672.19</v>
      </c>
      <c r="CX24" s="4">
        <v>215.23</v>
      </c>
      <c r="CY24" s="4"/>
      <c r="CZ24" s="4">
        <v>115.89</v>
      </c>
      <c r="DA24" s="4"/>
    </row>
    <row r="25">
      <c r="A25" s="4" t="s">
        <v>252</v>
      </c>
      <c r="B25" s="4" t="s">
        <v>253</v>
      </c>
      <c r="C25" s="5" t="s">
        <v>246</v>
      </c>
      <c r="D25" s="5" t="s">
        <v>162</v>
      </c>
      <c r="E25" s="4" t="s">
        <v>248</v>
      </c>
      <c r="F25" s="4" t="s">
        <v>110</v>
      </c>
      <c r="G25" s="4" t="s">
        <v>111</v>
      </c>
      <c r="H25" s="4" t="s">
        <v>254</v>
      </c>
      <c r="J25" s="4" t="s">
        <v>255</v>
      </c>
      <c r="K25" s="4" t="s">
        <v>256</v>
      </c>
      <c r="L25" s="4">
        <v>-25.7884</v>
      </c>
      <c r="M25" s="4">
        <v>-58.0215</v>
      </c>
      <c r="N25" s="4"/>
      <c r="O25" s="4"/>
      <c r="P25" s="4">
        <v>321.0</v>
      </c>
      <c r="Q25" s="4">
        <v>265.0</v>
      </c>
      <c r="R25" s="4">
        <v>8.44</v>
      </c>
      <c r="S25" s="4">
        <v>-95.2</v>
      </c>
      <c r="T25" s="4">
        <v>3131.0</v>
      </c>
      <c r="U25" s="4">
        <v>1.61</v>
      </c>
      <c r="V25" s="4">
        <v>30.2</v>
      </c>
      <c r="W25" s="4">
        <v>9.73</v>
      </c>
      <c r="X25" s="4">
        <v>131.9</v>
      </c>
      <c r="Y25" s="4">
        <v>70.9</v>
      </c>
      <c r="Z25" s="4">
        <v>2136.3</v>
      </c>
      <c r="AA25" s="4">
        <v>2010.0</v>
      </c>
      <c r="AB25" s="4">
        <v>126.3</v>
      </c>
      <c r="AC25" s="4">
        <v>125.0</v>
      </c>
      <c r="AD25" s="4">
        <v>425.0</v>
      </c>
      <c r="AE25" s="4">
        <v>19.8</v>
      </c>
      <c r="AF25" s="4">
        <v>237.6</v>
      </c>
      <c r="AG25" s="4">
        <v>447.16</v>
      </c>
      <c r="AH25" s="4">
        <v>845.31</v>
      </c>
      <c r="AI25" s="4">
        <v>120.2</v>
      </c>
      <c r="AJ25" s="4">
        <v>24.3</v>
      </c>
      <c r="AK25" s="4">
        <v>612.78</v>
      </c>
      <c r="AL25" s="4">
        <v>15.88</v>
      </c>
      <c r="AM25" s="4">
        <v>120.2</v>
      </c>
      <c r="AN25" s="4">
        <v>30.4</v>
      </c>
      <c r="AO25" s="4">
        <v>657.06</v>
      </c>
      <c r="AP25" s="4">
        <v>16.06</v>
      </c>
      <c r="AQ25" s="4">
        <v>3.07</v>
      </c>
      <c r="AR25" s="4">
        <v>0.535</v>
      </c>
      <c r="AS25" s="4">
        <v>0.098</v>
      </c>
      <c r="AT25" s="4">
        <v>0.012</v>
      </c>
      <c r="AU25" s="4">
        <v>0.106</v>
      </c>
      <c r="AV25" s="4">
        <v>0.223</v>
      </c>
      <c r="AW25" s="4"/>
      <c r="AX25" s="4">
        <v>7.7</v>
      </c>
      <c r="AY25" s="4">
        <v>87.29</v>
      </c>
      <c r="AZ25" s="4">
        <v>27000.0</v>
      </c>
      <c r="BA25" s="4">
        <v>1800.0</v>
      </c>
      <c r="BB25" s="4"/>
      <c r="BC25" s="4"/>
      <c r="BD25" s="4">
        <v>2230.0</v>
      </c>
      <c r="BE25" s="4">
        <f t="shared" si="30"/>
        <v>5</v>
      </c>
      <c r="BF25" s="4">
        <f t="shared" si="98"/>
        <v>5</v>
      </c>
      <c r="BG25" s="4">
        <f t="shared" ref="BG25:BH25" si="99">0.5*50</f>
        <v>25</v>
      </c>
      <c r="BH25" s="4">
        <f t="shared" si="99"/>
        <v>25</v>
      </c>
      <c r="BI25" s="4">
        <f t="shared" si="7"/>
        <v>5</v>
      </c>
      <c r="BJ25" s="4">
        <v>156.0</v>
      </c>
      <c r="BK25" s="4">
        <f t="shared" si="100"/>
        <v>0.5</v>
      </c>
      <c r="BL25" s="4">
        <f t="shared" si="65"/>
        <v>5</v>
      </c>
      <c r="BM25" s="4">
        <f t="shared" si="66"/>
        <v>25</v>
      </c>
      <c r="BN25" s="4">
        <v>8.0</v>
      </c>
      <c r="BO25" s="4">
        <f t="shared" si="67"/>
        <v>0.25</v>
      </c>
      <c r="BP25" s="4">
        <f t="shared" si="86"/>
        <v>0.5</v>
      </c>
      <c r="BQ25" s="4">
        <f t="shared" si="11"/>
        <v>2.5</v>
      </c>
      <c r="BR25" s="4">
        <f t="shared" si="12"/>
        <v>0.25</v>
      </c>
      <c r="BS25" s="4">
        <f t="shared" si="95"/>
        <v>50</v>
      </c>
      <c r="BT25" s="4">
        <v>1254.0</v>
      </c>
      <c r="BU25" s="4">
        <f t="shared" ref="BU25:BU26" si="108">0.5*1</f>
        <v>0.5</v>
      </c>
      <c r="BV25" s="4">
        <f t="shared" si="101"/>
        <v>5</v>
      </c>
      <c r="BW25" s="4">
        <v>519.0</v>
      </c>
      <c r="BX25" s="4">
        <f t="shared" ref="BX25:BX26" si="109">0.5*1</f>
        <v>0.5</v>
      </c>
      <c r="BY25" s="4">
        <f t="shared" si="102"/>
        <v>5</v>
      </c>
      <c r="BZ25" s="4">
        <f t="shared" si="103"/>
        <v>25</v>
      </c>
      <c r="CA25" s="4">
        <v>9.0</v>
      </c>
      <c r="CB25" s="4">
        <f t="shared" si="104"/>
        <v>0.25</v>
      </c>
      <c r="CC25" s="4">
        <v>2.0</v>
      </c>
      <c r="CD25" s="4">
        <f t="shared" si="88"/>
        <v>2.5</v>
      </c>
      <c r="CE25" s="4">
        <f t="shared" si="96"/>
        <v>0.25</v>
      </c>
      <c r="CF25" s="4">
        <v>2115.0</v>
      </c>
      <c r="CG25" s="4">
        <v>1271.0</v>
      </c>
      <c r="CH25" s="4">
        <f t="shared" ref="CH25:CH26" si="110">0.5*1</f>
        <v>0.5</v>
      </c>
      <c r="CI25" s="4"/>
      <c r="CJ25" s="4"/>
      <c r="CK25" s="4">
        <f t="shared" ref="CK25:CL25" si="105">0.5*0.001</f>
        <v>0.0005</v>
      </c>
      <c r="CL25" s="4">
        <f t="shared" si="105"/>
        <v>0.0005</v>
      </c>
      <c r="CM25" s="4">
        <f t="shared" si="106"/>
        <v>0.25</v>
      </c>
      <c r="CN25" s="4"/>
      <c r="CO25" s="4"/>
      <c r="CP25" s="4"/>
      <c r="CQ25" s="4">
        <v>7.92</v>
      </c>
      <c r="CR25" s="4"/>
      <c r="CS25" s="4">
        <v>134.6</v>
      </c>
      <c r="CT25" s="4"/>
      <c r="CU25" s="4"/>
      <c r="CV25" s="4"/>
      <c r="CW25" s="4">
        <v>16745.84</v>
      </c>
      <c r="CX25" s="4">
        <v>2874.11</v>
      </c>
      <c r="CY25" s="4"/>
      <c r="CZ25" s="4"/>
      <c r="DA25" s="4"/>
    </row>
    <row r="26">
      <c r="A26" s="4" t="s">
        <v>257</v>
      </c>
      <c r="B26" s="4" t="s">
        <v>258</v>
      </c>
      <c r="C26" s="5" t="s">
        <v>246</v>
      </c>
      <c r="D26" s="5" t="s">
        <v>259</v>
      </c>
      <c r="E26" s="4" t="s">
        <v>248</v>
      </c>
      <c r="F26" s="4" t="s">
        <v>110</v>
      </c>
      <c r="G26" s="4" t="s">
        <v>111</v>
      </c>
      <c r="H26" s="4" t="s">
        <v>260</v>
      </c>
      <c r="I26" s="4" t="s">
        <v>261</v>
      </c>
      <c r="J26" s="4" t="s">
        <v>262</v>
      </c>
      <c r="K26" s="4" t="s">
        <v>263</v>
      </c>
      <c r="L26" s="4">
        <v>-25.2654</v>
      </c>
      <c r="M26" s="4">
        <v>-57.7287</v>
      </c>
      <c r="N26" s="4"/>
      <c r="O26" s="4"/>
      <c r="P26" s="4">
        <v>430.0</v>
      </c>
      <c r="Q26" s="4">
        <v>146.0</v>
      </c>
      <c r="R26" s="4">
        <v>7.87</v>
      </c>
      <c r="S26" s="4">
        <v>-59.6</v>
      </c>
      <c r="T26" s="4">
        <v>2330.0</v>
      </c>
      <c r="U26" s="4">
        <v>1.2</v>
      </c>
      <c r="V26" s="4">
        <v>27.9</v>
      </c>
      <c r="W26" s="4">
        <v>5.61</v>
      </c>
      <c r="X26" s="4">
        <v>72.2</v>
      </c>
      <c r="Y26" s="4">
        <v>72.8</v>
      </c>
      <c r="Z26" s="4">
        <v>1589.7</v>
      </c>
      <c r="AA26" s="4">
        <v>1498.0</v>
      </c>
      <c r="AB26" s="4">
        <v>91.7</v>
      </c>
      <c r="AC26" s="4">
        <v>100.0</v>
      </c>
      <c r="AD26" s="4">
        <v>325.0</v>
      </c>
      <c r="AE26" s="4">
        <v>3.96</v>
      </c>
      <c r="AF26" s="4">
        <v>138.6</v>
      </c>
      <c r="AG26" s="4">
        <v>278.23</v>
      </c>
      <c r="AH26" s="4">
        <v>795.89</v>
      </c>
      <c r="AI26" s="4">
        <v>100.2</v>
      </c>
      <c r="AJ26" s="4">
        <v>12.1</v>
      </c>
      <c r="AK26" s="4">
        <v>459.1</v>
      </c>
      <c r="AL26" s="4">
        <v>10.08</v>
      </c>
      <c r="AM26" s="4">
        <v>110.2</v>
      </c>
      <c r="AN26" s="4">
        <v>12.2</v>
      </c>
      <c r="AO26" s="4">
        <v>471.32</v>
      </c>
      <c r="AP26" s="4">
        <v>11.13</v>
      </c>
      <c r="AQ26" s="4">
        <v>1.58</v>
      </c>
      <c r="AR26" s="4">
        <v>0.418</v>
      </c>
      <c r="AS26" s="4">
        <v>0.106</v>
      </c>
      <c r="AT26" s="4">
        <v>0.073</v>
      </c>
      <c r="AU26" s="4">
        <v>0.204</v>
      </c>
      <c r="AV26" s="4">
        <v>0.216</v>
      </c>
      <c r="AW26" s="4"/>
      <c r="AX26" s="4">
        <v>8.8</v>
      </c>
      <c r="AY26" s="4">
        <v>44.41</v>
      </c>
      <c r="AZ26" s="4">
        <v>35340.0</v>
      </c>
      <c r="BA26" s="4">
        <v>2850.0</v>
      </c>
      <c r="BB26" s="4"/>
      <c r="BC26" s="4"/>
      <c r="BD26" s="4">
        <v>720.0</v>
      </c>
      <c r="BE26" s="4">
        <f t="shared" si="30"/>
        <v>5</v>
      </c>
      <c r="BF26" s="4">
        <f t="shared" si="98"/>
        <v>5</v>
      </c>
      <c r="BG26" s="4">
        <f t="shared" ref="BG26:BH26" si="107">0.5*50</f>
        <v>25</v>
      </c>
      <c r="BH26" s="4">
        <f t="shared" si="107"/>
        <v>25</v>
      </c>
      <c r="BI26" s="4">
        <f t="shared" si="7"/>
        <v>5</v>
      </c>
      <c r="BJ26" s="4">
        <f t="shared" ref="BJ26:BJ29" si="113">0.5*50</f>
        <v>25</v>
      </c>
      <c r="BK26" s="4">
        <f t="shared" si="100"/>
        <v>0.5</v>
      </c>
      <c r="BL26" s="4">
        <f t="shared" si="65"/>
        <v>5</v>
      </c>
      <c r="BM26" s="4">
        <f t="shared" si="66"/>
        <v>25</v>
      </c>
      <c r="BN26" s="4">
        <v>8.0</v>
      </c>
      <c r="BO26" s="4">
        <f t="shared" si="67"/>
        <v>0.25</v>
      </c>
      <c r="BP26" s="4">
        <f t="shared" si="86"/>
        <v>0.5</v>
      </c>
      <c r="BQ26" s="4">
        <f t="shared" si="11"/>
        <v>2.5</v>
      </c>
      <c r="BR26" s="4">
        <f t="shared" si="12"/>
        <v>0.25</v>
      </c>
      <c r="BS26" s="4">
        <f t="shared" si="95"/>
        <v>50</v>
      </c>
      <c r="BT26" s="4">
        <v>1265.0</v>
      </c>
      <c r="BU26" s="4">
        <f t="shared" si="108"/>
        <v>0.5</v>
      </c>
      <c r="BV26" s="4">
        <f t="shared" si="101"/>
        <v>5</v>
      </c>
      <c r="BW26" s="4">
        <v>63.0</v>
      </c>
      <c r="BX26" s="4">
        <f t="shared" si="109"/>
        <v>0.5</v>
      </c>
      <c r="BY26" s="4">
        <f t="shared" si="102"/>
        <v>5</v>
      </c>
      <c r="BZ26" s="4">
        <f t="shared" si="103"/>
        <v>25</v>
      </c>
      <c r="CA26" s="4">
        <v>8.0</v>
      </c>
      <c r="CB26" s="4">
        <f t="shared" si="104"/>
        <v>0.25</v>
      </c>
      <c r="CC26" s="4">
        <v>2.0</v>
      </c>
      <c r="CD26" s="4">
        <f t="shared" si="88"/>
        <v>2.5</v>
      </c>
      <c r="CE26" s="4">
        <f t="shared" si="96"/>
        <v>0.25</v>
      </c>
      <c r="CF26" s="4">
        <v>2582.0</v>
      </c>
      <c r="CG26" s="4">
        <v>1310.0</v>
      </c>
      <c r="CH26" s="4">
        <f t="shared" si="110"/>
        <v>0.5</v>
      </c>
      <c r="CI26" s="4"/>
      <c r="CJ26" s="4"/>
      <c r="CK26" s="4">
        <f t="shared" ref="CK26:CL26" si="111">0.5*0.001</f>
        <v>0.0005</v>
      </c>
      <c r="CL26" s="4">
        <f t="shared" si="111"/>
        <v>0.0005</v>
      </c>
      <c r="CM26" s="4">
        <f t="shared" si="106"/>
        <v>0.25</v>
      </c>
      <c r="CN26" s="4"/>
      <c r="CO26" s="4"/>
      <c r="CP26" s="4"/>
      <c r="CQ26" s="4">
        <v>0.0</v>
      </c>
      <c r="CR26" s="4"/>
      <c r="CS26" s="4">
        <v>490.73</v>
      </c>
      <c r="CT26" s="4"/>
      <c r="CU26" s="4"/>
      <c r="CV26" s="4"/>
      <c r="CW26" s="4">
        <v>28157.03</v>
      </c>
      <c r="CX26" s="4">
        <v>687.02</v>
      </c>
      <c r="CY26" s="4"/>
      <c r="CZ26" s="4"/>
      <c r="DA26" s="4"/>
    </row>
    <row r="27">
      <c r="A27" s="4" t="s">
        <v>264</v>
      </c>
      <c r="B27" s="4" t="s">
        <v>265</v>
      </c>
      <c r="C27" s="5" t="s">
        <v>266</v>
      </c>
      <c r="D27" s="5" t="s">
        <v>267</v>
      </c>
      <c r="E27" s="4" t="s">
        <v>248</v>
      </c>
      <c r="F27" s="4" t="s">
        <v>110</v>
      </c>
      <c r="G27" s="4" t="s">
        <v>111</v>
      </c>
      <c r="H27" s="4" t="s">
        <v>268</v>
      </c>
      <c r="J27" s="4" t="s">
        <v>269</v>
      </c>
      <c r="K27" s="4" t="s">
        <v>270</v>
      </c>
      <c r="L27" s="4">
        <v>-24.6963</v>
      </c>
      <c r="M27" s="4">
        <v>-59.8175</v>
      </c>
      <c r="N27" s="4"/>
      <c r="O27" s="4"/>
      <c r="P27" s="4">
        <v>240.0</v>
      </c>
      <c r="Q27" s="4">
        <v>175.0</v>
      </c>
      <c r="R27" s="4">
        <v>8.48</v>
      </c>
      <c r="S27" s="4">
        <v>-94.25</v>
      </c>
      <c r="T27" s="4">
        <v>4185.0</v>
      </c>
      <c r="U27" s="4">
        <v>2.2</v>
      </c>
      <c r="V27" s="4">
        <v>26.1</v>
      </c>
      <c r="W27" s="4">
        <v>6.95</v>
      </c>
      <c r="X27" s="4">
        <v>87.0</v>
      </c>
      <c r="Y27" s="4">
        <v>131.0</v>
      </c>
      <c r="Z27" s="4">
        <v>2929.0</v>
      </c>
      <c r="AA27" s="4">
        <v>2790.0</v>
      </c>
      <c r="AB27" s="4">
        <v>139.0</v>
      </c>
      <c r="AC27" s="4">
        <v>100.0</v>
      </c>
      <c r="AD27" s="4">
        <v>570.0</v>
      </c>
      <c r="AE27" s="4">
        <v>23.76</v>
      </c>
      <c r="AF27" s="4">
        <v>243.54</v>
      </c>
      <c r="AG27" s="4">
        <v>586.29</v>
      </c>
      <c r="AH27" s="4">
        <v>1313.03</v>
      </c>
      <c r="AI27" s="4">
        <v>100.2</v>
      </c>
      <c r="AJ27" s="4">
        <v>61.0</v>
      </c>
      <c r="AK27" s="4">
        <v>683.2</v>
      </c>
      <c r="AL27" s="4">
        <v>7.37</v>
      </c>
      <c r="AM27" s="4">
        <v>120.2</v>
      </c>
      <c r="AN27" s="4">
        <v>65.6</v>
      </c>
      <c r="AO27" s="4">
        <v>684.75</v>
      </c>
      <c r="AP27" s="4">
        <v>8.75</v>
      </c>
      <c r="AQ27" s="4">
        <v>0.71</v>
      </c>
      <c r="AR27" s="4">
        <v>0.22</v>
      </c>
      <c r="AS27" s="4">
        <v>0.142</v>
      </c>
      <c r="AT27" s="4">
        <v>0.09</v>
      </c>
      <c r="AU27" s="4">
        <v>0.089</v>
      </c>
      <c r="AV27" s="4">
        <v>0.302</v>
      </c>
      <c r="AW27" s="4"/>
      <c r="AX27" s="4">
        <v>14.7</v>
      </c>
      <c r="AY27" s="4">
        <v>122.25</v>
      </c>
      <c r="AZ27" s="4">
        <v>25870.0</v>
      </c>
      <c r="BA27" s="4">
        <v>4310.0</v>
      </c>
      <c r="BB27" s="4"/>
      <c r="BC27" s="4"/>
      <c r="BD27" s="4">
        <v>9360.0</v>
      </c>
      <c r="BE27" s="4">
        <f t="shared" si="30"/>
        <v>5</v>
      </c>
      <c r="BF27" s="4">
        <f t="shared" si="98"/>
        <v>5</v>
      </c>
      <c r="BG27" s="4">
        <f t="shared" ref="BG27:BH27" si="112">0.5*50</f>
        <v>25</v>
      </c>
      <c r="BH27" s="4">
        <f t="shared" si="112"/>
        <v>25</v>
      </c>
      <c r="BI27" s="4">
        <f t="shared" si="7"/>
        <v>5</v>
      </c>
      <c r="BJ27" s="4">
        <f t="shared" si="113"/>
        <v>25</v>
      </c>
      <c r="BK27" s="4">
        <v>2.0</v>
      </c>
      <c r="BL27" s="4">
        <f t="shared" si="65"/>
        <v>5</v>
      </c>
      <c r="BM27" s="4">
        <f t="shared" si="66"/>
        <v>25</v>
      </c>
      <c r="BN27" s="4">
        <v>8.0</v>
      </c>
      <c r="BO27" s="4">
        <f t="shared" si="67"/>
        <v>0.25</v>
      </c>
      <c r="BP27" s="4">
        <f t="shared" si="86"/>
        <v>0.5</v>
      </c>
      <c r="BQ27" s="4">
        <f t="shared" si="11"/>
        <v>2.5</v>
      </c>
      <c r="BR27" s="4">
        <f t="shared" si="12"/>
        <v>0.25</v>
      </c>
      <c r="BS27" s="4">
        <f t="shared" si="95"/>
        <v>50</v>
      </c>
      <c r="BT27" s="4">
        <v>3120.0</v>
      </c>
      <c r="BU27" s="4">
        <v>1.0</v>
      </c>
      <c r="BV27" s="4">
        <f t="shared" si="101"/>
        <v>5</v>
      </c>
      <c r="BW27" s="4">
        <v>341.0</v>
      </c>
      <c r="BX27" s="4">
        <v>4.0</v>
      </c>
      <c r="BY27" s="4">
        <f t="shared" si="102"/>
        <v>5</v>
      </c>
      <c r="BZ27" s="4">
        <f t="shared" si="103"/>
        <v>25</v>
      </c>
      <c r="CA27" s="4">
        <v>9.0</v>
      </c>
      <c r="CB27" s="4">
        <f t="shared" si="104"/>
        <v>0.25</v>
      </c>
      <c r="CC27" s="4">
        <v>2.0</v>
      </c>
      <c r="CD27" s="4">
        <f t="shared" si="88"/>
        <v>2.5</v>
      </c>
      <c r="CE27" s="4">
        <f t="shared" si="96"/>
        <v>0.25</v>
      </c>
      <c r="CF27" s="4">
        <v>3027.0</v>
      </c>
      <c r="CG27" s="4">
        <v>3122.0</v>
      </c>
      <c r="CH27" s="4">
        <v>3.0</v>
      </c>
      <c r="CI27" s="4"/>
      <c r="CJ27" s="4"/>
      <c r="CK27" s="4">
        <f t="shared" ref="CK27:CL27" si="114">0.5*0.001</f>
        <v>0.0005</v>
      </c>
      <c r="CL27" s="4">
        <f t="shared" si="114"/>
        <v>0.0005</v>
      </c>
      <c r="CM27" s="4">
        <f t="shared" si="106"/>
        <v>0.25</v>
      </c>
      <c r="CN27" s="4">
        <v>14.39</v>
      </c>
      <c r="CO27" s="4"/>
      <c r="CP27" s="4"/>
      <c r="CQ27" s="4">
        <v>7.19</v>
      </c>
      <c r="CR27" s="4"/>
      <c r="CS27" s="4">
        <v>14.39</v>
      </c>
      <c r="CT27" s="4"/>
      <c r="CU27" s="4"/>
      <c r="CV27" s="4"/>
      <c r="CW27" s="4">
        <v>21776.98</v>
      </c>
      <c r="CX27" s="4">
        <v>2453.24</v>
      </c>
      <c r="CY27" s="4"/>
      <c r="CZ27" s="4">
        <v>14.39</v>
      </c>
      <c r="DA27" s="4"/>
    </row>
    <row r="28">
      <c r="A28" s="4" t="s">
        <v>271</v>
      </c>
      <c r="B28" s="4" t="s">
        <v>272</v>
      </c>
      <c r="C28" s="5" t="s">
        <v>273</v>
      </c>
      <c r="D28" s="5" t="s">
        <v>210</v>
      </c>
      <c r="E28" s="4" t="s">
        <v>248</v>
      </c>
      <c r="F28" s="4" t="s">
        <v>110</v>
      </c>
      <c r="G28" s="4" t="s">
        <v>111</v>
      </c>
      <c r="H28" s="4" t="s">
        <v>274</v>
      </c>
      <c r="I28" s="4" t="s">
        <v>275</v>
      </c>
      <c r="J28" s="4" t="s">
        <v>276</v>
      </c>
      <c r="K28" s="4" t="s">
        <v>277</v>
      </c>
      <c r="L28" s="4">
        <v>-24.4087</v>
      </c>
      <c r="M28" s="4">
        <v>-60.3346</v>
      </c>
      <c r="N28" s="4"/>
      <c r="O28" s="4"/>
      <c r="P28" s="4">
        <v>781.0</v>
      </c>
      <c r="Q28" s="4">
        <v>156.1</v>
      </c>
      <c r="R28" s="4">
        <v>8.04</v>
      </c>
      <c r="S28" s="4">
        <v>-69.55</v>
      </c>
      <c r="T28" s="4">
        <v>1281.5</v>
      </c>
      <c r="U28" s="4">
        <v>0.6</v>
      </c>
      <c r="V28" s="4">
        <v>27.6</v>
      </c>
      <c r="W28" s="4">
        <v>6.04</v>
      </c>
      <c r="X28" s="4">
        <v>78.2</v>
      </c>
      <c r="Y28" s="4">
        <v>20.2</v>
      </c>
      <c r="Z28" s="4">
        <v>877.2</v>
      </c>
      <c r="AA28" s="4">
        <v>851.0</v>
      </c>
      <c r="AB28" s="4">
        <v>26.2</v>
      </c>
      <c r="AC28" s="4">
        <v>125.0</v>
      </c>
      <c r="AD28" s="4">
        <v>390.0</v>
      </c>
      <c r="AE28" s="4">
        <v>3.96</v>
      </c>
      <c r="AF28" s="4">
        <v>223.74</v>
      </c>
      <c r="AG28" s="4">
        <v>149.05</v>
      </c>
      <c r="AH28" s="4">
        <v>237.11</v>
      </c>
      <c r="AI28" s="4">
        <v>80.2</v>
      </c>
      <c r="AJ28" s="4">
        <v>31.6</v>
      </c>
      <c r="AK28" s="4">
        <v>119.08</v>
      </c>
      <c r="AL28" s="4">
        <v>5.73</v>
      </c>
      <c r="AM28" s="4">
        <v>90.2</v>
      </c>
      <c r="AN28" s="4">
        <v>40.1</v>
      </c>
      <c r="AO28" s="4">
        <v>119.88</v>
      </c>
      <c r="AP28" s="4">
        <v>6.24</v>
      </c>
      <c r="AQ28" s="4">
        <v>0.5</v>
      </c>
      <c r="AR28" s="4">
        <v>0.077</v>
      </c>
      <c r="AS28" s="4">
        <v>0.129</v>
      </c>
      <c r="AT28" s="4">
        <v>0.15</v>
      </c>
      <c r="AU28" s="4">
        <v>0.558</v>
      </c>
      <c r="AV28" s="4">
        <v>0.4</v>
      </c>
      <c r="AW28" s="4"/>
      <c r="AX28" s="4">
        <v>11.2</v>
      </c>
      <c r="AY28" s="4">
        <v>98.01</v>
      </c>
      <c r="AZ28" s="4">
        <v>2303840.0</v>
      </c>
      <c r="BA28" s="4">
        <v>7390.0</v>
      </c>
      <c r="BB28" s="4"/>
      <c r="BC28" s="4"/>
      <c r="BD28" s="4">
        <v>110000.0</v>
      </c>
      <c r="BE28" s="4">
        <f t="shared" si="30"/>
        <v>5</v>
      </c>
      <c r="BF28" s="4">
        <f t="shared" si="98"/>
        <v>5</v>
      </c>
      <c r="BG28" s="4">
        <f t="shared" ref="BG28:BH28" si="115">0.5*50</f>
        <v>25</v>
      </c>
      <c r="BH28" s="4">
        <f t="shared" si="115"/>
        <v>25</v>
      </c>
      <c r="BI28" s="4">
        <f t="shared" si="7"/>
        <v>5</v>
      </c>
      <c r="BJ28" s="4">
        <f t="shared" si="113"/>
        <v>25</v>
      </c>
      <c r="BK28" s="4">
        <f>0.5*1</f>
        <v>0.5</v>
      </c>
      <c r="BL28" s="4">
        <f t="shared" si="65"/>
        <v>5</v>
      </c>
      <c r="BM28" s="4">
        <f t="shared" si="66"/>
        <v>25</v>
      </c>
      <c r="BN28" s="4">
        <v>7.0</v>
      </c>
      <c r="BO28" s="4">
        <f t="shared" si="67"/>
        <v>0.25</v>
      </c>
      <c r="BP28" s="4">
        <f t="shared" si="86"/>
        <v>0.5</v>
      </c>
      <c r="BQ28" s="4">
        <f t="shared" si="11"/>
        <v>2.5</v>
      </c>
      <c r="BR28" s="4">
        <f t="shared" si="12"/>
        <v>0.25</v>
      </c>
      <c r="BS28" s="4">
        <f t="shared" si="95"/>
        <v>50</v>
      </c>
      <c r="BT28" s="4">
        <v>1286.0</v>
      </c>
      <c r="BU28" s="4">
        <v>2.0</v>
      </c>
      <c r="BV28" s="4">
        <f t="shared" si="101"/>
        <v>5</v>
      </c>
      <c r="BW28" s="4">
        <v>79.0</v>
      </c>
      <c r="BX28" s="4">
        <v>1.0</v>
      </c>
      <c r="BY28" s="4">
        <f t="shared" si="102"/>
        <v>5</v>
      </c>
      <c r="BZ28" s="4">
        <f t="shared" si="103"/>
        <v>25</v>
      </c>
      <c r="CA28" s="4">
        <v>7.0</v>
      </c>
      <c r="CB28" s="4">
        <f t="shared" si="104"/>
        <v>0.25</v>
      </c>
      <c r="CC28" s="4">
        <f>0.5*1</f>
        <v>0.5</v>
      </c>
      <c r="CD28" s="4">
        <f t="shared" si="88"/>
        <v>2.5</v>
      </c>
      <c r="CE28" s="4">
        <f t="shared" si="96"/>
        <v>0.25</v>
      </c>
      <c r="CF28" s="4">
        <v>505.0</v>
      </c>
      <c r="CG28" s="4">
        <v>1435.0</v>
      </c>
      <c r="CH28" s="4">
        <v>2.0</v>
      </c>
      <c r="CI28" s="4"/>
      <c r="CJ28" s="4"/>
      <c r="CK28" s="4">
        <f t="shared" ref="CK28:CL28" si="116">0.5*0.001</f>
        <v>0.0005</v>
      </c>
      <c r="CL28" s="4">
        <f t="shared" si="116"/>
        <v>0.0005</v>
      </c>
      <c r="CM28" s="4">
        <f t="shared" si="106"/>
        <v>0.25</v>
      </c>
      <c r="CN28" s="4">
        <v>0.0</v>
      </c>
      <c r="CO28" s="4"/>
      <c r="CP28" s="4"/>
      <c r="CQ28" s="4">
        <v>0.0</v>
      </c>
      <c r="CR28" s="4"/>
      <c r="CS28" s="4">
        <v>5687.02</v>
      </c>
      <c r="CT28" s="4"/>
      <c r="CU28" s="4"/>
      <c r="CV28" s="4"/>
      <c r="CW28" s="4">
        <v>19274.81</v>
      </c>
      <c r="CX28" s="4">
        <v>3015.27</v>
      </c>
      <c r="CY28" s="4"/>
      <c r="CZ28" s="4">
        <v>38.17</v>
      </c>
      <c r="DA28" s="4"/>
    </row>
    <row r="29">
      <c r="A29" s="4" t="s">
        <v>278</v>
      </c>
      <c r="B29" s="4" t="s">
        <v>279</v>
      </c>
      <c r="C29" s="5" t="s">
        <v>273</v>
      </c>
      <c r="D29" s="5" t="s">
        <v>280</v>
      </c>
      <c r="E29" s="4" t="s">
        <v>248</v>
      </c>
      <c r="F29" s="4" t="s">
        <v>110</v>
      </c>
      <c r="G29" s="4" t="s">
        <v>111</v>
      </c>
      <c r="H29" s="4" t="s">
        <v>274</v>
      </c>
      <c r="I29" s="4" t="s">
        <v>275</v>
      </c>
      <c r="J29" s="4" t="s">
        <v>281</v>
      </c>
      <c r="K29" s="4" t="s">
        <v>282</v>
      </c>
      <c r="L29" s="4">
        <v>-23.1382</v>
      </c>
      <c r="M29" s="4">
        <v>-61.964</v>
      </c>
      <c r="N29" s="4"/>
      <c r="O29" s="4"/>
      <c r="P29" s="4">
        <v>725.0</v>
      </c>
      <c r="Q29" s="4">
        <v>154.9</v>
      </c>
      <c r="R29" s="4">
        <v>7.68</v>
      </c>
      <c r="S29" s="4">
        <v>-48.3</v>
      </c>
      <c r="T29" s="4">
        <v>1380.0</v>
      </c>
      <c r="U29" s="4">
        <v>0.6</v>
      </c>
      <c r="V29" s="4">
        <v>27.1</v>
      </c>
      <c r="W29" s="4">
        <v>6.03</v>
      </c>
      <c r="X29" s="4">
        <v>77.8</v>
      </c>
      <c r="Y29" s="4">
        <f>1.5*1100</f>
        <v>1650</v>
      </c>
      <c r="Z29" s="4">
        <v>6282.8</v>
      </c>
      <c r="AA29" s="4">
        <v>941.0</v>
      </c>
      <c r="AB29" s="4">
        <v>5341.8</v>
      </c>
      <c r="AC29" s="4">
        <v>100.0</v>
      </c>
      <c r="AD29" s="4">
        <v>350.0</v>
      </c>
      <c r="AE29" s="4">
        <v>0.0</v>
      </c>
      <c r="AF29" s="4">
        <v>112.86</v>
      </c>
      <c r="AG29" s="4">
        <v>155.02</v>
      </c>
      <c r="AH29" s="4">
        <v>460.46</v>
      </c>
      <c r="AI29" s="4">
        <v>100.2</v>
      </c>
      <c r="AJ29" s="4">
        <v>8.51</v>
      </c>
      <c r="AK29" s="4">
        <v>150.37</v>
      </c>
      <c r="AL29" s="4">
        <v>7.93</v>
      </c>
      <c r="AM29" s="4">
        <v>110.2</v>
      </c>
      <c r="AN29" s="4">
        <v>18.2</v>
      </c>
      <c r="AO29" s="4">
        <v>154.49</v>
      </c>
      <c r="AP29" s="4">
        <v>8.91</v>
      </c>
      <c r="AQ29" s="4">
        <v>0.64</v>
      </c>
      <c r="AR29" s="4">
        <v>0.127</v>
      </c>
      <c r="AS29" s="4">
        <v>0.837</v>
      </c>
      <c r="AT29" s="4">
        <v>0.45</v>
      </c>
      <c r="AU29" s="4">
        <v>22.975</v>
      </c>
      <c r="AV29" s="4">
        <v>3.66</v>
      </c>
      <c r="AW29" s="4"/>
      <c r="AX29" s="4">
        <v>9.7</v>
      </c>
      <c r="AY29" s="4">
        <v>67.38</v>
      </c>
      <c r="AZ29" s="4">
        <v>22300.0</v>
      </c>
      <c r="BA29" s="4">
        <v>3940.0</v>
      </c>
      <c r="BB29" s="4"/>
      <c r="BC29" s="4"/>
      <c r="BD29" s="4">
        <v>6000.0</v>
      </c>
      <c r="BE29" s="4">
        <f t="shared" si="30"/>
        <v>5</v>
      </c>
      <c r="BF29" s="4">
        <v>11.0</v>
      </c>
      <c r="BG29" s="4">
        <f t="shared" ref="BG29:BH29" si="117">0.5*50</f>
        <v>25</v>
      </c>
      <c r="BH29" s="4">
        <f t="shared" si="117"/>
        <v>25</v>
      </c>
      <c r="BI29" s="4">
        <f t="shared" si="7"/>
        <v>5</v>
      </c>
      <c r="BJ29" s="4">
        <f t="shared" si="113"/>
        <v>25</v>
      </c>
      <c r="BK29" s="4">
        <v>1.0</v>
      </c>
      <c r="BL29" s="4">
        <f t="shared" si="65"/>
        <v>5</v>
      </c>
      <c r="BM29" s="4">
        <f t="shared" si="66"/>
        <v>25</v>
      </c>
      <c r="BN29" s="4">
        <v>2.0</v>
      </c>
      <c r="BO29" s="4">
        <f t="shared" si="67"/>
        <v>0.25</v>
      </c>
      <c r="BP29" s="4">
        <f t="shared" si="86"/>
        <v>0.5</v>
      </c>
      <c r="BQ29" s="4">
        <f t="shared" si="11"/>
        <v>2.5</v>
      </c>
      <c r="BR29" s="4">
        <f t="shared" si="12"/>
        <v>0.25</v>
      </c>
      <c r="BS29" s="4">
        <f t="shared" si="95"/>
        <v>50</v>
      </c>
      <c r="BT29" s="4">
        <v>753.0</v>
      </c>
      <c r="BU29" s="4">
        <v>2.0</v>
      </c>
      <c r="BV29" s="4">
        <v>530.0</v>
      </c>
      <c r="BW29" s="4">
        <v>20989.0</v>
      </c>
      <c r="BX29" s="4">
        <v>414.0</v>
      </c>
      <c r="BY29" s="4">
        <v>393.0</v>
      </c>
      <c r="BZ29" s="4">
        <v>2416.0</v>
      </c>
      <c r="CA29" s="4">
        <v>171.0</v>
      </c>
      <c r="CB29" s="4">
        <v>2.4</v>
      </c>
      <c r="CC29" s="4">
        <v>473.0</v>
      </c>
      <c r="CD29" s="4">
        <f t="shared" si="88"/>
        <v>2.5</v>
      </c>
      <c r="CE29" s="4">
        <f t="shared" si="96"/>
        <v>0.25</v>
      </c>
      <c r="CF29" s="4">
        <v>1361170.0</v>
      </c>
      <c r="CG29" s="4">
        <v>961.0</v>
      </c>
      <c r="CH29" s="4">
        <v>15.0</v>
      </c>
      <c r="CI29" s="4"/>
      <c r="CJ29" s="4"/>
      <c r="CK29" s="4">
        <f t="shared" ref="CK29:CL29" si="118">0.5*0.001</f>
        <v>0.0005</v>
      </c>
      <c r="CL29" s="4">
        <f t="shared" si="118"/>
        <v>0.0005</v>
      </c>
      <c r="CM29" s="4">
        <f t="shared" si="106"/>
        <v>0.25</v>
      </c>
      <c r="CN29" s="4">
        <v>2.43</v>
      </c>
      <c r="CO29" s="4">
        <v>452.28</v>
      </c>
      <c r="CP29" s="4">
        <v>87.06</v>
      </c>
      <c r="CQ29" s="4">
        <v>31.64</v>
      </c>
      <c r="CR29" s="4">
        <v>2.06</v>
      </c>
      <c r="CS29" s="4">
        <v>38.94</v>
      </c>
      <c r="CT29" s="4">
        <v>0.45</v>
      </c>
      <c r="CU29" s="4">
        <v>73.57</v>
      </c>
      <c r="CV29" s="4">
        <v>99.22</v>
      </c>
      <c r="CW29" s="4">
        <v>254814.11</v>
      </c>
      <c r="CX29" s="4">
        <v>3929.2</v>
      </c>
      <c r="CY29" s="4"/>
      <c r="CZ29" s="4">
        <v>77.31</v>
      </c>
      <c r="DA29" s="4"/>
    </row>
    <row r="30">
      <c r="A30" s="4" t="s">
        <v>283</v>
      </c>
      <c r="B30" s="4" t="s">
        <v>284</v>
      </c>
      <c r="C30" s="5" t="s">
        <v>285</v>
      </c>
      <c r="D30" s="5" t="s">
        <v>181</v>
      </c>
      <c r="E30" s="4" t="s">
        <v>248</v>
      </c>
      <c r="F30" s="4" t="s">
        <v>110</v>
      </c>
      <c r="G30" s="4" t="s">
        <v>111</v>
      </c>
      <c r="H30" s="4" t="s">
        <v>149</v>
      </c>
      <c r="I30" s="4" t="s">
        <v>286</v>
      </c>
      <c r="J30" s="4" t="s">
        <v>287</v>
      </c>
      <c r="K30" s="4" t="s">
        <v>288</v>
      </c>
      <c r="L30" s="4">
        <v>-25.2642</v>
      </c>
      <c r="M30" s="4">
        <v>-57.7243</v>
      </c>
      <c r="N30" s="4"/>
      <c r="O30" s="4"/>
      <c r="P30" s="4">
        <v>319.0</v>
      </c>
      <c r="Q30" s="4">
        <v>138.1</v>
      </c>
      <c r="R30" s="4">
        <v>7.55</v>
      </c>
      <c r="S30" s="4">
        <v>-40.15</v>
      </c>
      <c r="T30" s="4">
        <v>3135.0</v>
      </c>
      <c r="U30" s="4">
        <v>1.6</v>
      </c>
      <c r="V30" s="4">
        <v>30.8</v>
      </c>
      <c r="W30" s="4">
        <v>5.07</v>
      </c>
      <c r="X30" s="4">
        <v>69.3</v>
      </c>
      <c r="Y30" s="4">
        <v>32.07</v>
      </c>
      <c r="Z30" s="4">
        <v>2149.7</v>
      </c>
      <c r="AA30" s="4">
        <v>2130.0</v>
      </c>
      <c r="AB30" s="4">
        <v>19.7</v>
      </c>
      <c r="AC30" s="4">
        <v>100.0</v>
      </c>
      <c r="AD30" s="4">
        <v>255.0</v>
      </c>
      <c r="AE30" s="4">
        <v>0.0</v>
      </c>
      <c r="AF30" s="4">
        <v>160.38</v>
      </c>
      <c r="AG30" s="4">
        <v>604.16</v>
      </c>
      <c r="AH30" s="4">
        <v>530.34</v>
      </c>
      <c r="AI30" s="4">
        <v>98.2</v>
      </c>
      <c r="AJ30" s="4">
        <v>1.22</v>
      </c>
      <c r="AK30" s="4">
        <v>489.94</v>
      </c>
      <c r="AL30" s="4">
        <v>7.19</v>
      </c>
      <c r="AM30" s="4">
        <v>100.2</v>
      </c>
      <c r="AN30" s="4">
        <v>1.22</v>
      </c>
      <c r="AO30" s="4">
        <v>523.94</v>
      </c>
      <c r="AP30" s="4">
        <v>7.84</v>
      </c>
      <c r="AQ30" s="4">
        <v>1.94</v>
      </c>
      <c r="AR30" s="4">
        <v>0.572</v>
      </c>
      <c r="AS30" s="4">
        <v>2.782</v>
      </c>
      <c r="AT30" s="4">
        <v>0.105</v>
      </c>
      <c r="AU30" s="4">
        <v>0.505</v>
      </c>
      <c r="AV30" s="4">
        <v>3.23</v>
      </c>
      <c r="AW30" s="4"/>
      <c r="AX30" s="4">
        <v>5.4</v>
      </c>
      <c r="AY30" s="4">
        <v>98.01</v>
      </c>
      <c r="AZ30" s="4">
        <v>88160.0</v>
      </c>
      <c r="BA30" s="4">
        <v>11600.0</v>
      </c>
      <c r="BB30" s="4"/>
      <c r="BC30" s="4"/>
      <c r="BD30" s="4">
        <v>1760.0</v>
      </c>
      <c r="BE30" s="4">
        <f t="shared" si="30"/>
        <v>5</v>
      </c>
      <c r="BF30" s="4">
        <f t="shared" ref="BF30:BF93" si="121">0.5*10</f>
        <v>5</v>
      </c>
      <c r="BG30" s="4">
        <f t="shared" ref="BG30:BH30" si="119">0.5*50</f>
        <v>25</v>
      </c>
      <c r="BH30" s="4">
        <f t="shared" si="119"/>
        <v>25</v>
      </c>
      <c r="BI30" s="4">
        <f t="shared" si="7"/>
        <v>5</v>
      </c>
      <c r="BJ30" s="4">
        <v>501.0</v>
      </c>
      <c r="BK30" s="4">
        <f>0.5*1</f>
        <v>0.5</v>
      </c>
      <c r="BL30" s="4">
        <f t="shared" si="65"/>
        <v>5</v>
      </c>
      <c r="BM30" s="4">
        <f t="shared" si="66"/>
        <v>25</v>
      </c>
      <c r="BN30" s="4">
        <v>6.0</v>
      </c>
      <c r="BO30" s="4">
        <f t="shared" si="67"/>
        <v>0.25</v>
      </c>
      <c r="BP30" s="4">
        <f t="shared" si="86"/>
        <v>0.5</v>
      </c>
      <c r="BQ30" s="4">
        <f t="shared" si="11"/>
        <v>2.5</v>
      </c>
      <c r="BR30" s="4">
        <f t="shared" si="12"/>
        <v>0.25</v>
      </c>
      <c r="BS30" s="4">
        <f t="shared" si="95"/>
        <v>50</v>
      </c>
      <c r="BT30" s="4">
        <v>718.0</v>
      </c>
      <c r="BU30" s="4">
        <f t="shared" ref="BU30:BU31" si="123">0.5*1</f>
        <v>0.5</v>
      </c>
      <c r="BV30" s="4">
        <f t="shared" ref="BV30:BV31" si="124">0.5*10</f>
        <v>5</v>
      </c>
      <c r="BW30" s="4">
        <v>507.0</v>
      </c>
      <c r="BX30" s="4">
        <f>0.5*1</f>
        <v>0.5</v>
      </c>
      <c r="BY30" s="4">
        <f t="shared" ref="BY30:BY31" si="125">0.5*10</f>
        <v>5</v>
      </c>
      <c r="BZ30" s="4">
        <f t="shared" ref="BZ30:BZ31" si="126">0.5*50</f>
        <v>25</v>
      </c>
      <c r="CA30" s="4">
        <v>7.0</v>
      </c>
      <c r="CB30" s="4">
        <f t="shared" ref="CB30:CB31" si="127">0.5*0.5</f>
        <v>0.25</v>
      </c>
      <c r="CC30" s="4">
        <v>1.0</v>
      </c>
      <c r="CD30" s="4">
        <f t="shared" si="88"/>
        <v>2.5</v>
      </c>
      <c r="CE30" s="4">
        <f t="shared" si="96"/>
        <v>0.25</v>
      </c>
      <c r="CF30" s="4">
        <v>1097.0</v>
      </c>
      <c r="CG30" s="4">
        <v>1760.0</v>
      </c>
      <c r="CH30" s="4">
        <f t="shared" ref="CH30:CH31" si="128">0.5*1</f>
        <v>0.5</v>
      </c>
      <c r="CI30" s="4"/>
      <c r="CJ30" s="4"/>
      <c r="CK30" s="4">
        <f t="shared" ref="CK30:CL30" si="120">0.5*0.001</f>
        <v>0.0005</v>
      </c>
      <c r="CL30" s="4">
        <f t="shared" si="120"/>
        <v>0.0005</v>
      </c>
      <c r="CM30" s="4">
        <f t="shared" si="106"/>
        <v>0.25</v>
      </c>
      <c r="CN30" s="4"/>
      <c r="CO30" s="4"/>
      <c r="CP30" s="4"/>
      <c r="CQ30" s="4">
        <v>50.76</v>
      </c>
      <c r="CR30" s="4"/>
      <c r="CS30" s="4">
        <v>52893.4</v>
      </c>
      <c r="CT30" s="4"/>
      <c r="CU30" s="4"/>
      <c r="CV30" s="4"/>
      <c r="CW30" s="4">
        <v>55685.28</v>
      </c>
      <c r="CX30" s="4">
        <v>304.57</v>
      </c>
      <c r="CY30" s="4"/>
      <c r="CZ30" s="4"/>
      <c r="DA30" s="4"/>
    </row>
    <row r="31">
      <c r="A31" s="4" t="s">
        <v>289</v>
      </c>
      <c r="B31" s="4" t="s">
        <v>290</v>
      </c>
      <c r="C31" s="5" t="s">
        <v>285</v>
      </c>
      <c r="D31" s="5" t="s">
        <v>198</v>
      </c>
      <c r="E31" s="4" t="s">
        <v>248</v>
      </c>
      <c r="F31" s="4" t="s">
        <v>110</v>
      </c>
      <c r="G31" s="4" t="s">
        <v>111</v>
      </c>
      <c r="H31" s="4" t="s">
        <v>291</v>
      </c>
      <c r="J31" s="4" t="s">
        <v>292</v>
      </c>
      <c r="K31" s="4" t="s">
        <v>293</v>
      </c>
      <c r="L31" s="4">
        <v>-25.1075</v>
      </c>
      <c r="M31" s="4">
        <v>-57.5467</v>
      </c>
      <c r="N31" s="4"/>
      <c r="O31" s="4"/>
      <c r="P31" s="4">
        <v>1999.5</v>
      </c>
      <c r="Q31" s="4">
        <v>38.0</v>
      </c>
      <c r="R31" s="4">
        <v>6.67</v>
      </c>
      <c r="S31" s="4">
        <v>11.6</v>
      </c>
      <c r="T31" s="4">
        <v>500.0</v>
      </c>
      <c r="U31" s="4">
        <v>0.2</v>
      </c>
      <c r="V31" s="4">
        <v>30.8</v>
      </c>
      <c r="W31" s="4">
        <v>1.42</v>
      </c>
      <c r="X31" s="4">
        <v>19.2</v>
      </c>
      <c r="Y31" s="4">
        <v>46.2</v>
      </c>
      <c r="Z31" s="4">
        <v>369.8</v>
      </c>
      <c r="AA31" s="4">
        <v>341.0</v>
      </c>
      <c r="AB31" s="4">
        <v>28.8</v>
      </c>
      <c r="AC31" s="4">
        <v>350.0</v>
      </c>
      <c r="AD31" s="4">
        <v>70.0</v>
      </c>
      <c r="AE31" s="4">
        <v>0.0</v>
      </c>
      <c r="AF31" s="4">
        <v>39.6</v>
      </c>
      <c r="AG31" s="4">
        <v>83.47</v>
      </c>
      <c r="AH31" s="4">
        <v>24.57</v>
      </c>
      <c r="AI31" s="4">
        <v>20.0</v>
      </c>
      <c r="AJ31" s="4">
        <v>4.13</v>
      </c>
      <c r="AK31" s="4">
        <v>64.83</v>
      </c>
      <c r="AL31" s="4">
        <v>7.95</v>
      </c>
      <c r="AM31" s="4">
        <v>20.8</v>
      </c>
      <c r="AN31" s="4">
        <v>4.37</v>
      </c>
      <c r="AO31" s="4">
        <v>65.57</v>
      </c>
      <c r="AP31" s="4">
        <v>9.08</v>
      </c>
      <c r="AQ31" s="4">
        <v>1.17</v>
      </c>
      <c r="AR31" s="4">
        <v>0.316</v>
      </c>
      <c r="AS31" s="4">
        <v>0.099</v>
      </c>
      <c r="AT31" s="4">
        <v>0.2</v>
      </c>
      <c r="AU31" s="4">
        <v>1.611</v>
      </c>
      <c r="AV31" s="4">
        <v>0.162</v>
      </c>
      <c r="AW31" s="4"/>
      <c r="AX31" s="4">
        <v>2.4</v>
      </c>
      <c r="AY31" s="4">
        <v>235.84</v>
      </c>
      <c r="AZ31" s="4">
        <v>10980.0</v>
      </c>
      <c r="BA31" s="4">
        <v>3600.0</v>
      </c>
      <c r="BB31" s="4"/>
      <c r="BC31" s="4"/>
      <c r="BD31" s="4">
        <v>1540.0</v>
      </c>
      <c r="BE31" s="4">
        <f t="shared" si="30"/>
        <v>5</v>
      </c>
      <c r="BF31" s="4">
        <f t="shared" si="121"/>
        <v>5</v>
      </c>
      <c r="BG31" s="4">
        <f t="shared" ref="BG31:BH31" si="122">0.5*50</f>
        <v>25</v>
      </c>
      <c r="BH31" s="4">
        <f t="shared" si="122"/>
        <v>25</v>
      </c>
      <c r="BI31" s="4">
        <f t="shared" si="7"/>
        <v>5</v>
      </c>
      <c r="BJ31" s="4">
        <v>391.0</v>
      </c>
      <c r="BK31" s="4">
        <v>2.0</v>
      </c>
      <c r="BL31" s="4">
        <f t="shared" si="65"/>
        <v>5</v>
      </c>
      <c r="BM31" s="4">
        <f t="shared" si="66"/>
        <v>25</v>
      </c>
      <c r="BN31" s="4">
        <v>5.0</v>
      </c>
      <c r="BO31" s="4">
        <f t="shared" si="67"/>
        <v>0.25</v>
      </c>
      <c r="BP31" s="4">
        <f t="shared" si="86"/>
        <v>0.5</v>
      </c>
      <c r="BQ31" s="4">
        <f t="shared" si="11"/>
        <v>2.5</v>
      </c>
      <c r="BR31" s="4">
        <f t="shared" si="12"/>
        <v>0.25</v>
      </c>
      <c r="BS31" s="4">
        <v>1005.0</v>
      </c>
      <c r="BT31" s="4">
        <v>143.0</v>
      </c>
      <c r="BU31" s="4">
        <f t="shared" si="123"/>
        <v>0.5</v>
      </c>
      <c r="BV31" s="4">
        <f t="shared" si="124"/>
        <v>5</v>
      </c>
      <c r="BW31" s="4">
        <v>411.0</v>
      </c>
      <c r="BX31" s="4">
        <v>9.0</v>
      </c>
      <c r="BY31" s="4">
        <f t="shared" si="125"/>
        <v>5</v>
      </c>
      <c r="BZ31" s="4">
        <f t="shared" si="126"/>
        <v>25</v>
      </c>
      <c r="CA31" s="4">
        <v>6.0</v>
      </c>
      <c r="CB31" s="4">
        <f t="shared" si="127"/>
        <v>0.25</v>
      </c>
      <c r="CC31" s="4">
        <v>2.0</v>
      </c>
      <c r="CD31" s="4">
        <f t="shared" si="88"/>
        <v>2.5</v>
      </c>
      <c r="CE31" s="4">
        <f t="shared" si="96"/>
        <v>0.25</v>
      </c>
      <c r="CF31" s="4">
        <v>3501.0</v>
      </c>
      <c r="CG31" s="4">
        <v>202.0</v>
      </c>
      <c r="CH31" s="4">
        <f t="shared" si="128"/>
        <v>0.5</v>
      </c>
      <c r="CI31" s="4"/>
      <c r="CJ31" s="4"/>
      <c r="CK31" s="4">
        <f t="shared" ref="CK31:CL31" si="129">0.5*0.001</f>
        <v>0.0005</v>
      </c>
      <c r="CL31" s="4">
        <f t="shared" si="129"/>
        <v>0.0005</v>
      </c>
      <c r="CM31" s="4">
        <f t="shared" si="106"/>
        <v>0.25</v>
      </c>
      <c r="CN31" s="4"/>
      <c r="CO31" s="4"/>
      <c r="CP31" s="4"/>
      <c r="CQ31" s="4">
        <v>34.72</v>
      </c>
      <c r="CR31" s="4"/>
      <c r="CS31" s="4">
        <v>2048.61</v>
      </c>
      <c r="CT31" s="4"/>
      <c r="CU31" s="4"/>
      <c r="CV31" s="4"/>
      <c r="CW31" s="4">
        <v>86666.67</v>
      </c>
      <c r="CX31" s="4">
        <v>694.44</v>
      </c>
      <c r="CY31" s="4"/>
      <c r="CZ31" s="4">
        <v>243.06</v>
      </c>
      <c r="DA31" s="4"/>
    </row>
    <row r="32">
      <c r="A32" s="4" t="s">
        <v>238</v>
      </c>
      <c r="B32" s="4" t="s">
        <v>239</v>
      </c>
      <c r="C32" s="5" t="s">
        <v>294</v>
      </c>
      <c r="D32" s="5" t="s">
        <v>295</v>
      </c>
      <c r="E32" s="4" t="s">
        <v>248</v>
      </c>
      <c r="F32" s="4" t="s">
        <v>110</v>
      </c>
      <c r="G32" s="4" t="s">
        <v>111</v>
      </c>
      <c r="H32" s="4" t="s">
        <v>149</v>
      </c>
      <c r="I32" s="4" t="s">
        <v>241</v>
      </c>
      <c r="J32" s="4" t="s">
        <v>296</v>
      </c>
      <c r="K32" s="4" t="s">
        <v>297</v>
      </c>
      <c r="L32" s="4">
        <v>-22.3781</v>
      </c>
      <c r="M32" s="4">
        <v>-62.5186</v>
      </c>
      <c r="N32" s="4">
        <v>1.27</v>
      </c>
      <c r="O32" s="4">
        <v>78.0</v>
      </c>
      <c r="P32" s="4">
        <v>780.0</v>
      </c>
      <c r="Q32" s="4">
        <v>127.4</v>
      </c>
      <c r="R32" s="4">
        <v>7.82</v>
      </c>
      <c r="S32" s="4">
        <v>-54.1</v>
      </c>
      <c r="T32" s="4">
        <v>1284.0</v>
      </c>
      <c r="U32" s="4">
        <v>0.6</v>
      </c>
      <c r="V32" s="4">
        <v>22.9</v>
      </c>
      <c r="W32" s="4">
        <v>5.33</v>
      </c>
      <c r="X32" s="4">
        <v>64.2</v>
      </c>
      <c r="Y32" s="4">
        <f>1.5*1100</f>
        <v>1650</v>
      </c>
      <c r="Z32" s="4">
        <v>11677.1</v>
      </c>
      <c r="AA32" s="4">
        <v>780.0</v>
      </c>
      <c r="AB32" s="4">
        <v>10897.1</v>
      </c>
      <c r="AC32" s="4">
        <v>50.0</v>
      </c>
      <c r="AD32" s="4">
        <v>400.0</v>
      </c>
      <c r="AE32" s="4">
        <v>0.0</v>
      </c>
      <c r="AF32" s="4">
        <v>120.78</v>
      </c>
      <c r="AG32" s="4">
        <v>129.18</v>
      </c>
      <c r="AH32" s="4">
        <v>478.88</v>
      </c>
      <c r="AI32" s="4">
        <v>132.3</v>
      </c>
      <c r="AJ32" s="4">
        <v>10.7</v>
      </c>
      <c r="AK32" s="4">
        <v>158.14</v>
      </c>
      <c r="AL32" s="4">
        <v>8.62</v>
      </c>
      <c r="AM32" s="4">
        <v>136.3</v>
      </c>
      <c r="AN32" s="4">
        <v>14.6</v>
      </c>
      <c r="AO32" s="4">
        <v>160.78</v>
      </c>
      <c r="AP32" s="4">
        <v>9.25</v>
      </c>
      <c r="AQ32" s="4">
        <v>2.96</v>
      </c>
      <c r="AR32" s="4">
        <v>0.149</v>
      </c>
      <c r="AS32" s="4">
        <v>0.155</v>
      </c>
      <c r="AT32" s="4">
        <v>0.2</v>
      </c>
      <c r="AU32" s="4">
        <v>10.536</v>
      </c>
      <c r="AV32" s="4">
        <v>0.69</v>
      </c>
      <c r="AW32" s="4"/>
      <c r="AX32" s="4">
        <v>5.8</v>
      </c>
      <c r="AY32" s="4">
        <v>581.93</v>
      </c>
      <c r="AZ32" s="4">
        <v>54720.0</v>
      </c>
      <c r="BA32" s="4">
        <v>6080.0</v>
      </c>
      <c r="BB32" s="4"/>
      <c r="BC32" s="4"/>
      <c r="BD32" s="4">
        <v>34780.0</v>
      </c>
      <c r="BE32" s="4">
        <f t="shared" si="30"/>
        <v>5</v>
      </c>
      <c r="BF32" s="4">
        <f t="shared" si="121"/>
        <v>5</v>
      </c>
      <c r="BG32" s="4">
        <f t="shared" ref="BG32:BH32" si="130">0.5*50</f>
        <v>25</v>
      </c>
      <c r="BH32" s="4">
        <f t="shared" si="130"/>
        <v>25</v>
      </c>
      <c r="BI32" s="4">
        <f t="shared" si="7"/>
        <v>5</v>
      </c>
      <c r="BJ32" s="4">
        <f t="shared" ref="BJ32:BJ33" si="132">0.5*50</f>
        <v>25</v>
      </c>
      <c r="BK32" s="4">
        <v>2.0</v>
      </c>
      <c r="BL32" s="4">
        <f t="shared" si="65"/>
        <v>5</v>
      </c>
      <c r="BM32" s="4">
        <f t="shared" si="66"/>
        <v>25</v>
      </c>
      <c r="BN32" s="4">
        <v>2.0</v>
      </c>
      <c r="BO32" s="4">
        <f t="shared" si="67"/>
        <v>0.25</v>
      </c>
      <c r="BP32" s="4">
        <f t="shared" si="86"/>
        <v>0.5</v>
      </c>
      <c r="BQ32" s="4">
        <f t="shared" si="11"/>
        <v>2.5</v>
      </c>
      <c r="BR32" s="4">
        <f t="shared" si="12"/>
        <v>0.25</v>
      </c>
      <c r="BS32" s="4">
        <f t="shared" ref="BS32:BS35" si="133">0.5*100</f>
        <v>50</v>
      </c>
      <c r="BT32" s="4">
        <v>919.0</v>
      </c>
      <c r="BU32" s="4">
        <v>1.0</v>
      </c>
      <c r="BV32" s="4">
        <v>468.0</v>
      </c>
      <c r="BW32" s="4">
        <v>23012.0</v>
      </c>
      <c r="BX32" s="4">
        <v>379.0</v>
      </c>
      <c r="BY32" s="4">
        <v>344.0</v>
      </c>
      <c r="BZ32" s="4">
        <v>1379.0</v>
      </c>
      <c r="CA32" s="4">
        <v>162.0</v>
      </c>
      <c r="CB32" s="4">
        <v>3.2</v>
      </c>
      <c r="CC32" s="4">
        <v>443.0</v>
      </c>
      <c r="CD32" s="4">
        <f t="shared" si="88"/>
        <v>2.5</v>
      </c>
      <c r="CE32" s="4">
        <v>0.8</v>
      </c>
      <c r="CF32" s="4">
        <v>929668.0</v>
      </c>
      <c r="CG32" s="4">
        <v>938.0</v>
      </c>
      <c r="CH32" s="4">
        <v>16.0</v>
      </c>
      <c r="CI32" s="4"/>
      <c r="CJ32" s="4"/>
      <c r="CK32" s="4">
        <v>0.002</v>
      </c>
      <c r="CL32" s="4">
        <v>0.002</v>
      </c>
      <c r="CM32" s="4">
        <f t="shared" si="106"/>
        <v>0.25</v>
      </c>
      <c r="CN32" s="4">
        <v>1.38</v>
      </c>
      <c r="CO32" s="4">
        <v>126.55</v>
      </c>
      <c r="CP32" s="4">
        <v>39.86</v>
      </c>
      <c r="CQ32" s="4">
        <v>14.68</v>
      </c>
      <c r="CR32" s="4"/>
      <c r="CS32" s="4">
        <v>1.74</v>
      </c>
      <c r="CT32" s="4">
        <v>0.29</v>
      </c>
      <c r="CU32" s="4">
        <v>31.57</v>
      </c>
      <c r="CV32" s="4">
        <v>42.95</v>
      </c>
      <c r="CW32" s="4">
        <v>85313.34</v>
      </c>
      <c r="CX32" s="4">
        <v>2111.75</v>
      </c>
      <c r="CY32" s="4">
        <v>0.07</v>
      </c>
      <c r="CZ32" s="4">
        <v>34.6</v>
      </c>
      <c r="DA32" s="4"/>
    </row>
    <row r="33">
      <c r="A33" s="4" t="s">
        <v>298</v>
      </c>
      <c r="B33" s="4" t="s">
        <v>299</v>
      </c>
      <c r="C33" s="5" t="s">
        <v>300</v>
      </c>
      <c r="D33" s="5" t="s">
        <v>301</v>
      </c>
      <c r="E33" s="4" t="s">
        <v>248</v>
      </c>
      <c r="F33" s="4" t="s">
        <v>110</v>
      </c>
      <c r="G33" s="4" t="s">
        <v>111</v>
      </c>
      <c r="H33" s="4" t="s">
        <v>274</v>
      </c>
      <c r="I33" s="4" t="s">
        <v>275</v>
      </c>
      <c r="J33" s="4" t="s">
        <v>302</v>
      </c>
      <c r="K33" s="4" t="s">
        <v>303</v>
      </c>
      <c r="L33" s="4">
        <v>-22.6969</v>
      </c>
      <c r="M33" s="4">
        <v>-62.1968</v>
      </c>
      <c r="N33" s="4"/>
      <c r="O33" s="4"/>
      <c r="P33" s="4">
        <v>555.0</v>
      </c>
      <c r="Q33" s="4">
        <v>188.7</v>
      </c>
      <c r="R33" s="4">
        <v>8.61</v>
      </c>
      <c r="S33" s="4">
        <v>-99.8</v>
      </c>
      <c r="T33" s="4">
        <v>1802.0</v>
      </c>
      <c r="U33" s="4">
        <v>0.9</v>
      </c>
      <c r="V33" s="4">
        <v>26.6</v>
      </c>
      <c r="W33" s="4">
        <v>7.38</v>
      </c>
      <c r="X33" s="4">
        <v>95.3</v>
      </c>
      <c r="Y33" s="4">
        <v>236.8</v>
      </c>
      <c r="Z33" s="4">
        <v>1266.7</v>
      </c>
      <c r="AA33" s="4">
        <v>1080.0</v>
      </c>
      <c r="AB33" s="4">
        <v>186.7</v>
      </c>
      <c r="AC33" s="4">
        <v>60.0</v>
      </c>
      <c r="AD33" s="4">
        <v>400.0</v>
      </c>
      <c r="AE33" s="4">
        <v>15.84</v>
      </c>
      <c r="AF33" s="4">
        <v>124.74</v>
      </c>
      <c r="AG33" s="4">
        <v>789.75</v>
      </c>
      <c r="AH33" s="4">
        <v>441.44</v>
      </c>
      <c r="AI33" s="4">
        <v>140.3</v>
      </c>
      <c r="AJ33" s="4">
        <v>5.35</v>
      </c>
      <c r="AK33" s="4">
        <v>520.14</v>
      </c>
      <c r="AL33" s="4">
        <v>7.58</v>
      </c>
      <c r="AM33" s="4">
        <v>144.3</v>
      </c>
      <c r="AN33" s="4">
        <v>9.73</v>
      </c>
      <c r="AO33" s="4">
        <v>195.35</v>
      </c>
      <c r="AP33" s="4">
        <v>7.93</v>
      </c>
      <c r="AQ33" s="4">
        <v>0.4</v>
      </c>
      <c r="AR33" s="4">
        <v>0.08</v>
      </c>
      <c r="AS33" s="4">
        <v>0.089</v>
      </c>
      <c r="AT33" s="4">
        <v>0.103</v>
      </c>
      <c r="AU33" s="4">
        <v>11.2</v>
      </c>
      <c r="AV33" s="4">
        <v>0.11</v>
      </c>
      <c r="AW33" s="4"/>
      <c r="AX33" s="4">
        <v>3.2</v>
      </c>
      <c r="AY33" s="4">
        <v>193.37</v>
      </c>
      <c r="AZ33" s="4"/>
      <c r="BA33" s="4"/>
      <c r="BB33" s="4"/>
      <c r="BC33" s="4"/>
      <c r="BD33" s="4"/>
      <c r="BE33" s="4">
        <f t="shared" si="30"/>
        <v>5</v>
      </c>
      <c r="BF33" s="4">
        <f t="shared" si="121"/>
        <v>5</v>
      </c>
      <c r="BG33" s="4">
        <f t="shared" ref="BG33:BH33" si="131">0.5*50</f>
        <v>25</v>
      </c>
      <c r="BH33" s="4">
        <f t="shared" si="131"/>
        <v>25</v>
      </c>
      <c r="BI33" s="4">
        <f t="shared" si="7"/>
        <v>5</v>
      </c>
      <c r="BJ33" s="4">
        <f t="shared" si="132"/>
        <v>25</v>
      </c>
      <c r="BK33" s="4">
        <f>0.5*1</f>
        <v>0.5</v>
      </c>
      <c r="BL33" s="4">
        <f t="shared" si="65"/>
        <v>5</v>
      </c>
      <c r="BM33" s="4">
        <f t="shared" si="66"/>
        <v>25</v>
      </c>
      <c r="BN33" s="4">
        <v>5.0</v>
      </c>
      <c r="BO33" s="4">
        <f t="shared" si="67"/>
        <v>0.25</v>
      </c>
      <c r="BP33" s="4">
        <f t="shared" si="86"/>
        <v>0.5</v>
      </c>
      <c r="BQ33" s="4">
        <f t="shared" si="11"/>
        <v>2.5</v>
      </c>
      <c r="BR33" s="4">
        <f t="shared" si="12"/>
        <v>0.25</v>
      </c>
      <c r="BS33" s="4">
        <f t="shared" si="133"/>
        <v>50</v>
      </c>
      <c r="BT33" s="4">
        <v>1267.0</v>
      </c>
      <c r="BU33" s="4">
        <v>2.0</v>
      </c>
      <c r="BV33" s="4">
        <v>10.0</v>
      </c>
      <c r="BW33" s="4">
        <v>67.0</v>
      </c>
      <c r="BX33" s="4">
        <v>5.0</v>
      </c>
      <c r="BY33" s="4">
        <f>0.5*10</f>
        <v>5</v>
      </c>
      <c r="BZ33" s="4">
        <f>0.5*50</f>
        <v>25</v>
      </c>
      <c r="CA33" s="4">
        <v>5.0</v>
      </c>
      <c r="CB33" s="4">
        <f>0.5*0.5</f>
        <v>0.25</v>
      </c>
      <c r="CC33" s="4">
        <v>4.0</v>
      </c>
      <c r="CD33" s="4">
        <f t="shared" si="88"/>
        <v>2.5</v>
      </c>
      <c r="CE33" s="4">
        <f t="shared" ref="CE33:CE83" si="136">0.5*0.5</f>
        <v>0.25</v>
      </c>
      <c r="CF33" s="4">
        <v>3637.0</v>
      </c>
      <c r="CG33" s="4">
        <v>1272.0</v>
      </c>
      <c r="CH33" s="4">
        <v>2.0</v>
      </c>
      <c r="CI33" s="4"/>
      <c r="CJ33" s="4"/>
      <c r="CK33" s="4">
        <f t="shared" ref="CK33:CL33" si="134">0.5*0.001</f>
        <v>0.0005</v>
      </c>
      <c r="CL33" s="4">
        <f t="shared" si="134"/>
        <v>0.0005</v>
      </c>
      <c r="CM33" s="4">
        <f t="shared" si="106"/>
        <v>0.25</v>
      </c>
      <c r="CN33" s="4">
        <v>0.0</v>
      </c>
      <c r="CO33" s="4"/>
      <c r="CP33" s="4"/>
      <c r="CQ33" s="4">
        <v>0.0</v>
      </c>
      <c r="CR33" s="4"/>
      <c r="CS33" s="4">
        <v>26.78</v>
      </c>
      <c r="CT33" s="4"/>
      <c r="CU33" s="4"/>
      <c r="CV33" s="4">
        <v>53.56</v>
      </c>
      <c r="CW33" s="4">
        <v>19480.45</v>
      </c>
      <c r="CX33" s="4">
        <v>358.86</v>
      </c>
      <c r="CY33" s="4"/>
      <c r="CZ33" s="4">
        <v>26.78</v>
      </c>
      <c r="DA33" s="4"/>
    </row>
    <row r="34">
      <c r="A34" s="4" t="s">
        <v>172</v>
      </c>
      <c r="B34" s="4" t="s">
        <v>173</v>
      </c>
      <c r="C34" s="5" t="s">
        <v>304</v>
      </c>
      <c r="D34" s="5" t="s">
        <v>305</v>
      </c>
      <c r="E34" s="4" t="s">
        <v>306</v>
      </c>
      <c r="F34" s="4" t="s">
        <v>110</v>
      </c>
      <c r="G34" s="4" t="s">
        <v>111</v>
      </c>
      <c r="H34" s="4" t="s">
        <v>149</v>
      </c>
      <c r="I34" s="4" t="s">
        <v>150</v>
      </c>
      <c r="J34" s="4" t="s">
        <v>307</v>
      </c>
      <c r="K34" s="4" t="s">
        <v>308</v>
      </c>
      <c r="L34" s="4">
        <v>-19.1309</v>
      </c>
      <c r="M34" s="4">
        <v>-65.4506</v>
      </c>
      <c r="N34" s="4"/>
      <c r="O34" s="4"/>
      <c r="P34" s="4">
        <v>1186.0</v>
      </c>
      <c r="Q34" s="4">
        <v>151.7</v>
      </c>
      <c r="R34" s="4">
        <v>8.2</v>
      </c>
      <c r="S34" s="4">
        <v>-77.1</v>
      </c>
      <c r="T34" s="4">
        <v>842.0</v>
      </c>
      <c r="U34" s="4">
        <v>0.4</v>
      </c>
      <c r="V34" s="4">
        <v>16.4</v>
      </c>
      <c r="W34" s="4">
        <v>7.13</v>
      </c>
      <c r="X34" s="4">
        <v>99.2</v>
      </c>
      <c r="Y34" s="4">
        <f t="shared" ref="Y34:Y35" si="137">1.5*1100</f>
        <v>1650</v>
      </c>
      <c r="Z34" s="4">
        <v>11747.0</v>
      </c>
      <c r="AA34" s="4">
        <v>555.0</v>
      </c>
      <c r="AB34" s="4">
        <v>9600.0</v>
      </c>
      <c r="AC34" s="4"/>
      <c r="AD34" s="4">
        <v>252.0</v>
      </c>
      <c r="AE34" s="4">
        <f t="shared" ref="AE34:AE37" si="138">0.5*0.1</f>
        <v>0.05</v>
      </c>
      <c r="AF34" s="4">
        <v>115.0</v>
      </c>
      <c r="AG34" s="4">
        <v>96.7</v>
      </c>
      <c r="AH34" s="4">
        <v>185.9</v>
      </c>
      <c r="AI34" s="4">
        <v>53.68</v>
      </c>
      <c r="AJ34" s="4">
        <v>23.77</v>
      </c>
      <c r="AK34" s="4">
        <v>79.45</v>
      </c>
      <c r="AL34" s="4">
        <v>11.41</v>
      </c>
      <c r="AM34" s="4">
        <v>76.79</v>
      </c>
      <c r="AN34" s="4">
        <v>34.53</v>
      </c>
      <c r="AO34" s="4">
        <v>132.5</v>
      </c>
      <c r="AP34" s="4">
        <v>30.24</v>
      </c>
      <c r="AQ34" s="4"/>
      <c r="AR34" s="4"/>
      <c r="AS34" s="4"/>
      <c r="AT34" s="4">
        <f>0.5*0.02</f>
        <v>0.01</v>
      </c>
      <c r="AU34" s="4">
        <v>8.88</v>
      </c>
      <c r="AV34" s="4"/>
      <c r="AW34" s="4"/>
      <c r="AX34" s="4">
        <v>33.0</v>
      </c>
      <c r="AY34" s="4">
        <v>45.0</v>
      </c>
      <c r="AZ34" s="4"/>
      <c r="BA34" s="4"/>
      <c r="BB34" s="4"/>
      <c r="BC34" s="4"/>
      <c r="BD34" s="4"/>
      <c r="BE34" s="4">
        <f t="shared" si="30"/>
        <v>5</v>
      </c>
      <c r="BF34" s="4">
        <f t="shared" si="121"/>
        <v>5</v>
      </c>
      <c r="BG34" s="4">
        <f t="shared" ref="BG34:BH34" si="135">0.5*50</f>
        <v>25</v>
      </c>
      <c r="BH34" s="4">
        <f t="shared" si="135"/>
        <v>25</v>
      </c>
      <c r="BI34" s="4">
        <f t="shared" si="7"/>
        <v>5</v>
      </c>
      <c r="BJ34" s="4">
        <v>242.0</v>
      </c>
      <c r="BK34" s="4">
        <v>2.0</v>
      </c>
      <c r="BL34" s="4">
        <f t="shared" si="65"/>
        <v>5</v>
      </c>
      <c r="BM34" s="4">
        <f t="shared" si="66"/>
        <v>25</v>
      </c>
      <c r="BN34" s="4">
        <v>12.0</v>
      </c>
      <c r="BO34" s="4">
        <v>3.4</v>
      </c>
      <c r="BP34" s="4">
        <f t="shared" si="86"/>
        <v>0.5</v>
      </c>
      <c r="BQ34" s="4">
        <f t="shared" si="11"/>
        <v>2.5</v>
      </c>
      <c r="BR34" s="4">
        <f t="shared" si="12"/>
        <v>0.25</v>
      </c>
      <c r="BS34" s="4">
        <f t="shared" si="133"/>
        <v>50</v>
      </c>
      <c r="BT34" s="4">
        <v>814.0</v>
      </c>
      <c r="BU34" s="4">
        <f t="shared" ref="BU34:BU81" si="140">0.5*1</f>
        <v>0.5</v>
      </c>
      <c r="BV34" s="4">
        <v>230.0</v>
      </c>
      <c r="BW34" s="4">
        <v>10839.0</v>
      </c>
      <c r="BX34" s="4">
        <v>209.0</v>
      </c>
      <c r="BY34" s="4">
        <v>334.0</v>
      </c>
      <c r="BZ34" s="4">
        <v>4981.0</v>
      </c>
      <c r="CA34" s="4">
        <v>360.0</v>
      </c>
      <c r="CB34" s="4">
        <v>15.1</v>
      </c>
      <c r="CC34" s="4">
        <v>416.0</v>
      </c>
      <c r="CD34" s="4">
        <f t="shared" si="88"/>
        <v>2.5</v>
      </c>
      <c r="CE34" s="4">
        <f t="shared" si="136"/>
        <v>0.25</v>
      </c>
      <c r="CF34" s="4">
        <v>647318.0</v>
      </c>
      <c r="CG34" s="4">
        <v>1667.0</v>
      </c>
      <c r="CH34" s="4">
        <v>12.0</v>
      </c>
      <c r="CI34" s="4"/>
      <c r="CJ34" s="4"/>
      <c r="CK34" s="4">
        <f t="shared" ref="CK34:CK41" si="141">0.5*0.001</f>
        <v>0.0005</v>
      </c>
      <c r="CL34" s="4"/>
      <c r="CM34" s="4"/>
      <c r="CN34" s="4">
        <v>1.25</v>
      </c>
      <c r="CO34" s="4">
        <v>518.85</v>
      </c>
      <c r="CP34" s="4">
        <v>42.14</v>
      </c>
      <c r="CQ34" s="4">
        <v>36.25</v>
      </c>
      <c r="CR34" s="4"/>
      <c r="CS34" s="4">
        <v>88.85</v>
      </c>
      <c r="CT34" s="4">
        <v>1.22</v>
      </c>
      <c r="CU34" s="4">
        <v>34.79</v>
      </c>
      <c r="CV34" s="4">
        <v>23.96</v>
      </c>
      <c r="CW34" s="4">
        <v>67428.96</v>
      </c>
      <c r="CX34" s="4">
        <v>1103.85</v>
      </c>
      <c r="CY34" s="4"/>
      <c r="CZ34" s="4">
        <v>21.56</v>
      </c>
      <c r="DA34" s="4"/>
    </row>
    <row r="35">
      <c r="A35" s="4" t="s">
        <v>166</v>
      </c>
      <c r="B35" s="4" t="s">
        <v>167</v>
      </c>
      <c r="C35" s="5" t="s">
        <v>309</v>
      </c>
      <c r="D35" s="5" t="s">
        <v>124</v>
      </c>
      <c r="E35" s="4" t="s">
        <v>306</v>
      </c>
      <c r="F35" s="4" t="s">
        <v>110</v>
      </c>
      <c r="G35" s="4" t="s">
        <v>111</v>
      </c>
      <c r="H35" s="4" t="s">
        <v>149</v>
      </c>
      <c r="I35" s="4" t="s">
        <v>163</v>
      </c>
      <c r="J35" s="4" t="s">
        <v>310</v>
      </c>
      <c r="K35" s="4" t="s">
        <v>311</v>
      </c>
      <c r="L35" s="4">
        <v>-19.4075</v>
      </c>
      <c r="M35" s="4">
        <v>-64.8636</v>
      </c>
      <c r="N35" s="4">
        <v>0.697</v>
      </c>
      <c r="O35" s="4">
        <v>16.0</v>
      </c>
      <c r="P35" s="4">
        <v>653.0</v>
      </c>
      <c r="Q35" s="4">
        <v>130.7</v>
      </c>
      <c r="R35" s="4">
        <v>7.897</v>
      </c>
      <c r="S35" s="4">
        <v>-60.9</v>
      </c>
      <c r="T35" s="4">
        <v>1531.0</v>
      </c>
      <c r="U35" s="4">
        <v>0.8</v>
      </c>
      <c r="V35" s="4">
        <v>20.2</v>
      </c>
      <c r="W35" s="4">
        <v>5.71</v>
      </c>
      <c r="X35" s="4">
        <v>80.3</v>
      </c>
      <c r="Y35" s="4">
        <f t="shared" si="137"/>
        <v>1650</v>
      </c>
      <c r="Z35" s="4">
        <v>2550.0</v>
      </c>
      <c r="AA35" s="4">
        <v>1268.0</v>
      </c>
      <c r="AB35" s="4">
        <v>1233.0</v>
      </c>
      <c r="AC35" s="4"/>
      <c r="AD35" s="4">
        <v>436.0</v>
      </c>
      <c r="AE35" s="4">
        <f t="shared" si="138"/>
        <v>0.05</v>
      </c>
      <c r="AF35" s="4">
        <v>145.0</v>
      </c>
      <c r="AG35" s="4">
        <v>133.0</v>
      </c>
      <c r="AH35" s="4">
        <v>482.0</v>
      </c>
      <c r="AI35" s="4">
        <v>59.07</v>
      </c>
      <c r="AJ35" s="4">
        <v>99.74</v>
      </c>
      <c r="AK35" s="4">
        <v>132.5</v>
      </c>
      <c r="AL35" s="4">
        <v>10.44</v>
      </c>
      <c r="AM35" s="4">
        <v>71.0</v>
      </c>
      <c r="AN35" s="4">
        <v>102.35</v>
      </c>
      <c r="AO35" s="4">
        <v>156.0</v>
      </c>
      <c r="AP35" s="4">
        <v>22.95</v>
      </c>
      <c r="AQ35" s="4"/>
      <c r="AR35" s="4"/>
      <c r="AS35" s="4"/>
      <c r="AT35" s="4"/>
      <c r="AU35" s="4">
        <v>8.3</v>
      </c>
      <c r="AV35" s="4"/>
      <c r="AW35" s="4"/>
      <c r="AX35" s="4">
        <f t="shared" ref="AX35:AX36" si="142">0.5*5</f>
        <v>2.5</v>
      </c>
      <c r="AY35" s="4">
        <v>4.0</v>
      </c>
      <c r="AZ35" s="4"/>
      <c r="BA35" s="4"/>
      <c r="BB35" s="4"/>
      <c r="BC35" s="4"/>
      <c r="BD35" s="4"/>
      <c r="BE35" s="4">
        <f t="shared" si="30"/>
        <v>5</v>
      </c>
      <c r="BF35" s="4">
        <f t="shared" si="121"/>
        <v>5</v>
      </c>
      <c r="BG35" s="4">
        <f t="shared" ref="BG35:BH35" si="139">0.5*50</f>
        <v>25</v>
      </c>
      <c r="BH35" s="4">
        <f t="shared" si="139"/>
        <v>25</v>
      </c>
      <c r="BI35" s="4">
        <f t="shared" si="7"/>
        <v>5</v>
      </c>
      <c r="BJ35" s="4">
        <v>81.0</v>
      </c>
      <c r="BK35" s="4">
        <v>3.0</v>
      </c>
      <c r="BL35" s="4">
        <f t="shared" si="65"/>
        <v>5</v>
      </c>
      <c r="BM35" s="4">
        <f t="shared" si="66"/>
        <v>25</v>
      </c>
      <c r="BN35" s="4">
        <v>5.0</v>
      </c>
      <c r="BO35" s="4">
        <f>0.5*0.5</f>
        <v>0.25</v>
      </c>
      <c r="BP35" s="4">
        <f t="shared" si="86"/>
        <v>0.5</v>
      </c>
      <c r="BQ35" s="4">
        <f t="shared" si="11"/>
        <v>2.5</v>
      </c>
      <c r="BR35" s="4">
        <f t="shared" si="12"/>
        <v>0.25</v>
      </c>
      <c r="BS35" s="4">
        <f t="shared" si="133"/>
        <v>50</v>
      </c>
      <c r="BT35" s="4">
        <v>666.0</v>
      </c>
      <c r="BU35" s="4">
        <f t="shared" si="140"/>
        <v>0.5</v>
      </c>
      <c r="BV35" s="4">
        <v>107.0</v>
      </c>
      <c r="BW35" s="4">
        <v>3640.0</v>
      </c>
      <c r="BX35" s="4">
        <v>93.0</v>
      </c>
      <c r="BY35" s="4">
        <v>114.0</v>
      </c>
      <c r="BZ35" s="4">
        <v>1400.0</v>
      </c>
      <c r="CA35" s="4">
        <v>75.0</v>
      </c>
      <c r="CB35" s="4">
        <v>3.9</v>
      </c>
      <c r="CC35" s="4">
        <v>106.0</v>
      </c>
      <c r="CD35" s="4">
        <f t="shared" si="88"/>
        <v>2.5</v>
      </c>
      <c r="CE35" s="4">
        <f t="shared" si="136"/>
        <v>0.25</v>
      </c>
      <c r="CF35" s="4">
        <v>159777.0</v>
      </c>
      <c r="CG35" s="4">
        <v>1245.0</v>
      </c>
      <c r="CH35" s="4">
        <v>4.0</v>
      </c>
      <c r="CI35" s="4"/>
      <c r="CJ35" s="4"/>
      <c r="CK35" s="4">
        <f t="shared" si="141"/>
        <v>0.0005</v>
      </c>
      <c r="CL35" s="4"/>
      <c r="CM35" s="4"/>
      <c r="CN35" s="4">
        <v>3.24</v>
      </c>
      <c r="CO35" s="4">
        <v>1135.44</v>
      </c>
      <c r="CP35" s="4">
        <v>77.5</v>
      </c>
      <c r="CQ35" s="4">
        <v>56.77</v>
      </c>
      <c r="CR35" s="4"/>
      <c r="CS35" s="4">
        <v>469.59</v>
      </c>
      <c r="CT35" s="4">
        <v>3.16</v>
      </c>
      <c r="CU35" s="4">
        <v>92.46</v>
      </c>
      <c r="CV35" s="4">
        <v>86.78</v>
      </c>
      <c r="CW35" s="4">
        <v>129583.94</v>
      </c>
      <c r="CX35" s="4">
        <v>2886.46</v>
      </c>
      <c r="CY35" s="4"/>
      <c r="CZ35" s="4">
        <v>72.99</v>
      </c>
      <c r="DA35" s="4"/>
    </row>
    <row r="36">
      <c r="A36" s="4" t="s">
        <v>153</v>
      </c>
      <c r="B36" s="4" t="s">
        <v>154</v>
      </c>
      <c r="C36" s="5" t="s">
        <v>312</v>
      </c>
      <c r="D36" s="5" t="s">
        <v>313</v>
      </c>
      <c r="E36" s="4" t="s">
        <v>306</v>
      </c>
      <c r="F36" s="4" t="s">
        <v>110</v>
      </c>
      <c r="G36" s="4" t="s">
        <v>111</v>
      </c>
      <c r="H36" s="4" t="s">
        <v>157</v>
      </c>
      <c r="I36" s="4" t="s">
        <v>150</v>
      </c>
      <c r="J36" s="4" t="s">
        <v>314</v>
      </c>
      <c r="K36" s="4" t="s">
        <v>315</v>
      </c>
      <c r="L36" s="4">
        <v>-19.3214</v>
      </c>
      <c r="M36" s="4">
        <v>-65.5519</v>
      </c>
      <c r="N36" s="4">
        <v>0.221</v>
      </c>
      <c r="O36" s="4">
        <v>0.0</v>
      </c>
      <c r="P36" s="4">
        <v>3470.0</v>
      </c>
      <c r="Q36" s="4">
        <v>136.35</v>
      </c>
      <c r="R36" s="4">
        <v>4.31</v>
      </c>
      <c r="S36" s="4">
        <v>150.6</v>
      </c>
      <c r="T36" s="4">
        <v>326.0</v>
      </c>
      <c r="U36" s="4">
        <v>0.1</v>
      </c>
      <c r="V36" s="4">
        <v>14.8</v>
      </c>
      <c r="W36" s="4">
        <v>6.6</v>
      </c>
      <c r="X36" s="4">
        <v>101.2</v>
      </c>
      <c r="Y36" s="4">
        <v>59.7</v>
      </c>
      <c r="Z36" s="4">
        <v>259.0</v>
      </c>
      <c r="AA36" s="4">
        <v>204.0</v>
      </c>
      <c r="AB36" s="4">
        <v>24.0</v>
      </c>
      <c r="AC36" s="4"/>
      <c r="AD36" s="4">
        <v>150.0</v>
      </c>
      <c r="AE36" s="4">
        <f t="shared" si="138"/>
        <v>0.05</v>
      </c>
      <c r="AF36" s="4">
        <v>15.0</v>
      </c>
      <c r="AG36" s="4">
        <v>5.2</v>
      </c>
      <c r="AH36" s="4">
        <v>109.4</v>
      </c>
      <c r="AI36" s="4">
        <v>25.73</v>
      </c>
      <c r="AJ36" s="4">
        <v>18.2</v>
      </c>
      <c r="AK36" s="4">
        <v>1.03</v>
      </c>
      <c r="AL36" s="4">
        <v>1.39</v>
      </c>
      <c r="AM36" s="4">
        <v>28.43</v>
      </c>
      <c r="AN36" s="4">
        <v>21.43</v>
      </c>
      <c r="AO36" s="4">
        <v>1.8</v>
      </c>
      <c r="AP36" s="4">
        <v>1.78</v>
      </c>
      <c r="AQ36" s="4"/>
      <c r="AR36" s="4"/>
      <c r="AS36" s="4"/>
      <c r="AT36" s="4"/>
      <c r="AU36" s="4">
        <v>3.98</v>
      </c>
      <c r="AV36" s="4"/>
      <c r="AW36" s="4"/>
      <c r="AX36" s="4">
        <f t="shared" si="142"/>
        <v>2.5</v>
      </c>
      <c r="AY36" s="4">
        <f>0.5*2</f>
        <v>1</v>
      </c>
      <c r="AZ36" s="4"/>
      <c r="BA36" s="4"/>
      <c r="BB36" s="4"/>
      <c r="BC36" s="4"/>
      <c r="BD36" s="4"/>
      <c r="BE36" s="4">
        <f t="shared" si="30"/>
        <v>5</v>
      </c>
      <c r="BF36" s="4">
        <f t="shared" si="121"/>
        <v>5</v>
      </c>
      <c r="BG36" s="4">
        <f t="shared" ref="BG36:BH36" si="143">0.5*50</f>
        <v>25</v>
      </c>
      <c r="BH36" s="4">
        <f t="shared" si="143"/>
        <v>25</v>
      </c>
      <c r="BI36" s="4">
        <f t="shared" si="7"/>
        <v>5</v>
      </c>
      <c r="BJ36" s="4">
        <v>3590.0</v>
      </c>
      <c r="BK36" s="4">
        <v>20.0</v>
      </c>
      <c r="BL36" s="4">
        <v>499.0</v>
      </c>
      <c r="BM36" s="4">
        <v>860.0</v>
      </c>
      <c r="BN36" s="4">
        <f>0.5*1</f>
        <v>0.5</v>
      </c>
      <c r="BO36" s="4">
        <v>4.0</v>
      </c>
      <c r="BP36" s="4">
        <f t="shared" si="86"/>
        <v>0.5</v>
      </c>
      <c r="BQ36" s="4">
        <f t="shared" si="11"/>
        <v>2.5</v>
      </c>
      <c r="BR36" s="4">
        <f t="shared" si="12"/>
        <v>0.25</v>
      </c>
      <c r="BS36" s="4">
        <v>1149.0</v>
      </c>
      <c r="BT36" s="4">
        <f>0.5*50</f>
        <v>25</v>
      </c>
      <c r="BU36" s="4">
        <f t="shared" si="140"/>
        <v>0.5</v>
      </c>
      <c r="BV36" s="4">
        <f t="shared" ref="BV36:BV67" si="145">0.5*10</f>
        <v>5</v>
      </c>
      <c r="BW36" s="4">
        <v>3923.0</v>
      </c>
      <c r="BX36" s="4">
        <v>24.0</v>
      </c>
      <c r="BY36" s="4">
        <v>506.0</v>
      </c>
      <c r="BZ36" s="4">
        <v>1088.0</v>
      </c>
      <c r="CA36" s="4">
        <v>4.0</v>
      </c>
      <c r="CB36" s="4">
        <v>16.4</v>
      </c>
      <c r="CC36" s="4">
        <v>2.0</v>
      </c>
      <c r="CD36" s="4">
        <f t="shared" si="88"/>
        <v>2.5</v>
      </c>
      <c r="CE36" s="4">
        <f t="shared" si="136"/>
        <v>0.25</v>
      </c>
      <c r="CF36" s="4">
        <v>10578.0</v>
      </c>
      <c r="CG36" s="4">
        <v>123.0</v>
      </c>
      <c r="CH36" s="4">
        <f>0.5*1</f>
        <v>0.5</v>
      </c>
      <c r="CI36" s="4"/>
      <c r="CJ36" s="4"/>
      <c r="CK36" s="4">
        <f t="shared" si="141"/>
        <v>0.0005</v>
      </c>
      <c r="CL36" s="4"/>
      <c r="CM36" s="4"/>
      <c r="CN36" s="4"/>
      <c r="CO36" s="4">
        <v>9500.0</v>
      </c>
      <c r="CP36" s="4">
        <v>25.42</v>
      </c>
      <c r="CQ36" s="4">
        <v>166.67</v>
      </c>
      <c r="CR36" s="4"/>
      <c r="CS36" s="4">
        <v>5125.0</v>
      </c>
      <c r="CT36" s="4">
        <v>516.67</v>
      </c>
      <c r="CU36" s="4">
        <v>291.67</v>
      </c>
      <c r="CV36" s="4"/>
      <c r="CW36" s="4">
        <v>392875.0</v>
      </c>
      <c r="CX36" s="4">
        <v>13875.0</v>
      </c>
      <c r="CY36" s="4"/>
      <c r="CZ36" s="4">
        <v>166.67</v>
      </c>
      <c r="DA36" s="4"/>
    </row>
    <row r="37">
      <c r="A37" s="4" t="s">
        <v>178</v>
      </c>
      <c r="B37" s="4" t="s">
        <v>179</v>
      </c>
      <c r="C37" s="5" t="s">
        <v>312</v>
      </c>
      <c r="D37" s="5" t="s">
        <v>316</v>
      </c>
      <c r="E37" s="4" t="s">
        <v>306</v>
      </c>
      <c r="F37" s="4" t="s">
        <v>110</v>
      </c>
      <c r="G37" s="4" t="s">
        <v>111</v>
      </c>
      <c r="H37" s="4" t="s">
        <v>178</v>
      </c>
      <c r="I37" s="4" t="s">
        <v>150</v>
      </c>
      <c r="J37" s="4" t="s">
        <v>317</v>
      </c>
      <c r="K37" s="4" t="s">
        <v>318</v>
      </c>
      <c r="L37" s="4">
        <v>-19.4719</v>
      </c>
      <c r="M37" s="4">
        <v>-65.7943</v>
      </c>
      <c r="N37" s="4">
        <v>0.353</v>
      </c>
      <c r="O37" s="4">
        <v>0.0</v>
      </c>
      <c r="P37" s="4">
        <v>772.0</v>
      </c>
      <c r="Q37" s="4">
        <v>126.3</v>
      </c>
      <c r="R37" s="4">
        <v>8.06</v>
      </c>
      <c r="S37" s="4">
        <v>-68.1</v>
      </c>
      <c r="T37" s="4">
        <v>1295.0</v>
      </c>
      <c r="U37" s="4">
        <v>0.6</v>
      </c>
      <c r="V37" s="4">
        <v>12.2</v>
      </c>
      <c r="W37" s="4">
        <v>6.46</v>
      </c>
      <c r="X37" s="4">
        <v>89.8</v>
      </c>
      <c r="Y37" s="4">
        <v>205.3</v>
      </c>
      <c r="Z37" s="4">
        <v>904.0</v>
      </c>
      <c r="AA37" s="4">
        <v>700.0</v>
      </c>
      <c r="AB37" s="4">
        <v>161.0</v>
      </c>
      <c r="AC37" s="4"/>
      <c r="AD37" s="4">
        <v>302.0</v>
      </c>
      <c r="AE37" s="4">
        <f t="shared" si="138"/>
        <v>0.05</v>
      </c>
      <c r="AF37" s="4">
        <v>220.0</v>
      </c>
      <c r="AG37" s="4">
        <v>95.4</v>
      </c>
      <c r="AH37" s="4">
        <v>290.0</v>
      </c>
      <c r="AI37" s="4">
        <v>68.21</v>
      </c>
      <c r="AJ37" s="4">
        <v>46.44</v>
      </c>
      <c r="AK37" s="4">
        <v>99.45</v>
      </c>
      <c r="AL37" s="4">
        <v>21.25</v>
      </c>
      <c r="AM37" s="4">
        <v>79.63</v>
      </c>
      <c r="AN37" s="4">
        <v>47.45</v>
      </c>
      <c r="AO37" s="4">
        <v>120.75</v>
      </c>
      <c r="AP37" s="4">
        <v>39.83</v>
      </c>
      <c r="AQ37" s="4"/>
      <c r="AR37" s="4"/>
      <c r="AS37" s="4"/>
      <c r="AT37" s="4"/>
      <c r="AU37" s="4">
        <v>7.17</v>
      </c>
      <c r="AV37" s="4"/>
      <c r="AW37" s="4"/>
      <c r="AX37" s="4">
        <v>54.0</v>
      </c>
      <c r="AY37" s="4">
        <v>75.0</v>
      </c>
      <c r="AZ37" s="4"/>
      <c r="BA37" s="4"/>
      <c r="BB37" s="4"/>
      <c r="BC37" s="4"/>
      <c r="BD37" s="4"/>
      <c r="BE37" s="4">
        <f t="shared" si="30"/>
        <v>5</v>
      </c>
      <c r="BF37" s="4">
        <f t="shared" si="121"/>
        <v>5</v>
      </c>
      <c r="BG37" s="4">
        <f t="shared" ref="BG37:BH37" si="144">0.5*50</f>
        <v>25</v>
      </c>
      <c r="BH37" s="4">
        <f t="shared" si="144"/>
        <v>25</v>
      </c>
      <c r="BI37" s="4">
        <f t="shared" si="7"/>
        <v>5</v>
      </c>
      <c r="BJ37" s="4">
        <v>777.0</v>
      </c>
      <c r="BK37" s="4">
        <v>8.0</v>
      </c>
      <c r="BL37" s="4">
        <f t="shared" ref="BL37:BL49" si="147">0.5*10</f>
        <v>5</v>
      </c>
      <c r="BM37" s="4">
        <v>1166.0</v>
      </c>
      <c r="BN37" s="4">
        <v>28.0</v>
      </c>
      <c r="BO37" s="4">
        <v>0.6</v>
      </c>
      <c r="BP37" s="4">
        <f t="shared" si="86"/>
        <v>0.5</v>
      </c>
      <c r="BQ37" s="4">
        <f t="shared" si="11"/>
        <v>2.5</v>
      </c>
      <c r="BR37" s="4">
        <f t="shared" si="12"/>
        <v>0.25</v>
      </c>
      <c r="BS37" s="4">
        <v>803.0</v>
      </c>
      <c r="BT37" s="4">
        <v>397.0</v>
      </c>
      <c r="BU37" s="4">
        <f t="shared" si="140"/>
        <v>0.5</v>
      </c>
      <c r="BV37" s="4">
        <f t="shared" si="145"/>
        <v>5</v>
      </c>
      <c r="BW37" s="4">
        <v>1131.0</v>
      </c>
      <c r="BX37" s="4">
        <v>10.0</v>
      </c>
      <c r="BY37" s="4">
        <v>108.0</v>
      </c>
      <c r="BZ37" s="4">
        <v>3950.0</v>
      </c>
      <c r="CA37" s="4">
        <v>182.0</v>
      </c>
      <c r="CB37" s="4">
        <v>10.7</v>
      </c>
      <c r="CC37" s="4">
        <v>44.0</v>
      </c>
      <c r="CD37" s="4">
        <f t="shared" si="88"/>
        <v>2.5</v>
      </c>
      <c r="CE37" s="4">
        <f t="shared" si="136"/>
        <v>0.25</v>
      </c>
      <c r="CF37" s="4">
        <v>10458.0</v>
      </c>
      <c r="CG37" s="4">
        <v>462.0</v>
      </c>
      <c r="CH37" s="4">
        <v>2.0</v>
      </c>
      <c r="CI37" s="4"/>
      <c r="CJ37" s="4"/>
      <c r="CK37" s="4">
        <f t="shared" si="141"/>
        <v>0.0005</v>
      </c>
      <c r="CL37" s="4"/>
      <c r="CM37" s="4"/>
      <c r="CN37" s="4">
        <v>12.42</v>
      </c>
      <c r="CO37" s="4">
        <v>17291.93</v>
      </c>
      <c r="CP37" s="4">
        <v>141.3</v>
      </c>
      <c r="CQ37" s="4">
        <v>956.52</v>
      </c>
      <c r="CR37" s="4"/>
      <c r="CS37" s="4">
        <v>403.73</v>
      </c>
      <c r="CT37" s="4">
        <v>62.73</v>
      </c>
      <c r="CU37" s="4">
        <v>670.81</v>
      </c>
      <c r="CV37" s="4"/>
      <c r="CW37" s="4">
        <v>59968.94</v>
      </c>
      <c r="CX37" s="4">
        <v>2198.76</v>
      </c>
      <c r="CY37" s="4"/>
      <c r="CZ37" s="4">
        <v>12.42</v>
      </c>
      <c r="DA37" s="4"/>
    </row>
    <row r="38">
      <c r="A38" s="4" t="s">
        <v>195</v>
      </c>
      <c r="B38" s="4" t="s">
        <v>196</v>
      </c>
      <c r="C38" s="5" t="s">
        <v>319</v>
      </c>
      <c r="D38" s="5" t="s">
        <v>320</v>
      </c>
      <c r="E38" s="4" t="s">
        <v>306</v>
      </c>
      <c r="F38" s="4" t="s">
        <v>110</v>
      </c>
      <c r="G38" s="4" t="s">
        <v>111</v>
      </c>
      <c r="H38" s="4" t="s">
        <v>199</v>
      </c>
      <c r="J38" s="4" t="s">
        <v>321</v>
      </c>
      <c r="K38" s="4" t="s">
        <v>322</v>
      </c>
      <c r="L38" s="4">
        <v>-19.1443</v>
      </c>
      <c r="M38" s="4">
        <v>-65.566</v>
      </c>
      <c r="N38" s="4">
        <v>0.525</v>
      </c>
      <c r="O38" s="4">
        <v>0.0</v>
      </c>
      <c r="P38" s="4">
        <v>1636.0</v>
      </c>
      <c r="Q38" s="4">
        <v>149.7</v>
      </c>
      <c r="R38" s="4">
        <v>8.54</v>
      </c>
      <c r="S38" s="4">
        <v>-98.5</v>
      </c>
      <c r="T38" s="4">
        <v>611.0</v>
      </c>
      <c r="U38" s="4">
        <v>0.2</v>
      </c>
      <c r="V38" s="4">
        <v>24.8</v>
      </c>
      <c r="W38" s="4">
        <v>6.04</v>
      </c>
      <c r="X38" s="4">
        <v>102.5</v>
      </c>
      <c r="Y38" s="4">
        <v>54.5</v>
      </c>
      <c r="Z38" s="4">
        <v>446.0</v>
      </c>
      <c r="AA38" s="4">
        <v>389.0</v>
      </c>
      <c r="AB38" s="4">
        <v>18.0</v>
      </c>
      <c r="AC38" s="4"/>
      <c r="AD38" s="4">
        <v>310.0</v>
      </c>
      <c r="AE38" s="4">
        <v>40.0</v>
      </c>
      <c r="AF38" s="4">
        <v>150.0</v>
      </c>
      <c r="AG38" s="4">
        <v>10.8</v>
      </c>
      <c r="AH38" s="4">
        <v>161.1</v>
      </c>
      <c r="AI38" s="4">
        <v>35.72</v>
      </c>
      <c r="AJ38" s="4">
        <v>52.36</v>
      </c>
      <c r="AK38" s="4">
        <v>16.47</v>
      </c>
      <c r="AL38" s="4">
        <v>5.92</v>
      </c>
      <c r="AM38" s="4">
        <v>40.62</v>
      </c>
      <c r="AN38" s="4">
        <v>52.97</v>
      </c>
      <c r="AO38" s="4">
        <v>55.64</v>
      </c>
      <c r="AP38" s="4">
        <v>12.73</v>
      </c>
      <c r="AQ38" s="4"/>
      <c r="AR38" s="4"/>
      <c r="AS38" s="4"/>
      <c r="AT38" s="4"/>
      <c r="AU38" s="4">
        <v>5.08</v>
      </c>
      <c r="AV38" s="4"/>
      <c r="AW38" s="4"/>
      <c r="AX38" s="4">
        <f t="shared" ref="AX38:AX41" si="148">0.5*5</f>
        <v>2.5</v>
      </c>
      <c r="AY38" s="4">
        <f>0.5*2</f>
        <v>1</v>
      </c>
      <c r="AZ38" s="4"/>
      <c r="BA38" s="4"/>
      <c r="BB38" s="4"/>
      <c r="BC38" s="4"/>
      <c r="BD38" s="4"/>
      <c r="BE38" s="4">
        <f t="shared" si="30"/>
        <v>5</v>
      </c>
      <c r="BF38" s="4">
        <f t="shared" si="121"/>
        <v>5</v>
      </c>
      <c r="BG38" s="4">
        <f t="shared" ref="BG38:BH38" si="146">0.5*50</f>
        <v>25</v>
      </c>
      <c r="BH38" s="4">
        <f t="shared" si="146"/>
        <v>25</v>
      </c>
      <c r="BI38" s="4">
        <f t="shared" si="7"/>
        <v>5</v>
      </c>
      <c r="BJ38" s="4">
        <v>150.0</v>
      </c>
      <c r="BK38" s="4">
        <v>1.0</v>
      </c>
      <c r="BL38" s="4">
        <f t="shared" si="147"/>
        <v>5</v>
      </c>
      <c r="BM38" s="4">
        <f t="shared" ref="BM38:BM49" si="150">0.5*50</f>
        <v>25</v>
      </c>
      <c r="BN38" s="4">
        <f>0.5*1</f>
        <v>0.5</v>
      </c>
      <c r="BO38" s="4">
        <f t="shared" ref="BO38:BO49" si="151">0.5*0.5</f>
        <v>0.25</v>
      </c>
      <c r="BP38" s="4">
        <f t="shared" si="86"/>
        <v>0.5</v>
      </c>
      <c r="BQ38" s="4">
        <f t="shared" si="11"/>
        <v>2.5</v>
      </c>
      <c r="BR38" s="4">
        <f t="shared" si="12"/>
        <v>0.25</v>
      </c>
      <c r="BS38" s="4">
        <f t="shared" ref="BS38:BS49" si="152">0.5*100</f>
        <v>50</v>
      </c>
      <c r="BT38" s="4">
        <v>213.0</v>
      </c>
      <c r="BU38" s="4">
        <f t="shared" si="140"/>
        <v>0.5</v>
      </c>
      <c r="BV38" s="4">
        <f t="shared" si="145"/>
        <v>5</v>
      </c>
      <c r="BW38" s="4">
        <v>350.0</v>
      </c>
      <c r="BX38" s="4">
        <v>3.0</v>
      </c>
      <c r="BY38" s="4">
        <v>24.0</v>
      </c>
      <c r="BZ38" s="4">
        <v>132.0</v>
      </c>
      <c r="CA38" s="4">
        <v>4.0</v>
      </c>
      <c r="CB38" s="4">
        <v>1.3</v>
      </c>
      <c r="CC38" s="4">
        <v>2.0</v>
      </c>
      <c r="CD38" s="4">
        <f t="shared" si="88"/>
        <v>2.5</v>
      </c>
      <c r="CE38" s="4">
        <f t="shared" si="136"/>
        <v>0.25</v>
      </c>
      <c r="CF38" s="4">
        <v>2804.0</v>
      </c>
      <c r="CG38" s="4">
        <v>380.0</v>
      </c>
      <c r="CH38" s="4">
        <f t="shared" ref="CH38:CH41" si="153">0.5*1</f>
        <v>0.5</v>
      </c>
      <c r="CI38" s="4"/>
      <c r="CJ38" s="4"/>
      <c r="CK38" s="4">
        <f t="shared" si="141"/>
        <v>0.0005</v>
      </c>
      <c r="CL38" s="4"/>
      <c r="CM38" s="4"/>
      <c r="CN38" s="4"/>
      <c r="CO38" s="4">
        <v>7333.33</v>
      </c>
      <c r="CP38" s="4"/>
      <c r="CQ38" s="4">
        <v>222.22</v>
      </c>
      <c r="CR38" s="4"/>
      <c r="CS38" s="4">
        <v>9277.78</v>
      </c>
      <c r="CT38" s="4">
        <v>72.22</v>
      </c>
      <c r="CU38" s="4">
        <v>1333.33</v>
      </c>
      <c r="CV38" s="4"/>
      <c r="CW38" s="4">
        <v>155777.78</v>
      </c>
      <c r="CX38" s="4">
        <v>11111.11</v>
      </c>
      <c r="CY38" s="4"/>
      <c r="CZ38" s="4">
        <v>111.11</v>
      </c>
      <c r="DA38" s="4"/>
    </row>
    <row r="39">
      <c r="A39" s="4" t="s">
        <v>202</v>
      </c>
      <c r="B39" s="4" t="s">
        <v>203</v>
      </c>
      <c r="C39" s="5" t="s">
        <v>319</v>
      </c>
      <c r="D39" s="5" t="s">
        <v>175</v>
      </c>
      <c r="E39" s="4" t="s">
        <v>306</v>
      </c>
      <c r="F39" s="4" t="s">
        <v>110</v>
      </c>
      <c r="G39" s="4" t="s">
        <v>111</v>
      </c>
      <c r="H39" s="4" t="s">
        <v>149</v>
      </c>
      <c r="J39" s="4" t="s">
        <v>323</v>
      </c>
      <c r="K39" s="4" t="s">
        <v>324</v>
      </c>
      <c r="L39" s="4">
        <v>-19.1321</v>
      </c>
      <c r="M39" s="4">
        <v>-65.5715</v>
      </c>
      <c r="N39" s="4">
        <v>0.647</v>
      </c>
      <c r="O39" s="4">
        <v>2.0</v>
      </c>
      <c r="P39" s="4">
        <v>845.0</v>
      </c>
      <c r="Q39" s="4">
        <v>176.2</v>
      </c>
      <c r="R39" s="4">
        <v>8.59</v>
      </c>
      <c r="S39" s="4">
        <v>-99.65</v>
      </c>
      <c r="T39" s="4">
        <v>1184.0</v>
      </c>
      <c r="U39" s="4">
        <v>0.5</v>
      </c>
      <c r="V39" s="4">
        <v>19.4</v>
      </c>
      <c r="W39" s="4">
        <v>7.85</v>
      </c>
      <c r="X39" s="4">
        <v>118.6</v>
      </c>
      <c r="Y39" s="4">
        <v>47.5</v>
      </c>
      <c r="Z39" s="4">
        <v>730.0</v>
      </c>
      <c r="AA39" s="4">
        <v>675.0</v>
      </c>
      <c r="AB39" s="4">
        <v>15.0</v>
      </c>
      <c r="AC39" s="4"/>
      <c r="AD39" s="4">
        <v>204.0</v>
      </c>
      <c r="AE39" s="4">
        <f>0.5*0.1</f>
        <v>0.05</v>
      </c>
      <c r="AF39" s="4">
        <v>155.0</v>
      </c>
      <c r="AG39" s="4">
        <v>176.2</v>
      </c>
      <c r="AH39" s="4">
        <v>140.1</v>
      </c>
      <c r="AI39" s="4">
        <v>43.79</v>
      </c>
      <c r="AJ39" s="4">
        <v>22.13</v>
      </c>
      <c r="AK39" s="4">
        <v>152.58</v>
      </c>
      <c r="AL39" s="4">
        <v>16.02</v>
      </c>
      <c r="AM39" s="4">
        <v>46.32</v>
      </c>
      <c r="AN39" s="4">
        <v>25.44</v>
      </c>
      <c r="AO39" s="4">
        <v>159.99</v>
      </c>
      <c r="AP39" s="4">
        <v>30.12</v>
      </c>
      <c r="AQ39" s="4"/>
      <c r="AR39" s="4"/>
      <c r="AS39" s="4"/>
      <c r="AT39" s="4"/>
      <c r="AU39" s="4">
        <v>16.98</v>
      </c>
      <c r="AV39" s="4"/>
      <c r="AW39" s="4"/>
      <c r="AX39" s="4">
        <f t="shared" si="148"/>
        <v>2.5</v>
      </c>
      <c r="AY39" s="4">
        <v>3.0</v>
      </c>
      <c r="AZ39" s="4"/>
      <c r="BA39" s="4"/>
      <c r="BB39" s="4"/>
      <c r="BC39" s="4"/>
      <c r="BD39" s="4"/>
      <c r="BE39" s="4">
        <f t="shared" si="30"/>
        <v>5</v>
      </c>
      <c r="BF39" s="4">
        <f t="shared" si="121"/>
        <v>5</v>
      </c>
      <c r="BG39" s="4">
        <f t="shared" ref="BG39:BH39" si="149">0.5*50</f>
        <v>25</v>
      </c>
      <c r="BH39" s="4">
        <f t="shared" si="149"/>
        <v>25</v>
      </c>
      <c r="BI39" s="4">
        <f t="shared" si="7"/>
        <v>5</v>
      </c>
      <c r="BJ39" s="4">
        <v>60.0</v>
      </c>
      <c r="BK39" s="4">
        <v>1.0</v>
      </c>
      <c r="BL39" s="4">
        <f t="shared" si="147"/>
        <v>5</v>
      </c>
      <c r="BM39" s="4">
        <f t="shared" si="150"/>
        <v>25</v>
      </c>
      <c r="BN39" s="4">
        <v>32.0</v>
      </c>
      <c r="BO39" s="4">
        <f t="shared" si="151"/>
        <v>0.25</v>
      </c>
      <c r="BP39" s="4">
        <f t="shared" si="86"/>
        <v>0.5</v>
      </c>
      <c r="BQ39" s="4">
        <f t="shared" si="11"/>
        <v>2.5</v>
      </c>
      <c r="BR39" s="4">
        <f t="shared" si="12"/>
        <v>0.25</v>
      </c>
      <c r="BS39" s="4">
        <f t="shared" si="152"/>
        <v>50</v>
      </c>
      <c r="BT39" s="4">
        <v>1754.0</v>
      </c>
      <c r="BU39" s="4">
        <f t="shared" si="140"/>
        <v>0.5</v>
      </c>
      <c r="BV39" s="4">
        <f t="shared" si="145"/>
        <v>5</v>
      </c>
      <c r="BW39" s="4">
        <v>228.0</v>
      </c>
      <c r="BX39" s="4">
        <v>3.0</v>
      </c>
      <c r="BY39" s="4">
        <v>11.0</v>
      </c>
      <c r="BZ39" s="4">
        <v>213.0</v>
      </c>
      <c r="CA39" s="4">
        <v>42.0</v>
      </c>
      <c r="CB39" s="4">
        <v>0.8</v>
      </c>
      <c r="CC39" s="4">
        <v>4.0</v>
      </c>
      <c r="CD39" s="4">
        <f t="shared" si="88"/>
        <v>2.5</v>
      </c>
      <c r="CE39" s="4">
        <f t="shared" si="136"/>
        <v>0.25</v>
      </c>
      <c r="CF39" s="4">
        <v>1895.0</v>
      </c>
      <c r="CG39" s="4">
        <v>1820.0</v>
      </c>
      <c r="CH39" s="4">
        <f t="shared" si="153"/>
        <v>0.5</v>
      </c>
      <c r="CI39" s="4"/>
      <c r="CJ39" s="4"/>
      <c r="CK39" s="4">
        <f t="shared" si="141"/>
        <v>0.0005</v>
      </c>
      <c r="CL39" s="4"/>
      <c r="CM39" s="4"/>
      <c r="CN39" s="4"/>
      <c r="CO39" s="4">
        <v>14200.0</v>
      </c>
      <c r="CP39" s="4"/>
      <c r="CQ39" s="4">
        <v>666.67</v>
      </c>
      <c r="CR39" s="4"/>
      <c r="CS39" s="4">
        <v>4400.0</v>
      </c>
      <c r="CT39" s="4">
        <v>53.33</v>
      </c>
      <c r="CU39" s="4">
        <v>733.33</v>
      </c>
      <c r="CV39" s="4"/>
      <c r="CW39" s="4">
        <v>126333.33</v>
      </c>
      <c r="CX39" s="4">
        <v>11200.0</v>
      </c>
      <c r="CY39" s="4"/>
      <c r="CZ39" s="4">
        <v>133.33</v>
      </c>
      <c r="DA39" s="4"/>
    </row>
    <row r="40">
      <c r="A40" s="4" t="s">
        <v>207</v>
      </c>
      <c r="B40" s="4" t="s">
        <v>208</v>
      </c>
      <c r="C40" s="5" t="s">
        <v>325</v>
      </c>
      <c r="D40" s="5" t="s">
        <v>326</v>
      </c>
      <c r="E40" s="4" t="s">
        <v>306</v>
      </c>
      <c r="F40" s="4" t="s">
        <v>110</v>
      </c>
      <c r="G40" s="4" t="s">
        <v>111</v>
      </c>
      <c r="H40" s="4" t="s">
        <v>141</v>
      </c>
      <c r="I40" s="4" t="s">
        <v>138</v>
      </c>
      <c r="J40" s="4" t="s">
        <v>327</v>
      </c>
      <c r="K40" s="4" t="s">
        <v>328</v>
      </c>
      <c r="L40" s="4">
        <v>-20.7423</v>
      </c>
      <c r="M40" s="4">
        <v>-65.2401</v>
      </c>
      <c r="N40" s="4">
        <v>0.326</v>
      </c>
      <c r="O40" s="4">
        <v>3.0</v>
      </c>
      <c r="P40" s="4">
        <v>674.0</v>
      </c>
      <c r="Q40" s="4">
        <v>186.4</v>
      </c>
      <c r="R40" s="4">
        <v>8.616</v>
      </c>
      <c r="S40" s="4">
        <v>-103.1</v>
      </c>
      <c r="T40" s="4">
        <v>1484.0</v>
      </c>
      <c r="U40" s="4">
        <v>0.7</v>
      </c>
      <c r="V40" s="4">
        <v>24.6</v>
      </c>
      <c r="W40" s="4">
        <v>7.55</v>
      </c>
      <c r="X40" s="4">
        <v>121.25</v>
      </c>
      <c r="Y40" s="4">
        <v>8.85</v>
      </c>
      <c r="Z40" s="4">
        <v>1487.0</v>
      </c>
      <c r="AA40" s="4">
        <v>1288.0</v>
      </c>
      <c r="AB40" s="4">
        <v>25.0</v>
      </c>
      <c r="AC40" s="4"/>
      <c r="AD40" s="4">
        <v>540.0</v>
      </c>
      <c r="AE40" s="4">
        <v>40.0</v>
      </c>
      <c r="AF40" s="4">
        <v>145.0</v>
      </c>
      <c r="AG40" s="4">
        <v>48.8</v>
      </c>
      <c r="AH40" s="4">
        <v>627.7</v>
      </c>
      <c r="AI40" s="4">
        <v>71.26</v>
      </c>
      <c r="AJ40" s="4">
        <v>100.7</v>
      </c>
      <c r="AK40" s="4">
        <v>82.75</v>
      </c>
      <c r="AL40" s="4">
        <v>9.47</v>
      </c>
      <c r="AM40" s="4">
        <v>72.78</v>
      </c>
      <c r="AN40" s="4">
        <v>103.2</v>
      </c>
      <c r="AO40" s="4">
        <v>90.29</v>
      </c>
      <c r="AP40" s="4">
        <v>19.78</v>
      </c>
      <c r="AQ40" s="4"/>
      <c r="AR40" s="4"/>
      <c r="AS40" s="4"/>
      <c r="AT40" s="4"/>
      <c r="AU40" s="4">
        <v>5.2</v>
      </c>
      <c r="AV40" s="4"/>
      <c r="AW40" s="4"/>
      <c r="AX40" s="4">
        <f t="shared" si="148"/>
        <v>2.5</v>
      </c>
      <c r="AY40" s="4">
        <f t="shared" ref="AY40:AY41" si="155">0.5*2</f>
        <v>1</v>
      </c>
      <c r="AZ40" s="4"/>
      <c r="BA40" s="4"/>
      <c r="BB40" s="4"/>
      <c r="BC40" s="4"/>
      <c r="BD40" s="4"/>
      <c r="BE40" s="4">
        <f t="shared" si="30"/>
        <v>5</v>
      </c>
      <c r="BF40" s="4">
        <f t="shared" si="121"/>
        <v>5</v>
      </c>
      <c r="BG40" s="4">
        <f t="shared" ref="BG40:BH40" si="154">0.5*50</f>
        <v>25</v>
      </c>
      <c r="BH40" s="4">
        <f t="shared" si="154"/>
        <v>25</v>
      </c>
      <c r="BI40" s="4">
        <f t="shared" si="7"/>
        <v>5</v>
      </c>
      <c r="BJ40" s="4">
        <v>67.0</v>
      </c>
      <c r="BK40" s="4">
        <v>2.0</v>
      </c>
      <c r="BL40" s="4">
        <f t="shared" si="147"/>
        <v>5</v>
      </c>
      <c r="BM40" s="4">
        <f t="shared" si="150"/>
        <v>25</v>
      </c>
      <c r="BN40" s="4">
        <v>6.0</v>
      </c>
      <c r="BO40" s="4">
        <f t="shared" si="151"/>
        <v>0.25</v>
      </c>
      <c r="BP40" s="4">
        <f t="shared" si="86"/>
        <v>0.5</v>
      </c>
      <c r="BQ40" s="4">
        <f t="shared" si="11"/>
        <v>2.5</v>
      </c>
      <c r="BR40" s="4">
        <f t="shared" si="12"/>
        <v>0.25</v>
      </c>
      <c r="BS40" s="4">
        <f t="shared" si="152"/>
        <v>50</v>
      </c>
      <c r="BT40" s="4">
        <v>1085.0</v>
      </c>
      <c r="BU40" s="4">
        <f t="shared" si="140"/>
        <v>0.5</v>
      </c>
      <c r="BV40" s="4">
        <f t="shared" si="145"/>
        <v>5</v>
      </c>
      <c r="BW40" s="4">
        <v>144.0</v>
      </c>
      <c r="BX40" s="4">
        <v>2.0</v>
      </c>
      <c r="BY40" s="4">
        <f t="shared" ref="BY40:BY43" si="157">0.5*10</f>
        <v>5</v>
      </c>
      <c r="BZ40" s="4">
        <f t="shared" ref="BZ40:BZ43" si="158">0.5*50</f>
        <v>25</v>
      </c>
      <c r="CA40" s="4">
        <v>9.0</v>
      </c>
      <c r="CB40" s="4">
        <f t="shared" ref="CB40:CB41" si="159">0.5*0.5</f>
        <v>0.25</v>
      </c>
      <c r="CC40" s="4">
        <f t="shared" ref="CC40:CC42" si="160">0.5*1</f>
        <v>0.5</v>
      </c>
      <c r="CD40" s="4">
        <f t="shared" si="88"/>
        <v>2.5</v>
      </c>
      <c r="CE40" s="4">
        <f t="shared" si="136"/>
        <v>0.25</v>
      </c>
      <c r="CF40" s="4">
        <v>342.0</v>
      </c>
      <c r="CG40" s="4">
        <v>2123.0</v>
      </c>
      <c r="CH40" s="4">
        <f t="shared" si="153"/>
        <v>0.5</v>
      </c>
      <c r="CI40" s="4"/>
      <c r="CJ40" s="4"/>
      <c r="CK40" s="4">
        <f t="shared" si="141"/>
        <v>0.0005</v>
      </c>
      <c r="CL40" s="4"/>
      <c r="CM40" s="4"/>
      <c r="CN40" s="4"/>
      <c r="CO40" s="4"/>
      <c r="CP40" s="4"/>
      <c r="CQ40" s="4">
        <v>120.0</v>
      </c>
      <c r="CR40" s="4"/>
      <c r="CS40" s="4">
        <v>41520.0</v>
      </c>
      <c r="CT40" s="4"/>
      <c r="CU40" s="4"/>
      <c r="CV40" s="4"/>
      <c r="CW40" s="4">
        <v>13680.0</v>
      </c>
      <c r="CX40" s="4">
        <v>3080.0</v>
      </c>
      <c r="CY40" s="4"/>
      <c r="CZ40" s="4">
        <v>0.0</v>
      </c>
      <c r="DA40" s="4"/>
    </row>
    <row r="41">
      <c r="A41" s="4" t="s">
        <v>213</v>
      </c>
      <c r="B41" s="4" t="s">
        <v>214</v>
      </c>
      <c r="C41" s="5" t="s">
        <v>325</v>
      </c>
      <c r="D41" s="5" t="s">
        <v>329</v>
      </c>
      <c r="E41" s="4" t="s">
        <v>306</v>
      </c>
      <c r="F41" s="4" t="s">
        <v>110</v>
      </c>
      <c r="G41" s="4" t="s">
        <v>111</v>
      </c>
      <c r="H41" s="4" t="s">
        <v>125</v>
      </c>
      <c r="I41" s="4" t="s">
        <v>112</v>
      </c>
      <c r="J41" s="4" t="s">
        <v>330</v>
      </c>
      <c r="K41" s="4" t="s">
        <v>331</v>
      </c>
      <c r="L41" s="4">
        <v>-21.2391</v>
      </c>
      <c r="M41" s="4">
        <v>-65.209</v>
      </c>
      <c r="N41" s="4">
        <v>0.042</v>
      </c>
      <c r="O41" s="4">
        <v>0.0</v>
      </c>
      <c r="P41" s="4">
        <v>402.0</v>
      </c>
      <c r="Q41" s="4">
        <v>263.5</v>
      </c>
      <c r="R41" s="4">
        <v>7.98</v>
      </c>
      <c r="S41" s="4">
        <v>-67.2</v>
      </c>
      <c r="T41" s="4">
        <v>2490.0</v>
      </c>
      <c r="U41" s="4">
        <v>1.3</v>
      </c>
      <c r="V41" s="4">
        <v>28.0</v>
      </c>
      <c r="W41" s="4">
        <v>10.11</v>
      </c>
      <c r="X41" s="4">
        <v>172.3</v>
      </c>
      <c r="Y41" s="4">
        <v>2.45</v>
      </c>
      <c r="Z41" s="4"/>
      <c r="AA41" s="4">
        <v>2368.0</v>
      </c>
      <c r="AB41" s="4">
        <v>17.0</v>
      </c>
      <c r="AC41" s="4"/>
      <c r="AD41" s="4">
        <v>510.0</v>
      </c>
      <c r="AE41" s="4">
        <f>0.5*0.1</f>
        <v>0.05</v>
      </c>
      <c r="AF41" s="4">
        <v>255.0</v>
      </c>
      <c r="AG41" s="4">
        <v>132.1</v>
      </c>
      <c r="AH41" s="4">
        <v>999.4</v>
      </c>
      <c r="AI41" s="4">
        <v>180.7</v>
      </c>
      <c r="AJ41" s="4">
        <v>102.8</v>
      </c>
      <c r="AK41" s="4">
        <v>178.4</v>
      </c>
      <c r="AL41" s="4">
        <v>12.86</v>
      </c>
      <c r="AM41" s="4">
        <v>196.7</v>
      </c>
      <c r="AN41" s="4">
        <v>117.2</v>
      </c>
      <c r="AO41" s="4">
        <v>182.7</v>
      </c>
      <c r="AP41" s="4">
        <v>16.02</v>
      </c>
      <c r="AQ41" s="4"/>
      <c r="AR41" s="4"/>
      <c r="AS41" s="4"/>
      <c r="AT41" s="4"/>
      <c r="AU41" s="4">
        <v>5.7</v>
      </c>
      <c r="AV41" s="4"/>
      <c r="AW41" s="4"/>
      <c r="AX41" s="4">
        <f t="shared" si="148"/>
        <v>2.5</v>
      </c>
      <c r="AY41" s="4">
        <f t="shared" si="155"/>
        <v>1</v>
      </c>
      <c r="AZ41" s="4"/>
      <c r="BA41" s="4"/>
      <c r="BB41" s="4"/>
      <c r="BC41" s="4"/>
      <c r="BD41" s="4"/>
      <c r="BE41" s="4">
        <f t="shared" si="30"/>
        <v>5</v>
      </c>
      <c r="BF41" s="4">
        <f t="shared" si="121"/>
        <v>5</v>
      </c>
      <c r="BG41" s="4">
        <f t="shared" ref="BG41:BH41" si="156">0.5*50</f>
        <v>25</v>
      </c>
      <c r="BH41" s="4">
        <f t="shared" si="156"/>
        <v>25</v>
      </c>
      <c r="BI41" s="4">
        <f t="shared" si="7"/>
        <v>5</v>
      </c>
      <c r="BJ41" s="4">
        <v>570.0</v>
      </c>
      <c r="BK41" s="4">
        <v>3.0</v>
      </c>
      <c r="BL41" s="4">
        <f t="shared" si="147"/>
        <v>5</v>
      </c>
      <c r="BM41" s="4">
        <f t="shared" si="150"/>
        <v>25</v>
      </c>
      <c r="BN41" s="4">
        <v>3.0</v>
      </c>
      <c r="BO41" s="4">
        <f t="shared" si="151"/>
        <v>0.25</v>
      </c>
      <c r="BP41" s="4">
        <f t="shared" si="86"/>
        <v>0.5</v>
      </c>
      <c r="BQ41" s="4">
        <f t="shared" si="11"/>
        <v>2.5</v>
      </c>
      <c r="BR41" s="4">
        <f t="shared" si="12"/>
        <v>0.25</v>
      </c>
      <c r="BS41" s="4">
        <f t="shared" si="152"/>
        <v>50</v>
      </c>
      <c r="BT41" s="4">
        <v>4331.0</v>
      </c>
      <c r="BU41" s="4">
        <f t="shared" si="140"/>
        <v>0.5</v>
      </c>
      <c r="BV41" s="4">
        <f t="shared" si="145"/>
        <v>5</v>
      </c>
      <c r="BW41" s="4">
        <v>575.0</v>
      </c>
      <c r="BX41" s="4">
        <v>4.0</v>
      </c>
      <c r="BY41" s="4">
        <f t="shared" si="157"/>
        <v>5</v>
      </c>
      <c r="BZ41" s="4">
        <f t="shared" si="158"/>
        <v>25</v>
      </c>
      <c r="CA41" s="4">
        <v>3.0</v>
      </c>
      <c r="CB41" s="4">
        <f t="shared" si="159"/>
        <v>0.25</v>
      </c>
      <c r="CC41" s="4">
        <f t="shared" si="160"/>
        <v>0.5</v>
      </c>
      <c r="CD41" s="4">
        <f t="shared" si="88"/>
        <v>2.5</v>
      </c>
      <c r="CE41" s="4">
        <f t="shared" si="136"/>
        <v>0.25</v>
      </c>
      <c r="CF41" s="4">
        <f>0.5*100</f>
        <v>50</v>
      </c>
      <c r="CG41" s="4">
        <v>4724.0</v>
      </c>
      <c r="CH41" s="4">
        <f t="shared" si="153"/>
        <v>0.5</v>
      </c>
      <c r="CI41" s="4"/>
      <c r="CJ41" s="4"/>
      <c r="CK41" s="4">
        <f t="shared" si="141"/>
        <v>0.0005</v>
      </c>
      <c r="CL41" s="4"/>
      <c r="CM41" s="4"/>
      <c r="CN41" s="4"/>
      <c r="CO41" s="4"/>
      <c r="CP41" s="4"/>
      <c r="CQ41" s="4">
        <v>0.0</v>
      </c>
      <c r="CR41" s="4"/>
      <c r="CS41" s="4">
        <v>23117.65</v>
      </c>
      <c r="CT41" s="4"/>
      <c r="CU41" s="4"/>
      <c r="CV41" s="4"/>
      <c r="CW41" s="4"/>
      <c r="CX41" s="4">
        <v>294.12</v>
      </c>
      <c r="CY41" s="4"/>
      <c r="CZ41" s="4">
        <v>58.82</v>
      </c>
      <c r="DA41" s="4"/>
    </row>
    <row r="42">
      <c r="A42" s="4" t="s">
        <v>232</v>
      </c>
      <c r="B42" s="4" t="s">
        <v>233</v>
      </c>
      <c r="C42" s="5" t="s">
        <v>332</v>
      </c>
      <c r="D42" s="5" t="s">
        <v>235</v>
      </c>
      <c r="E42" s="4" t="s">
        <v>306</v>
      </c>
      <c r="F42" s="4" t="s">
        <v>110</v>
      </c>
      <c r="G42" s="4" t="s">
        <v>111</v>
      </c>
      <c r="H42" s="4" t="s">
        <v>149</v>
      </c>
      <c r="I42" s="4" t="s">
        <v>229</v>
      </c>
      <c r="J42" s="4" t="s">
        <v>333</v>
      </c>
      <c r="K42" s="4" t="s">
        <v>334</v>
      </c>
      <c r="L42" s="4">
        <v>-21.2587</v>
      </c>
      <c r="M42" s="4">
        <v>-63.5115</v>
      </c>
      <c r="N42" s="4">
        <v>0.144</v>
      </c>
      <c r="O42" s="4">
        <v>11.0</v>
      </c>
      <c r="P42" s="4">
        <v>470.0</v>
      </c>
      <c r="Q42" s="4">
        <v>214.0</v>
      </c>
      <c r="R42" s="4">
        <v>8.516</v>
      </c>
      <c r="S42" s="4">
        <v>-97.6</v>
      </c>
      <c r="T42" s="4">
        <v>2130.0</v>
      </c>
      <c r="U42" s="4">
        <v>1.1</v>
      </c>
      <c r="V42" s="4">
        <v>24.8</v>
      </c>
      <c r="W42" s="4">
        <v>8.59</v>
      </c>
      <c r="X42" s="4">
        <v>109.6</v>
      </c>
      <c r="Y42" s="4">
        <v>28.7</v>
      </c>
      <c r="Z42" s="4">
        <v>1373.0</v>
      </c>
      <c r="AA42" s="4">
        <v>1299.0</v>
      </c>
      <c r="AB42" s="4">
        <v>13.0</v>
      </c>
      <c r="AC42" s="4"/>
      <c r="AD42" s="4">
        <v>444.4</v>
      </c>
      <c r="AE42" s="4"/>
      <c r="AF42" s="4">
        <v>137.4</v>
      </c>
      <c r="AG42" s="4">
        <v>385.6</v>
      </c>
      <c r="AH42" s="4">
        <v>435.5</v>
      </c>
      <c r="AI42" s="4">
        <v>85.1</v>
      </c>
      <c r="AJ42" s="4">
        <v>55.6</v>
      </c>
      <c r="AK42" s="4">
        <v>392.5</v>
      </c>
      <c r="AL42" s="4">
        <v>10.9</v>
      </c>
      <c r="AM42" s="4">
        <v>101.0</v>
      </c>
      <c r="AN42" s="4">
        <v>57.0</v>
      </c>
      <c r="AO42" s="4">
        <v>397.0</v>
      </c>
      <c r="AP42" s="4">
        <v>11.1</v>
      </c>
      <c r="AQ42" s="4"/>
      <c r="AR42" s="4"/>
      <c r="AS42" s="4"/>
      <c r="AT42" s="4"/>
      <c r="AU42" s="4">
        <v>4.5</v>
      </c>
      <c r="AV42" s="4"/>
      <c r="AW42" s="4"/>
      <c r="AX42" s="4">
        <v>10.0</v>
      </c>
      <c r="AY42" s="4">
        <v>14.2</v>
      </c>
      <c r="AZ42" s="4"/>
      <c r="BA42" s="4"/>
      <c r="BB42" s="4"/>
      <c r="BC42" s="4"/>
      <c r="BD42" s="4"/>
      <c r="BE42" s="4">
        <f t="shared" si="30"/>
        <v>5</v>
      </c>
      <c r="BF42" s="4">
        <f t="shared" si="121"/>
        <v>5</v>
      </c>
      <c r="BG42" s="4">
        <f t="shared" ref="BG42:BH42" si="161">0.5*50</f>
        <v>25</v>
      </c>
      <c r="BH42" s="4">
        <f t="shared" si="161"/>
        <v>25</v>
      </c>
      <c r="BI42" s="4">
        <f t="shared" si="7"/>
        <v>5</v>
      </c>
      <c r="BJ42" s="4">
        <f t="shared" ref="BJ42:BJ45" si="163">0.5*50</f>
        <v>25</v>
      </c>
      <c r="BK42" s="4">
        <f>0.5*1</f>
        <v>0.5</v>
      </c>
      <c r="BL42" s="4">
        <f t="shared" si="147"/>
        <v>5</v>
      </c>
      <c r="BM42" s="4">
        <f t="shared" si="150"/>
        <v>25</v>
      </c>
      <c r="BN42" s="4">
        <v>3.0</v>
      </c>
      <c r="BO42" s="4">
        <f t="shared" si="151"/>
        <v>0.25</v>
      </c>
      <c r="BP42" s="4">
        <f t="shared" si="86"/>
        <v>0.5</v>
      </c>
      <c r="BQ42" s="4">
        <f t="shared" si="11"/>
        <v>2.5</v>
      </c>
      <c r="BR42" s="4">
        <f t="shared" si="12"/>
        <v>0.25</v>
      </c>
      <c r="BS42" s="4">
        <f t="shared" si="152"/>
        <v>50</v>
      </c>
      <c r="BT42" s="4">
        <v>1544.0</v>
      </c>
      <c r="BU42" s="4">
        <f t="shared" si="140"/>
        <v>0.5</v>
      </c>
      <c r="BV42" s="4">
        <f t="shared" si="145"/>
        <v>5</v>
      </c>
      <c r="BW42" s="4">
        <f>0.5*50</f>
        <v>25</v>
      </c>
      <c r="BX42" s="4">
        <f>0.5*1</f>
        <v>0.5</v>
      </c>
      <c r="BY42" s="4">
        <f t="shared" si="157"/>
        <v>5</v>
      </c>
      <c r="BZ42" s="4">
        <f t="shared" si="158"/>
        <v>25</v>
      </c>
      <c r="CA42" s="4">
        <v>7.0</v>
      </c>
      <c r="CB42" s="4">
        <v>0.7</v>
      </c>
      <c r="CC42" s="4">
        <f t="shared" si="160"/>
        <v>0.5</v>
      </c>
      <c r="CD42" s="4">
        <f t="shared" si="88"/>
        <v>2.5</v>
      </c>
      <c r="CE42" s="4">
        <f t="shared" si="136"/>
        <v>0.25</v>
      </c>
      <c r="CF42" s="4">
        <v>456.0</v>
      </c>
      <c r="CG42" s="4">
        <v>1549.0</v>
      </c>
      <c r="CH42" s="4">
        <v>1.0</v>
      </c>
      <c r="CI42" s="4"/>
      <c r="CJ42" s="4"/>
      <c r="CK42" s="4">
        <f t="shared" ref="CK42:CK43" si="164">0.5*1</f>
        <v>0.5</v>
      </c>
      <c r="CL42" s="4"/>
      <c r="CM42" s="4"/>
      <c r="CN42" s="4">
        <v>76.92</v>
      </c>
      <c r="CO42" s="4"/>
      <c r="CP42" s="4"/>
      <c r="CQ42" s="4">
        <v>307.69</v>
      </c>
      <c r="CR42" s="4"/>
      <c r="CS42" s="4">
        <v>384.62</v>
      </c>
      <c r="CT42" s="4">
        <v>53.85</v>
      </c>
      <c r="CU42" s="4"/>
      <c r="CV42" s="4"/>
      <c r="CW42" s="4">
        <v>35076.92</v>
      </c>
      <c r="CX42" s="4"/>
      <c r="CY42" s="4"/>
      <c r="CZ42" s="4"/>
      <c r="DA42" s="4"/>
    </row>
    <row r="43">
      <c r="A43" s="4" t="s">
        <v>238</v>
      </c>
      <c r="B43" s="4" t="s">
        <v>239</v>
      </c>
      <c r="C43" s="5" t="s">
        <v>332</v>
      </c>
      <c r="D43" s="5" t="s">
        <v>335</v>
      </c>
      <c r="E43" s="4" t="s">
        <v>306</v>
      </c>
      <c r="F43" s="4" t="s">
        <v>110</v>
      </c>
      <c r="G43" s="4" t="s">
        <v>111</v>
      </c>
      <c r="H43" s="4" t="s">
        <v>149</v>
      </c>
      <c r="I43" s="4" t="s">
        <v>241</v>
      </c>
      <c r="J43" s="4" t="s">
        <v>336</v>
      </c>
      <c r="K43" s="4" t="s">
        <v>337</v>
      </c>
      <c r="L43" s="4">
        <v>-22.3779</v>
      </c>
      <c r="M43" s="4">
        <v>-62.5185</v>
      </c>
      <c r="N43" s="4"/>
      <c r="O43" s="4"/>
      <c r="P43" s="4">
        <v>431.0</v>
      </c>
      <c r="Q43" s="4">
        <v>179.6</v>
      </c>
      <c r="R43" s="4">
        <v>8.341</v>
      </c>
      <c r="S43" s="4">
        <v>-86.7</v>
      </c>
      <c r="T43" s="4">
        <v>2320.0</v>
      </c>
      <c r="U43" s="4">
        <v>1.2</v>
      </c>
      <c r="V43" s="4">
        <v>22.1</v>
      </c>
      <c r="W43" s="4">
        <v>7.58</v>
      </c>
      <c r="X43" s="4">
        <v>90.0</v>
      </c>
      <c r="Y43" s="4">
        <v>117.0</v>
      </c>
      <c r="Z43" s="4">
        <v>1604.0</v>
      </c>
      <c r="AA43" s="4">
        <v>1446.0</v>
      </c>
      <c r="AB43" s="4">
        <v>107.0</v>
      </c>
      <c r="AC43" s="4"/>
      <c r="AD43" s="4">
        <v>501.7</v>
      </c>
      <c r="AE43" s="4"/>
      <c r="AF43" s="4">
        <v>149.9</v>
      </c>
      <c r="AG43" s="4">
        <v>398.7</v>
      </c>
      <c r="AH43" s="4">
        <v>480.0</v>
      </c>
      <c r="AI43" s="4">
        <v>99.0</v>
      </c>
      <c r="AJ43" s="4">
        <v>61.0</v>
      </c>
      <c r="AK43" s="4">
        <v>412.0</v>
      </c>
      <c r="AL43" s="4">
        <v>12.5</v>
      </c>
      <c r="AM43" s="4">
        <v>101.0</v>
      </c>
      <c r="AN43" s="4">
        <v>65.0</v>
      </c>
      <c r="AO43" s="4">
        <v>450.0</v>
      </c>
      <c r="AP43" s="4">
        <v>12.9</v>
      </c>
      <c r="AQ43" s="4"/>
      <c r="AR43" s="4"/>
      <c r="AS43" s="4"/>
      <c r="AT43" s="4"/>
      <c r="AU43" s="4">
        <v>4.5</v>
      </c>
      <c r="AV43" s="4"/>
      <c r="AW43" s="4"/>
      <c r="AX43" s="4">
        <v>3.0</v>
      </c>
      <c r="AY43" s="4">
        <v>11.5</v>
      </c>
      <c r="AZ43" s="4"/>
      <c r="BA43" s="4"/>
      <c r="BB43" s="4"/>
      <c r="BC43" s="4"/>
      <c r="BD43" s="4"/>
      <c r="BE43" s="4">
        <f t="shared" si="30"/>
        <v>5</v>
      </c>
      <c r="BF43" s="4">
        <f t="shared" si="121"/>
        <v>5</v>
      </c>
      <c r="BG43" s="4">
        <f t="shared" ref="BG43:BH43" si="162">0.5*50</f>
        <v>25</v>
      </c>
      <c r="BH43" s="4">
        <f t="shared" si="162"/>
        <v>25</v>
      </c>
      <c r="BI43" s="4">
        <f t="shared" si="7"/>
        <v>5</v>
      </c>
      <c r="BJ43" s="4">
        <f t="shared" si="163"/>
        <v>25</v>
      </c>
      <c r="BK43" s="4">
        <v>1.0</v>
      </c>
      <c r="BL43" s="4">
        <f t="shared" si="147"/>
        <v>5</v>
      </c>
      <c r="BM43" s="4">
        <f t="shared" si="150"/>
        <v>25</v>
      </c>
      <c r="BN43" s="4">
        <v>4.0</v>
      </c>
      <c r="BO43" s="4">
        <f t="shared" si="151"/>
        <v>0.25</v>
      </c>
      <c r="BP43" s="4">
        <f t="shared" si="86"/>
        <v>0.5</v>
      </c>
      <c r="BQ43" s="4">
        <f t="shared" si="11"/>
        <v>2.5</v>
      </c>
      <c r="BR43" s="4">
        <f t="shared" si="12"/>
        <v>0.25</v>
      </c>
      <c r="BS43" s="4">
        <f t="shared" si="152"/>
        <v>50</v>
      </c>
      <c r="BT43" s="4">
        <v>849.0</v>
      </c>
      <c r="BU43" s="4">
        <f t="shared" si="140"/>
        <v>0.5</v>
      </c>
      <c r="BV43" s="4">
        <f t="shared" si="145"/>
        <v>5</v>
      </c>
      <c r="BW43" s="4">
        <v>78.0</v>
      </c>
      <c r="BX43" s="4">
        <v>3.0</v>
      </c>
      <c r="BY43" s="4">
        <f t="shared" si="157"/>
        <v>5</v>
      </c>
      <c r="BZ43" s="4">
        <f t="shared" si="158"/>
        <v>25</v>
      </c>
      <c r="CA43" s="4">
        <v>8.0</v>
      </c>
      <c r="CB43" s="4">
        <f t="shared" ref="CB43:CB46" si="167">0.5*0.5</f>
        <v>0.25</v>
      </c>
      <c r="CC43" s="4">
        <v>3.0</v>
      </c>
      <c r="CD43" s="4">
        <f t="shared" si="88"/>
        <v>2.5</v>
      </c>
      <c r="CE43" s="4">
        <f t="shared" si="136"/>
        <v>0.25</v>
      </c>
      <c r="CF43" s="4">
        <v>3614.0</v>
      </c>
      <c r="CG43" s="4">
        <v>1379.0</v>
      </c>
      <c r="CH43" s="4">
        <f t="shared" ref="CH43:CH68" si="168">0.5*1</f>
        <v>0.5</v>
      </c>
      <c r="CI43" s="4"/>
      <c r="CJ43" s="4"/>
      <c r="CK43" s="4">
        <f t="shared" si="164"/>
        <v>0.5</v>
      </c>
      <c r="CL43" s="4"/>
      <c r="CM43" s="4"/>
      <c r="CN43" s="4"/>
      <c r="CO43" s="4"/>
      <c r="CP43" s="4"/>
      <c r="CQ43" s="4">
        <v>37.38</v>
      </c>
      <c r="CR43" s="4"/>
      <c r="CS43" s="4">
        <v>4953.27</v>
      </c>
      <c r="CT43" s="4"/>
      <c r="CU43" s="4"/>
      <c r="CV43" s="4"/>
      <c r="CW43" s="4">
        <v>33775.7</v>
      </c>
      <c r="CX43" s="4">
        <v>728.97</v>
      </c>
      <c r="CY43" s="4"/>
      <c r="CZ43" s="4">
        <v>18.69</v>
      </c>
      <c r="DA43" s="4"/>
    </row>
    <row r="44">
      <c r="A44" s="4" t="s">
        <v>105</v>
      </c>
      <c r="B44" s="4" t="s">
        <v>106</v>
      </c>
      <c r="C44" s="5" t="s">
        <v>338</v>
      </c>
      <c r="D44" s="5" t="s">
        <v>339</v>
      </c>
      <c r="E44" s="4" t="s">
        <v>340</v>
      </c>
      <c r="F44" s="4" t="s">
        <v>110</v>
      </c>
      <c r="G44" s="4" t="s">
        <v>111</v>
      </c>
      <c r="H44" s="4" t="s">
        <v>105</v>
      </c>
      <c r="I44" s="4" t="s">
        <v>112</v>
      </c>
      <c r="J44" s="4" t="s">
        <v>341</v>
      </c>
      <c r="K44" s="4" t="s">
        <v>342</v>
      </c>
      <c r="L44" s="4">
        <v>-22.0975</v>
      </c>
      <c r="M44" s="4">
        <v>-65.586</v>
      </c>
      <c r="N44" s="4">
        <v>0.423</v>
      </c>
      <c r="O44" s="4">
        <v>0.0</v>
      </c>
      <c r="P44" s="4">
        <v>1057.5</v>
      </c>
      <c r="Q44" s="4">
        <v>87.95</v>
      </c>
      <c r="R44" s="4">
        <v>8.55</v>
      </c>
      <c r="S44" s="4">
        <v>-96.6</v>
      </c>
      <c r="T44" s="4">
        <v>946.5</v>
      </c>
      <c r="U44" s="4">
        <v>0.4</v>
      </c>
      <c r="V44" s="4">
        <v>15.4</v>
      </c>
      <c r="W44" s="4">
        <v>4.23</v>
      </c>
      <c r="X44" s="4">
        <v>63.7</v>
      </c>
      <c r="Y44" s="4">
        <v>186.0</v>
      </c>
      <c r="Z44" s="4">
        <v>628.0</v>
      </c>
      <c r="AA44" s="4">
        <v>510.0</v>
      </c>
      <c r="AB44" s="4">
        <v>80.0</v>
      </c>
      <c r="AC44" s="4">
        <v>53.0</v>
      </c>
      <c r="AD44" s="4">
        <v>240.0</v>
      </c>
      <c r="AE44" s="4">
        <f>0.5*0.1</f>
        <v>0.05</v>
      </c>
      <c r="AF44" s="4">
        <v>270.0</v>
      </c>
      <c r="AG44" s="4">
        <v>47.6</v>
      </c>
      <c r="AH44" s="4">
        <v>122.2</v>
      </c>
      <c r="AI44" s="4">
        <v>45.91</v>
      </c>
      <c r="AJ44" s="4">
        <v>20.6</v>
      </c>
      <c r="AK44" s="4">
        <v>92.4</v>
      </c>
      <c r="AL44" s="4">
        <v>15.83</v>
      </c>
      <c r="AM44" s="4">
        <v>50.42</v>
      </c>
      <c r="AN44" s="4">
        <v>21.07</v>
      </c>
      <c r="AO44" s="4">
        <v>123.0</v>
      </c>
      <c r="AP44" s="4">
        <v>17.82</v>
      </c>
      <c r="AQ44" s="4">
        <v>3.6</v>
      </c>
      <c r="AR44" s="4">
        <v>3.2</v>
      </c>
      <c r="AS44" s="4">
        <v>30.9</v>
      </c>
      <c r="AT44" s="4">
        <v>0.03</v>
      </c>
      <c r="AU44" s="4">
        <v>9.5</v>
      </c>
      <c r="AV44" s="4">
        <v>3.7</v>
      </c>
      <c r="AW44" s="4">
        <v>20.0</v>
      </c>
      <c r="AX44" s="4">
        <v>35.0</v>
      </c>
      <c r="AY44" s="4">
        <v>49.0</v>
      </c>
      <c r="AZ44" s="4">
        <f t="shared" ref="AZ44:BA44" si="165">1.5*100000</f>
        <v>150000</v>
      </c>
      <c r="BA44" s="4">
        <f t="shared" si="165"/>
        <v>150000</v>
      </c>
      <c r="BB44" s="4"/>
      <c r="BC44" s="4"/>
      <c r="BD44" s="4">
        <v>420.0</v>
      </c>
      <c r="BE44" s="4">
        <f t="shared" si="30"/>
        <v>5</v>
      </c>
      <c r="BF44" s="4">
        <f t="shared" si="121"/>
        <v>5</v>
      </c>
      <c r="BG44" s="4">
        <f t="shared" ref="BG44:BH44" si="166">0.5*50</f>
        <v>25</v>
      </c>
      <c r="BH44" s="4">
        <f t="shared" si="166"/>
        <v>25</v>
      </c>
      <c r="BI44" s="4">
        <f t="shared" si="7"/>
        <v>5</v>
      </c>
      <c r="BJ44" s="4">
        <f t="shared" si="163"/>
        <v>25</v>
      </c>
      <c r="BK44" s="4">
        <v>2.0</v>
      </c>
      <c r="BL44" s="4">
        <f t="shared" si="147"/>
        <v>5</v>
      </c>
      <c r="BM44" s="4">
        <f t="shared" si="150"/>
        <v>25</v>
      </c>
      <c r="BN44" s="4">
        <v>11.0</v>
      </c>
      <c r="BO44" s="4">
        <f t="shared" si="151"/>
        <v>0.25</v>
      </c>
      <c r="BP44" s="4">
        <f t="shared" si="86"/>
        <v>0.5</v>
      </c>
      <c r="BQ44" s="4">
        <f t="shared" si="11"/>
        <v>2.5</v>
      </c>
      <c r="BR44" s="4">
        <f t="shared" si="12"/>
        <v>0.25</v>
      </c>
      <c r="BS44" s="4">
        <f t="shared" si="152"/>
        <v>50</v>
      </c>
      <c r="BT44" s="4">
        <v>732.0</v>
      </c>
      <c r="BU44" s="4">
        <f t="shared" si="140"/>
        <v>0.5</v>
      </c>
      <c r="BV44" s="4">
        <f t="shared" si="145"/>
        <v>5</v>
      </c>
      <c r="BW44" s="4">
        <f t="shared" ref="BW44:BW45" si="170">0.5*50</f>
        <v>25</v>
      </c>
      <c r="BX44" s="4">
        <v>4.0</v>
      </c>
      <c r="BY44" s="4">
        <v>16.0</v>
      </c>
      <c r="BZ44" s="4">
        <v>97.0</v>
      </c>
      <c r="CA44" s="4">
        <v>15.0</v>
      </c>
      <c r="CB44" s="4">
        <f t="shared" si="167"/>
        <v>0.25</v>
      </c>
      <c r="CC44" s="4">
        <v>6.0</v>
      </c>
      <c r="CD44" s="4">
        <f t="shared" si="88"/>
        <v>2.5</v>
      </c>
      <c r="CE44" s="4">
        <f t="shared" si="136"/>
        <v>0.25</v>
      </c>
      <c r="CF44" s="4">
        <v>5321.0</v>
      </c>
      <c r="CG44" s="4">
        <v>1173.0</v>
      </c>
      <c r="CH44" s="4">
        <f t="shared" si="168"/>
        <v>0.5</v>
      </c>
      <c r="CI44" s="4">
        <f t="shared" ref="CI44:CI60" si="171">0.5*0.05</f>
        <v>0.025</v>
      </c>
      <c r="CJ44" s="4"/>
      <c r="CK44" s="4">
        <v>0.023</v>
      </c>
      <c r="CL44" s="4">
        <f>0.5*0.001</f>
        <v>0.0005</v>
      </c>
      <c r="CM44" s="4"/>
      <c r="CN44" s="4"/>
      <c r="CO44" s="4">
        <v>1212.5</v>
      </c>
      <c r="CP44" s="4"/>
      <c r="CQ44" s="4">
        <v>50.0</v>
      </c>
      <c r="CR44" s="4"/>
      <c r="CS44" s="4">
        <v>5512.5</v>
      </c>
      <c r="CT44" s="4"/>
      <c r="CU44" s="4">
        <v>200.0</v>
      </c>
      <c r="CV44" s="4"/>
      <c r="CW44" s="4">
        <v>66512.5</v>
      </c>
      <c r="CX44" s="4"/>
      <c r="CY44" s="4"/>
      <c r="CZ44" s="4">
        <v>25.0</v>
      </c>
      <c r="DA44" s="4"/>
    </row>
    <row r="45">
      <c r="A45" s="4" t="s">
        <v>121</v>
      </c>
      <c r="B45" s="4" t="s">
        <v>122</v>
      </c>
      <c r="C45" s="5" t="s">
        <v>338</v>
      </c>
      <c r="D45" s="5" t="s">
        <v>305</v>
      </c>
      <c r="E45" s="4" t="s">
        <v>340</v>
      </c>
      <c r="F45" s="4" t="s">
        <v>110</v>
      </c>
      <c r="G45" s="4" t="s">
        <v>111</v>
      </c>
      <c r="H45" s="4" t="s">
        <v>125</v>
      </c>
      <c r="I45" s="4" t="s">
        <v>112</v>
      </c>
      <c r="J45" s="4" t="s">
        <v>343</v>
      </c>
      <c r="K45" s="4" t="s">
        <v>344</v>
      </c>
      <c r="L45" s="4">
        <v>-21.5613</v>
      </c>
      <c r="M45" s="4">
        <v>-65.6477</v>
      </c>
      <c r="N45" s="4"/>
      <c r="O45" s="4"/>
      <c r="P45" s="4">
        <v>855.0</v>
      </c>
      <c r="Q45" s="4">
        <v>156.4</v>
      </c>
      <c r="R45" s="4">
        <v>8.68</v>
      </c>
      <c r="S45" s="4">
        <v>-97.14</v>
      </c>
      <c r="T45" s="4">
        <v>1169.0</v>
      </c>
      <c r="U45" s="4">
        <v>0.5</v>
      </c>
      <c r="V45" s="4">
        <v>9.4</v>
      </c>
      <c r="W45" s="4">
        <v>8.52</v>
      </c>
      <c r="X45" s="4">
        <v>104.2</v>
      </c>
      <c r="Y45" s="4">
        <v>56.4</v>
      </c>
      <c r="Z45" s="4">
        <v>1072.0</v>
      </c>
      <c r="AA45" s="4">
        <v>926.0</v>
      </c>
      <c r="AB45" s="4">
        <v>27.0</v>
      </c>
      <c r="AC45" s="4">
        <v>12.0</v>
      </c>
      <c r="AD45" s="4">
        <v>430.0</v>
      </c>
      <c r="AE45" s="4">
        <v>30.0</v>
      </c>
      <c r="AF45" s="4">
        <v>165.0</v>
      </c>
      <c r="AG45" s="4">
        <v>62.4</v>
      </c>
      <c r="AH45" s="4">
        <v>397.0</v>
      </c>
      <c r="AI45" s="4">
        <v>81.4</v>
      </c>
      <c r="AJ45" s="4">
        <v>70.43</v>
      </c>
      <c r="AK45" s="4">
        <v>90.21</v>
      </c>
      <c r="AL45" s="4">
        <v>6.86</v>
      </c>
      <c r="AM45" s="4">
        <v>82.4</v>
      </c>
      <c r="AN45" s="4">
        <v>83.3</v>
      </c>
      <c r="AO45" s="4">
        <v>108.8</v>
      </c>
      <c r="AP45" s="4">
        <v>8.1</v>
      </c>
      <c r="AQ45" s="4">
        <v>0.37</v>
      </c>
      <c r="AR45" s="4">
        <v>0.21</v>
      </c>
      <c r="AS45" s="4">
        <v>1.6</v>
      </c>
      <c r="AT45" s="4">
        <v>0.06</v>
      </c>
      <c r="AU45" s="4">
        <v>5.94</v>
      </c>
      <c r="AV45" s="4">
        <v>4.3</v>
      </c>
      <c r="AW45" s="4">
        <v>7.0</v>
      </c>
      <c r="AX45" s="4">
        <f>0.5*5</f>
        <v>2.5</v>
      </c>
      <c r="AY45" s="4">
        <v>4.0</v>
      </c>
      <c r="AZ45" s="4">
        <v>810.0</v>
      </c>
      <c r="BA45" s="4">
        <v>720.0</v>
      </c>
      <c r="BB45" s="4"/>
      <c r="BC45" s="4"/>
      <c r="BD45" s="4">
        <v>10.0</v>
      </c>
      <c r="BE45" s="4">
        <f t="shared" si="30"/>
        <v>5</v>
      </c>
      <c r="BF45" s="4">
        <f t="shared" si="121"/>
        <v>5</v>
      </c>
      <c r="BG45" s="4">
        <f t="shared" ref="BG45:BH45" si="169">0.5*50</f>
        <v>25</v>
      </c>
      <c r="BH45" s="4">
        <f t="shared" si="169"/>
        <v>25</v>
      </c>
      <c r="BI45" s="4">
        <f t="shared" si="7"/>
        <v>5</v>
      </c>
      <c r="BJ45" s="4">
        <f t="shared" si="163"/>
        <v>25</v>
      </c>
      <c r="BK45" s="4">
        <f>0.5*1</f>
        <v>0.5</v>
      </c>
      <c r="BL45" s="4">
        <f t="shared" si="147"/>
        <v>5</v>
      </c>
      <c r="BM45" s="4">
        <f t="shared" si="150"/>
        <v>25</v>
      </c>
      <c r="BN45" s="4">
        <v>3.0</v>
      </c>
      <c r="BO45" s="4">
        <f t="shared" si="151"/>
        <v>0.25</v>
      </c>
      <c r="BP45" s="4">
        <f t="shared" si="86"/>
        <v>0.5</v>
      </c>
      <c r="BQ45" s="4">
        <f t="shared" si="11"/>
        <v>2.5</v>
      </c>
      <c r="BR45" s="4">
        <f t="shared" si="12"/>
        <v>0.25</v>
      </c>
      <c r="BS45" s="4">
        <f t="shared" si="152"/>
        <v>50</v>
      </c>
      <c r="BT45" s="4">
        <v>2248.0</v>
      </c>
      <c r="BU45" s="4">
        <f t="shared" si="140"/>
        <v>0.5</v>
      </c>
      <c r="BV45" s="4">
        <f t="shared" si="145"/>
        <v>5</v>
      </c>
      <c r="BW45" s="4">
        <f t="shared" si="170"/>
        <v>25</v>
      </c>
      <c r="BX45" s="4">
        <f>0.5*1</f>
        <v>0.5</v>
      </c>
      <c r="BY45" s="4">
        <f t="shared" ref="BY45:BY49" si="173">0.5*10</f>
        <v>5</v>
      </c>
      <c r="BZ45" s="4">
        <f t="shared" ref="BZ45:BZ46" si="174">0.5*50</f>
        <v>25</v>
      </c>
      <c r="CA45" s="4">
        <v>4.0</v>
      </c>
      <c r="CB45" s="4">
        <f t="shared" si="167"/>
        <v>0.25</v>
      </c>
      <c r="CC45" s="4">
        <v>2.0</v>
      </c>
      <c r="CD45" s="4">
        <f t="shared" si="88"/>
        <v>2.5</v>
      </c>
      <c r="CE45" s="4">
        <f t="shared" si="136"/>
        <v>0.25</v>
      </c>
      <c r="CF45" s="4">
        <v>1522.0</v>
      </c>
      <c r="CG45" s="4">
        <v>3031.0</v>
      </c>
      <c r="CH45" s="4">
        <f t="shared" si="168"/>
        <v>0.5</v>
      </c>
      <c r="CI45" s="4">
        <f t="shared" si="171"/>
        <v>0.025</v>
      </c>
      <c r="CJ45" s="4"/>
      <c r="CK45" s="4">
        <v>0.001</v>
      </c>
      <c r="CL45" s="4">
        <v>0.041</v>
      </c>
      <c r="CM45" s="4"/>
      <c r="CN45" s="4"/>
      <c r="CO45" s="4"/>
      <c r="CP45" s="4"/>
      <c r="CQ45" s="4">
        <v>37.04</v>
      </c>
      <c r="CR45" s="4"/>
      <c r="CS45" s="4">
        <v>29000.0</v>
      </c>
      <c r="CT45" s="4"/>
      <c r="CU45" s="4"/>
      <c r="CV45" s="4"/>
      <c r="CW45" s="4">
        <v>56370.37</v>
      </c>
      <c r="CX45" s="4"/>
      <c r="CY45" s="4"/>
      <c r="CZ45" s="4"/>
      <c r="DA45" s="4"/>
    </row>
    <row r="46">
      <c r="A46" s="4" t="s">
        <v>128</v>
      </c>
      <c r="B46" s="4" t="s">
        <v>129</v>
      </c>
      <c r="C46" s="5" t="s">
        <v>338</v>
      </c>
      <c r="D46" s="5" t="s">
        <v>345</v>
      </c>
      <c r="E46" s="4" t="s">
        <v>340</v>
      </c>
      <c r="F46" s="4" t="s">
        <v>110</v>
      </c>
      <c r="G46" s="4" t="s">
        <v>111</v>
      </c>
      <c r="H46" s="4" t="s">
        <v>131</v>
      </c>
      <c r="I46" s="4" t="s">
        <v>112</v>
      </c>
      <c r="J46" s="4" t="s">
        <v>346</v>
      </c>
      <c r="K46" s="4" t="s">
        <v>347</v>
      </c>
      <c r="L46" s="4">
        <v>-21.5099</v>
      </c>
      <c r="M46" s="4">
        <v>-65.6994</v>
      </c>
      <c r="N46" s="4">
        <v>0.623</v>
      </c>
      <c r="O46" s="4">
        <v>1.0</v>
      </c>
      <c r="P46" s="4">
        <v>649.0</v>
      </c>
      <c r="Q46" s="4">
        <v>130.5</v>
      </c>
      <c r="R46" s="4">
        <v>8.75</v>
      </c>
      <c r="S46" s="4">
        <v>-100.35</v>
      </c>
      <c r="T46" s="4">
        <v>1541.0</v>
      </c>
      <c r="U46" s="4">
        <v>0.7</v>
      </c>
      <c r="V46" s="4">
        <v>8.35</v>
      </c>
      <c r="W46" s="4">
        <v>7.29</v>
      </c>
      <c r="X46" s="4">
        <v>87.0</v>
      </c>
      <c r="Y46" s="4">
        <v>15.9</v>
      </c>
      <c r="Z46" s="4">
        <v>1501.0</v>
      </c>
      <c r="AA46" s="4">
        <v>1387.0</v>
      </c>
      <c r="AB46" s="4">
        <v>12.0</v>
      </c>
      <c r="AC46" s="4">
        <v>8.0</v>
      </c>
      <c r="AD46" s="4">
        <v>574.0</v>
      </c>
      <c r="AE46" s="4">
        <v>10.0</v>
      </c>
      <c r="AF46" s="4">
        <v>195.0</v>
      </c>
      <c r="AG46" s="4">
        <v>63.1</v>
      </c>
      <c r="AH46" s="4">
        <v>664.1</v>
      </c>
      <c r="AI46" s="4">
        <v>91.76</v>
      </c>
      <c r="AJ46" s="4">
        <v>103.1</v>
      </c>
      <c r="AK46" s="4">
        <v>91.58</v>
      </c>
      <c r="AL46" s="4">
        <v>6.77</v>
      </c>
      <c r="AM46" s="4">
        <v>102.0</v>
      </c>
      <c r="AN46" s="4">
        <v>104.2</v>
      </c>
      <c r="AO46" s="4">
        <v>107.5</v>
      </c>
      <c r="AP46" s="4">
        <v>10.61</v>
      </c>
      <c r="AQ46" s="4">
        <v>0.52</v>
      </c>
      <c r="AR46" s="4">
        <v>0.28</v>
      </c>
      <c r="AS46" s="4">
        <v>5.3</v>
      </c>
      <c r="AT46" s="4">
        <v>0.13</v>
      </c>
      <c r="AU46" s="4">
        <v>6.19</v>
      </c>
      <c r="AV46" s="4">
        <v>5.0</v>
      </c>
      <c r="AW46" s="4">
        <v>8.0</v>
      </c>
      <c r="AX46" s="4">
        <v>6.0</v>
      </c>
      <c r="AY46" s="4">
        <v>9.0</v>
      </c>
      <c r="AZ46" s="4">
        <v>810.0</v>
      </c>
      <c r="BA46" s="4">
        <v>540.0</v>
      </c>
      <c r="BB46" s="4"/>
      <c r="BC46" s="4"/>
      <c r="BD46" s="4">
        <v>16.0</v>
      </c>
      <c r="BE46" s="4">
        <f t="shared" si="30"/>
        <v>5</v>
      </c>
      <c r="BF46" s="4">
        <f t="shared" si="121"/>
        <v>5</v>
      </c>
      <c r="BG46" s="4">
        <f t="shared" ref="BG46:BH46" si="172">0.5*50</f>
        <v>25</v>
      </c>
      <c r="BH46" s="4">
        <f t="shared" si="172"/>
        <v>25</v>
      </c>
      <c r="BI46" s="4">
        <f t="shared" si="7"/>
        <v>5</v>
      </c>
      <c r="BJ46" s="4">
        <v>51.0</v>
      </c>
      <c r="BK46" s="4">
        <v>1.0</v>
      </c>
      <c r="BL46" s="4">
        <f t="shared" si="147"/>
        <v>5</v>
      </c>
      <c r="BM46" s="4">
        <f t="shared" si="150"/>
        <v>25</v>
      </c>
      <c r="BN46" s="4">
        <v>1.0</v>
      </c>
      <c r="BO46" s="4">
        <f t="shared" si="151"/>
        <v>0.25</v>
      </c>
      <c r="BP46" s="4">
        <f t="shared" si="86"/>
        <v>0.5</v>
      </c>
      <c r="BQ46" s="4">
        <f t="shared" si="11"/>
        <v>2.5</v>
      </c>
      <c r="BR46" s="4">
        <f t="shared" si="12"/>
        <v>0.25</v>
      </c>
      <c r="BS46" s="4">
        <f t="shared" si="152"/>
        <v>50</v>
      </c>
      <c r="BT46" s="4">
        <v>2123.0</v>
      </c>
      <c r="BU46" s="4">
        <f t="shared" si="140"/>
        <v>0.5</v>
      </c>
      <c r="BV46" s="4">
        <f t="shared" si="145"/>
        <v>5</v>
      </c>
      <c r="BW46" s="4">
        <v>58.0</v>
      </c>
      <c r="BX46" s="4">
        <v>7.0</v>
      </c>
      <c r="BY46" s="4">
        <f t="shared" si="173"/>
        <v>5</v>
      </c>
      <c r="BZ46" s="4">
        <f t="shared" si="174"/>
        <v>25</v>
      </c>
      <c r="CA46" s="4">
        <v>3.0</v>
      </c>
      <c r="CB46" s="4">
        <f t="shared" si="167"/>
        <v>0.25</v>
      </c>
      <c r="CC46" s="4">
        <v>1.0</v>
      </c>
      <c r="CD46" s="4">
        <f t="shared" si="88"/>
        <v>2.5</v>
      </c>
      <c r="CE46" s="4">
        <f t="shared" si="136"/>
        <v>0.25</v>
      </c>
      <c r="CF46" s="4">
        <v>227.0</v>
      </c>
      <c r="CG46" s="4">
        <v>2464.0</v>
      </c>
      <c r="CH46" s="4">
        <f t="shared" si="168"/>
        <v>0.5</v>
      </c>
      <c r="CI46" s="4">
        <f t="shared" si="171"/>
        <v>0.025</v>
      </c>
      <c r="CJ46" s="4"/>
      <c r="CK46" s="4">
        <v>0.005</v>
      </c>
      <c r="CL46" s="4">
        <v>0.083</v>
      </c>
      <c r="CM46" s="4"/>
      <c r="CN46" s="4"/>
      <c r="CO46" s="4"/>
      <c r="CP46" s="4"/>
      <c r="CQ46" s="4">
        <v>166.67</v>
      </c>
      <c r="CR46" s="4"/>
      <c r="CS46" s="4">
        <v>28416.67</v>
      </c>
      <c r="CT46" s="4"/>
      <c r="CU46" s="4"/>
      <c r="CV46" s="4"/>
      <c r="CW46" s="4">
        <v>18916.67</v>
      </c>
      <c r="CX46" s="4">
        <v>583.33</v>
      </c>
      <c r="CY46" s="4"/>
      <c r="CZ46" s="4">
        <v>500.0</v>
      </c>
      <c r="DA46" s="4"/>
    </row>
    <row r="47">
      <c r="A47" s="4" t="s">
        <v>134</v>
      </c>
      <c r="B47" s="4" t="s">
        <v>135</v>
      </c>
      <c r="C47" s="5" t="s">
        <v>348</v>
      </c>
      <c r="D47" s="5" t="s">
        <v>349</v>
      </c>
      <c r="E47" s="4" t="s">
        <v>340</v>
      </c>
      <c r="F47" s="4" t="s">
        <v>110</v>
      </c>
      <c r="G47" s="4" t="s">
        <v>111</v>
      </c>
      <c r="H47" s="4" t="s">
        <v>134</v>
      </c>
      <c r="I47" s="4" t="s">
        <v>138</v>
      </c>
      <c r="J47" s="4" t="s">
        <v>350</v>
      </c>
      <c r="K47" s="4" t="s">
        <v>351</v>
      </c>
      <c r="L47" s="4">
        <v>-20.8231</v>
      </c>
      <c r="M47" s="4">
        <v>-65.6552</v>
      </c>
      <c r="N47" s="4">
        <v>0.676</v>
      </c>
      <c r="O47" s="4">
        <v>2.0</v>
      </c>
      <c r="P47" s="4">
        <v>576.0</v>
      </c>
      <c r="Q47" s="4">
        <v>156.05</v>
      </c>
      <c r="R47" s="4">
        <v>8.2</v>
      </c>
      <c r="S47" s="4">
        <v>-73.94</v>
      </c>
      <c r="T47" s="4">
        <v>1738.0</v>
      </c>
      <c r="U47" s="4">
        <v>0.85</v>
      </c>
      <c r="V47" s="4">
        <v>19.5</v>
      </c>
      <c r="W47" s="4">
        <v>6.9</v>
      </c>
      <c r="X47" s="4">
        <v>103.4</v>
      </c>
      <c r="Y47" s="4">
        <v>103.0</v>
      </c>
      <c r="Z47" s="4">
        <v>575.0</v>
      </c>
      <c r="AA47" s="4">
        <v>427.0</v>
      </c>
      <c r="AB47" s="4">
        <v>93.0</v>
      </c>
      <c r="AC47" s="4">
        <v>11.0</v>
      </c>
      <c r="AD47" s="4">
        <v>408.0</v>
      </c>
      <c r="AE47" s="4">
        <v>1.0</v>
      </c>
      <c r="AF47" s="4">
        <v>70.0</v>
      </c>
      <c r="AG47" s="4">
        <v>47.6</v>
      </c>
      <c r="AH47" s="4">
        <v>787.3</v>
      </c>
      <c r="AI47" s="4">
        <v>97.11</v>
      </c>
      <c r="AJ47" s="4">
        <v>138.3</v>
      </c>
      <c r="AK47" s="4">
        <v>46.12</v>
      </c>
      <c r="AL47" s="4">
        <v>8.85</v>
      </c>
      <c r="AM47" s="4">
        <v>110.1</v>
      </c>
      <c r="AN47" s="4">
        <v>172.6</v>
      </c>
      <c r="AO47" s="4">
        <v>75.53</v>
      </c>
      <c r="AP47" s="4">
        <v>9.8</v>
      </c>
      <c r="AQ47" s="4">
        <v>0.2</v>
      </c>
      <c r="AR47" s="4">
        <v>0.2</v>
      </c>
      <c r="AS47" s="4">
        <v>1.0</v>
      </c>
      <c r="AT47" s="4">
        <f t="shared" ref="AT47:AT48" si="176">0.5*0.02</f>
        <v>0.01</v>
      </c>
      <c r="AU47" s="4">
        <v>4.84</v>
      </c>
      <c r="AV47" s="4">
        <v>5.0</v>
      </c>
      <c r="AW47" s="4">
        <v>8.0</v>
      </c>
      <c r="AX47" s="4">
        <f t="shared" ref="AX47:AX48" si="177">0.5*5</f>
        <v>2.5</v>
      </c>
      <c r="AY47" s="4">
        <v>6.0</v>
      </c>
      <c r="AZ47" s="4">
        <v>40.0</v>
      </c>
      <c r="BA47" s="4">
        <v>18.0</v>
      </c>
      <c r="BB47" s="4"/>
      <c r="BC47" s="4"/>
      <c r="BD47" s="4">
        <v>2.0</v>
      </c>
      <c r="BE47" s="4">
        <f t="shared" si="30"/>
        <v>5</v>
      </c>
      <c r="BF47" s="4">
        <f t="shared" si="121"/>
        <v>5</v>
      </c>
      <c r="BG47" s="4">
        <f t="shared" ref="BG47:BH47" si="175">0.5*50</f>
        <v>25</v>
      </c>
      <c r="BH47" s="4">
        <f t="shared" si="175"/>
        <v>25</v>
      </c>
      <c r="BI47" s="4">
        <f t="shared" si="7"/>
        <v>5</v>
      </c>
      <c r="BJ47" s="4">
        <v>390.0</v>
      </c>
      <c r="BK47" s="4">
        <v>53.0</v>
      </c>
      <c r="BL47" s="4">
        <f t="shared" si="147"/>
        <v>5</v>
      </c>
      <c r="BM47" s="4">
        <f t="shared" si="150"/>
        <v>25</v>
      </c>
      <c r="BN47" s="4">
        <v>3.0</v>
      </c>
      <c r="BO47" s="4">
        <f t="shared" si="151"/>
        <v>0.25</v>
      </c>
      <c r="BP47" s="4">
        <f t="shared" si="86"/>
        <v>0.5</v>
      </c>
      <c r="BQ47" s="4">
        <f t="shared" si="11"/>
        <v>2.5</v>
      </c>
      <c r="BR47" s="4">
        <f t="shared" si="12"/>
        <v>0.25</v>
      </c>
      <c r="BS47" s="4">
        <f t="shared" si="152"/>
        <v>50</v>
      </c>
      <c r="BT47" s="4">
        <v>2252.0</v>
      </c>
      <c r="BU47" s="4">
        <f t="shared" si="140"/>
        <v>0.5</v>
      </c>
      <c r="BV47" s="4">
        <f t="shared" si="145"/>
        <v>5</v>
      </c>
      <c r="BW47" s="4">
        <v>399.0</v>
      </c>
      <c r="BX47" s="4">
        <v>57.0</v>
      </c>
      <c r="BY47" s="4">
        <f t="shared" si="173"/>
        <v>5</v>
      </c>
      <c r="BZ47" s="4">
        <v>124.0</v>
      </c>
      <c r="CA47" s="4">
        <v>13.0</v>
      </c>
      <c r="CB47" s="4">
        <v>0.8</v>
      </c>
      <c r="CC47" s="4">
        <v>6.0</v>
      </c>
      <c r="CD47" s="4">
        <f t="shared" si="88"/>
        <v>2.5</v>
      </c>
      <c r="CE47" s="4">
        <f t="shared" si="136"/>
        <v>0.25</v>
      </c>
      <c r="CF47" s="4">
        <v>2139.0</v>
      </c>
      <c r="CG47" s="4">
        <v>2610.0</v>
      </c>
      <c r="CH47" s="4">
        <f t="shared" si="168"/>
        <v>0.5</v>
      </c>
      <c r="CI47" s="4">
        <f t="shared" si="171"/>
        <v>0.025</v>
      </c>
      <c r="CJ47" s="4"/>
      <c r="CK47" s="4">
        <f t="shared" ref="CK47:CK53" si="179">0.5*0.001</f>
        <v>0.0005</v>
      </c>
      <c r="CL47" s="4">
        <v>0.011</v>
      </c>
      <c r="CM47" s="4"/>
      <c r="CN47" s="4"/>
      <c r="CO47" s="4">
        <v>1333.33</v>
      </c>
      <c r="CP47" s="4"/>
      <c r="CQ47" s="4">
        <v>107.53</v>
      </c>
      <c r="CR47" s="4"/>
      <c r="CS47" s="4">
        <v>3849.46</v>
      </c>
      <c r="CT47" s="4">
        <v>8.6</v>
      </c>
      <c r="CU47" s="4"/>
      <c r="CV47" s="4"/>
      <c r="CW47" s="4">
        <v>23000.0</v>
      </c>
      <c r="CX47" s="4">
        <v>96.77</v>
      </c>
      <c r="CY47" s="4"/>
      <c r="CZ47" s="4">
        <v>43.01</v>
      </c>
      <c r="DA47" s="4"/>
    </row>
    <row r="48">
      <c r="A48" s="4" t="s">
        <v>141</v>
      </c>
      <c r="B48" s="4" t="s">
        <v>142</v>
      </c>
      <c r="C48" s="5" t="s">
        <v>348</v>
      </c>
      <c r="D48" s="5" t="s">
        <v>352</v>
      </c>
      <c r="E48" s="4" t="s">
        <v>340</v>
      </c>
      <c r="F48" s="4" t="s">
        <v>110</v>
      </c>
      <c r="G48" s="4" t="s">
        <v>111</v>
      </c>
      <c r="H48" s="4" t="s">
        <v>141</v>
      </c>
      <c r="I48" s="4" t="s">
        <v>138</v>
      </c>
      <c r="J48" s="4" t="s">
        <v>353</v>
      </c>
      <c r="K48" s="4" t="s">
        <v>354</v>
      </c>
      <c r="L48" s="4">
        <v>-20.4867</v>
      </c>
      <c r="M48" s="4">
        <v>-65.6186</v>
      </c>
      <c r="N48" s="4">
        <v>0.672</v>
      </c>
      <c r="O48" s="4">
        <v>5.0</v>
      </c>
      <c r="P48" s="4">
        <v>1409.0</v>
      </c>
      <c r="Q48" s="4">
        <v>163.1</v>
      </c>
      <c r="R48" s="4">
        <v>8.58</v>
      </c>
      <c r="S48" s="4">
        <v>-94.1</v>
      </c>
      <c r="T48" s="4">
        <v>710.0</v>
      </c>
      <c r="U48" s="4">
        <v>0.3</v>
      </c>
      <c r="V48" s="4">
        <v>16.7</v>
      </c>
      <c r="W48" s="4">
        <v>7.62</v>
      </c>
      <c r="X48" s="4">
        <v>107.0</v>
      </c>
      <c r="Y48" s="4">
        <v>118.0</v>
      </c>
      <c r="Z48" s="4">
        <v>677.0</v>
      </c>
      <c r="AA48" s="4">
        <v>516.0</v>
      </c>
      <c r="AB48" s="4">
        <v>84.0</v>
      </c>
      <c r="AC48" s="4">
        <v>59.0</v>
      </c>
      <c r="AD48" s="4">
        <v>272.0</v>
      </c>
      <c r="AE48" s="4">
        <v>2.0</v>
      </c>
      <c r="AF48" s="4">
        <v>105.0</v>
      </c>
      <c r="AG48" s="4">
        <v>43.1</v>
      </c>
      <c r="AH48" s="4">
        <v>211.6</v>
      </c>
      <c r="AI48" s="4">
        <v>53.71</v>
      </c>
      <c r="AJ48" s="4">
        <v>28.53</v>
      </c>
      <c r="AK48" s="4">
        <v>38.19</v>
      </c>
      <c r="AL48" s="4">
        <v>7.29</v>
      </c>
      <c r="AM48" s="4">
        <v>56.51</v>
      </c>
      <c r="AN48" s="4">
        <v>47.37</v>
      </c>
      <c r="AO48" s="4">
        <v>55.9</v>
      </c>
      <c r="AP48" s="4">
        <v>8.1</v>
      </c>
      <c r="AQ48" s="4">
        <v>0.2</v>
      </c>
      <c r="AR48" s="4">
        <f>0.5*0.1</f>
        <v>0.05</v>
      </c>
      <c r="AS48" s="4">
        <v>0.4</v>
      </c>
      <c r="AT48" s="4">
        <f t="shared" si="176"/>
        <v>0.01</v>
      </c>
      <c r="AU48" s="4">
        <v>4.59</v>
      </c>
      <c r="AV48" s="4">
        <v>2.9</v>
      </c>
      <c r="AW48" s="4">
        <v>8.0</v>
      </c>
      <c r="AX48" s="4">
        <f t="shared" si="177"/>
        <v>2.5</v>
      </c>
      <c r="AY48" s="4">
        <v>7.0</v>
      </c>
      <c r="AZ48" s="4">
        <v>33.0</v>
      </c>
      <c r="BA48" s="4">
        <v>18.0</v>
      </c>
      <c r="BB48" s="4"/>
      <c r="BC48" s="4"/>
      <c r="BD48" s="4">
        <v>10.0</v>
      </c>
      <c r="BE48" s="4">
        <f t="shared" si="30"/>
        <v>5</v>
      </c>
      <c r="BF48" s="4">
        <f t="shared" si="121"/>
        <v>5</v>
      </c>
      <c r="BG48" s="4">
        <f t="shared" ref="BG48:BH48" si="178">0.5*50</f>
        <v>25</v>
      </c>
      <c r="BH48" s="4">
        <f t="shared" si="178"/>
        <v>25</v>
      </c>
      <c r="BI48" s="4">
        <f t="shared" si="7"/>
        <v>5</v>
      </c>
      <c r="BJ48" s="4">
        <f t="shared" ref="BJ48:BJ49" si="181">0.5*50</f>
        <v>25</v>
      </c>
      <c r="BK48" s="4">
        <v>1.0</v>
      </c>
      <c r="BL48" s="4">
        <f t="shared" si="147"/>
        <v>5</v>
      </c>
      <c r="BM48" s="4">
        <f t="shared" si="150"/>
        <v>25</v>
      </c>
      <c r="BN48" s="4">
        <v>4.0</v>
      </c>
      <c r="BO48" s="4">
        <f t="shared" si="151"/>
        <v>0.25</v>
      </c>
      <c r="BP48" s="4">
        <f t="shared" si="86"/>
        <v>0.5</v>
      </c>
      <c r="BQ48" s="4">
        <f t="shared" si="11"/>
        <v>2.5</v>
      </c>
      <c r="BR48" s="4">
        <f t="shared" si="12"/>
        <v>0.25</v>
      </c>
      <c r="BS48" s="4">
        <f t="shared" si="152"/>
        <v>50</v>
      </c>
      <c r="BT48" s="4">
        <v>824.0</v>
      </c>
      <c r="BU48" s="4">
        <f t="shared" si="140"/>
        <v>0.5</v>
      </c>
      <c r="BV48" s="4">
        <f t="shared" si="145"/>
        <v>5</v>
      </c>
      <c r="BW48" s="4">
        <f t="shared" ref="BW48:BW49" si="182">0.5*50</f>
        <v>25</v>
      </c>
      <c r="BX48" s="4">
        <v>2.0</v>
      </c>
      <c r="BY48" s="4">
        <f t="shared" si="173"/>
        <v>5</v>
      </c>
      <c r="BZ48" s="4">
        <f t="shared" ref="BZ48:BZ49" si="183">0.5*50</f>
        <v>25</v>
      </c>
      <c r="CA48" s="4">
        <v>5.0</v>
      </c>
      <c r="CB48" s="4">
        <f t="shared" ref="CB48:CB49" si="184">0.5*0.5</f>
        <v>0.25</v>
      </c>
      <c r="CC48" s="4">
        <v>2.0</v>
      </c>
      <c r="CD48" s="4">
        <f t="shared" si="88"/>
        <v>2.5</v>
      </c>
      <c r="CE48" s="4">
        <f t="shared" si="136"/>
        <v>0.25</v>
      </c>
      <c r="CF48" s="4">
        <v>3633.0</v>
      </c>
      <c r="CG48" s="4">
        <v>1205.0</v>
      </c>
      <c r="CH48" s="4">
        <f t="shared" si="168"/>
        <v>0.5</v>
      </c>
      <c r="CI48" s="4">
        <f t="shared" si="171"/>
        <v>0.025</v>
      </c>
      <c r="CJ48" s="4"/>
      <c r="CK48" s="4">
        <f t="shared" si="179"/>
        <v>0.0005</v>
      </c>
      <c r="CL48" s="4">
        <v>0.002</v>
      </c>
      <c r="CM48" s="4"/>
      <c r="CN48" s="4"/>
      <c r="CO48" s="4"/>
      <c r="CP48" s="4"/>
      <c r="CQ48" s="4">
        <v>11.9</v>
      </c>
      <c r="CR48" s="4"/>
      <c r="CS48" s="4">
        <v>4535.71</v>
      </c>
      <c r="CT48" s="4"/>
      <c r="CU48" s="4"/>
      <c r="CV48" s="4"/>
      <c r="CW48" s="4">
        <v>43250.0</v>
      </c>
      <c r="CX48" s="4"/>
      <c r="CY48" s="4"/>
      <c r="CZ48" s="4">
        <v>11.9</v>
      </c>
      <c r="DA48" s="4"/>
    </row>
    <row r="49">
      <c r="A49" s="4" t="s">
        <v>146</v>
      </c>
      <c r="B49" s="4" t="s">
        <v>147</v>
      </c>
      <c r="C49" s="5" t="s">
        <v>348</v>
      </c>
      <c r="D49" s="5" t="s">
        <v>355</v>
      </c>
      <c r="E49" s="4" t="s">
        <v>340</v>
      </c>
      <c r="F49" s="4" t="s">
        <v>110</v>
      </c>
      <c r="G49" s="4" t="s">
        <v>111</v>
      </c>
      <c r="H49" s="4" t="s">
        <v>149</v>
      </c>
      <c r="I49" s="4" t="s">
        <v>150</v>
      </c>
      <c r="J49" s="4" t="s">
        <v>356</v>
      </c>
      <c r="K49" s="4" t="s">
        <v>357</v>
      </c>
      <c r="L49" s="4">
        <v>-19.3976</v>
      </c>
      <c r="M49" s="4">
        <v>-65.9077</v>
      </c>
      <c r="N49" s="4">
        <v>0.553</v>
      </c>
      <c r="O49" s="4">
        <v>3.0</v>
      </c>
      <c r="P49" s="4">
        <v>1380.5</v>
      </c>
      <c r="Q49" s="4">
        <v>142.4</v>
      </c>
      <c r="R49" s="4">
        <v>9.08</v>
      </c>
      <c r="S49" s="4">
        <v>-117.1</v>
      </c>
      <c r="T49" s="4">
        <v>724.0</v>
      </c>
      <c r="U49" s="4">
        <v>0.3</v>
      </c>
      <c r="V49" s="4">
        <v>6.2</v>
      </c>
      <c r="W49" s="4">
        <v>8.41</v>
      </c>
      <c r="X49" s="4">
        <v>100.3</v>
      </c>
      <c r="Y49" s="4">
        <v>40.9</v>
      </c>
      <c r="Z49" s="4">
        <v>192.0</v>
      </c>
      <c r="AA49" s="4">
        <v>151.0</v>
      </c>
      <c r="AB49" s="4">
        <v>20.0</v>
      </c>
      <c r="AC49" s="4">
        <v>39.0</v>
      </c>
      <c r="AD49" s="4">
        <v>132.0</v>
      </c>
      <c r="AE49" s="4">
        <v>1.0</v>
      </c>
      <c r="AF49" s="4">
        <v>70.0</v>
      </c>
      <c r="AG49" s="4">
        <v>161.4</v>
      </c>
      <c r="AH49" s="4">
        <v>36.6</v>
      </c>
      <c r="AI49" s="4">
        <v>32.57</v>
      </c>
      <c r="AJ49" s="4">
        <v>4.21</v>
      </c>
      <c r="AK49" s="4">
        <v>60.37</v>
      </c>
      <c r="AL49" s="4">
        <v>5.63</v>
      </c>
      <c r="AM49" s="4">
        <v>33.17</v>
      </c>
      <c r="AN49" s="4">
        <v>5.72</v>
      </c>
      <c r="AO49" s="4">
        <v>95.2</v>
      </c>
      <c r="AP49" s="4">
        <v>6.53</v>
      </c>
      <c r="AQ49" s="4">
        <v>0.3</v>
      </c>
      <c r="AR49" s="4">
        <v>0.3</v>
      </c>
      <c r="AS49" s="4">
        <v>0.6</v>
      </c>
      <c r="AT49" s="4">
        <v>0.02</v>
      </c>
      <c r="AU49" s="4">
        <v>4.96</v>
      </c>
      <c r="AV49" s="4">
        <v>5.7</v>
      </c>
      <c r="AW49" s="4">
        <v>8.0</v>
      </c>
      <c r="AX49" s="4">
        <v>6.0</v>
      </c>
      <c r="AY49" s="4">
        <v>9.0</v>
      </c>
      <c r="AZ49" s="4">
        <v>24.0</v>
      </c>
      <c r="BA49" s="4">
        <v>10.0</v>
      </c>
      <c r="BB49" s="4"/>
      <c r="BC49" s="4"/>
      <c r="BD49" s="4">
        <v>0.0</v>
      </c>
      <c r="BE49" s="4">
        <f t="shared" si="30"/>
        <v>5</v>
      </c>
      <c r="BF49" s="4">
        <f t="shared" si="121"/>
        <v>5</v>
      </c>
      <c r="BG49" s="4">
        <f t="shared" ref="BG49:BH49" si="180">0.5*50</f>
        <v>25</v>
      </c>
      <c r="BH49" s="4">
        <f t="shared" si="180"/>
        <v>25</v>
      </c>
      <c r="BI49" s="4">
        <f t="shared" si="7"/>
        <v>5</v>
      </c>
      <c r="BJ49" s="4">
        <f t="shared" si="181"/>
        <v>25</v>
      </c>
      <c r="BK49" s="4">
        <f>0.5*1</f>
        <v>0.5</v>
      </c>
      <c r="BL49" s="4">
        <f t="shared" si="147"/>
        <v>5</v>
      </c>
      <c r="BM49" s="4">
        <f t="shared" si="150"/>
        <v>25</v>
      </c>
      <c r="BN49" s="4">
        <v>13.0</v>
      </c>
      <c r="BO49" s="4">
        <f t="shared" si="151"/>
        <v>0.25</v>
      </c>
      <c r="BP49" s="4">
        <f t="shared" si="86"/>
        <v>0.5</v>
      </c>
      <c r="BQ49" s="4">
        <f t="shared" si="11"/>
        <v>2.5</v>
      </c>
      <c r="BR49" s="4">
        <f t="shared" si="12"/>
        <v>0.25</v>
      </c>
      <c r="BS49" s="4">
        <f t="shared" si="152"/>
        <v>50</v>
      </c>
      <c r="BT49" s="4">
        <v>803.0</v>
      </c>
      <c r="BU49" s="4">
        <f t="shared" si="140"/>
        <v>0.5</v>
      </c>
      <c r="BV49" s="4">
        <f t="shared" si="145"/>
        <v>5</v>
      </c>
      <c r="BW49" s="4">
        <f t="shared" si="182"/>
        <v>25</v>
      </c>
      <c r="BX49" s="4">
        <f>0.5*1</f>
        <v>0.5</v>
      </c>
      <c r="BY49" s="4">
        <f t="shared" si="173"/>
        <v>5</v>
      </c>
      <c r="BZ49" s="4">
        <f t="shared" si="183"/>
        <v>25</v>
      </c>
      <c r="CA49" s="4">
        <v>13.0</v>
      </c>
      <c r="CB49" s="4">
        <f t="shared" si="184"/>
        <v>0.25</v>
      </c>
      <c r="CC49" s="4">
        <f>0.5*1</f>
        <v>0.5</v>
      </c>
      <c r="CD49" s="4">
        <f t="shared" si="88"/>
        <v>2.5</v>
      </c>
      <c r="CE49" s="4">
        <f t="shared" si="136"/>
        <v>0.25</v>
      </c>
      <c r="CF49" s="4">
        <v>699.0</v>
      </c>
      <c r="CG49" s="4">
        <v>1098.0</v>
      </c>
      <c r="CH49" s="4">
        <f t="shared" si="168"/>
        <v>0.5</v>
      </c>
      <c r="CI49" s="4">
        <f t="shared" si="171"/>
        <v>0.025</v>
      </c>
      <c r="CJ49" s="4"/>
      <c r="CK49" s="4">
        <f t="shared" si="179"/>
        <v>0.0005</v>
      </c>
      <c r="CL49" s="4">
        <v>0.033</v>
      </c>
      <c r="CM49" s="4"/>
      <c r="CN49" s="4"/>
      <c r="CO49" s="4"/>
      <c r="CP49" s="4"/>
      <c r="CQ49" s="4">
        <v>0.0</v>
      </c>
      <c r="CR49" s="4"/>
      <c r="CS49" s="4">
        <v>14750.0</v>
      </c>
      <c r="CT49" s="4"/>
      <c r="CU49" s="4"/>
      <c r="CV49" s="4"/>
      <c r="CW49" s="4">
        <v>34950.0</v>
      </c>
      <c r="CX49" s="4"/>
      <c r="CY49" s="4"/>
      <c r="CZ49" s="4"/>
      <c r="DA49" s="4"/>
    </row>
    <row r="50">
      <c r="A50" s="4" t="s">
        <v>153</v>
      </c>
      <c r="B50" s="4" t="s">
        <v>154</v>
      </c>
      <c r="C50" s="5" t="s">
        <v>358</v>
      </c>
      <c r="D50" s="5" t="s">
        <v>359</v>
      </c>
      <c r="E50" s="4" t="s">
        <v>340</v>
      </c>
      <c r="F50" s="4" t="s">
        <v>110</v>
      </c>
      <c r="G50" s="4" t="s">
        <v>111</v>
      </c>
      <c r="H50" s="4" t="s">
        <v>157</v>
      </c>
      <c r="I50" s="4" t="s">
        <v>150</v>
      </c>
      <c r="J50" s="4" t="s">
        <v>360</v>
      </c>
      <c r="K50" s="4" t="s">
        <v>361</v>
      </c>
      <c r="L50" s="4">
        <v>-19.3214</v>
      </c>
      <c r="M50" s="4">
        <v>-65.5519</v>
      </c>
      <c r="N50" s="4">
        <v>0.167</v>
      </c>
      <c r="O50" s="4">
        <v>0.0</v>
      </c>
      <c r="P50" s="4">
        <v>1883.5</v>
      </c>
      <c r="Q50" s="4">
        <v>137.2</v>
      </c>
      <c r="R50" s="4">
        <v>3.69</v>
      </c>
      <c r="S50" s="4">
        <v>172.43</v>
      </c>
      <c r="T50" s="4">
        <v>531.5</v>
      </c>
      <c r="U50" s="4">
        <v>0.2</v>
      </c>
      <c r="V50" s="4">
        <v>13.0</v>
      </c>
      <c r="W50" s="4">
        <v>6.9</v>
      </c>
      <c r="X50" s="4">
        <v>101.6</v>
      </c>
      <c r="Y50" s="4">
        <v>78.2</v>
      </c>
      <c r="Z50" s="4">
        <v>442.0</v>
      </c>
      <c r="AA50" s="4">
        <v>320.0</v>
      </c>
      <c r="AB50" s="4">
        <v>30.0</v>
      </c>
      <c r="AC50" s="4">
        <v>8.0</v>
      </c>
      <c r="AD50" s="4">
        <v>192.0</v>
      </c>
      <c r="AE50" s="4">
        <f t="shared" ref="AE50:AF50" si="185">0.5*0.1</f>
        <v>0.05</v>
      </c>
      <c r="AF50" s="4">
        <f t="shared" si="185"/>
        <v>0.05</v>
      </c>
      <c r="AG50" s="4">
        <v>6.2</v>
      </c>
      <c r="AH50" s="4">
        <v>208.1</v>
      </c>
      <c r="AI50" s="4">
        <v>15.44</v>
      </c>
      <c r="AJ50" s="4">
        <v>45.5</v>
      </c>
      <c r="AK50" s="4">
        <v>1.54</v>
      </c>
      <c r="AL50" s="4">
        <v>1.09</v>
      </c>
      <c r="AM50" s="4">
        <v>44.35</v>
      </c>
      <c r="AN50" s="4">
        <v>63.04</v>
      </c>
      <c r="AO50" s="4">
        <v>4.49</v>
      </c>
      <c r="AP50" s="4">
        <v>1.56</v>
      </c>
      <c r="AQ50" s="4">
        <f t="shared" ref="AQ50:AR50" si="186">0.5*0.1</f>
        <v>0.05</v>
      </c>
      <c r="AR50" s="4">
        <f t="shared" si="186"/>
        <v>0.05</v>
      </c>
      <c r="AS50" s="4">
        <v>0.26</v>
      </c>
      <c r="AT50" s="4">
        <f>0.5*0.02</f>
        <v>0.01</v>
      </c>
      <c r="AU50" s="4">
        <v>7.66</v>
      </c>
      <c r="AV50" s="4">
        <v>18.34</v>
      </c>
      <c r="AW50" s="4">
        <v>10.0</v>
      </c>
      <c r="AX50" s="4">
        <v>11.0</v>
      </c>
      <c r="AY50" s="4">
        <v>14.0</v>
      </c>
      <c r="AZ50" s="4"/>
      <c r="BA50" s="4"/>
      <c r="BB50" s="4"/>
      <c r="BC50" s="4"/>
      <c r="BD50" s="4"/>
      <c r="BE50" s="4">
        <f t="shared" si="30"/>
        <v>5</v>
      </c>
      <c r="BF50" s="4">
        <f t="shared" si="121"/>
        <v>5</v>
      </c>
      <c r="BG50" s="4">
        <f t="shared" ref="BG50:BH50" si="187">0.5*50</f>
        <v>25</v>
      </c>
      <c r="BH50" s="4">
        <f t="shared" si="187"/>
        <v>25</v>
      </c>
      <c r="BI50" s="4">
        <f t="shared" si="7"/>
        <v>5</v>
      </c>
      <c r="BJ50" s="4">
        <v>5690.0</v>
      </c>
      <c r="BK50" s="4">
        <v>34.0</v>
      </c>
      <c r="BL50" s="4">
        <v>739.0</v>
      </c>
      <c r="BM50" s="4">
        <v>1864.0</v>
      </c>
      <c r="BN50" s="4">
        <f>0.5*1</f>
        <v>0.5</v>
      </c>
      <c r="BO50" s="4">
        <v>8.0</v>
      </c>
      <c r="BP50" s="4">
        <v>3.0</v>
      </c>
      <c r="BQ50" s="4">
        <f t="shared" si="11"/>
        <v>2.5</v>
      </c>
      <c r="BR50" s="4">
        <f t="shared" si="12"/>
        <v>0.25</v>
      </c>
      <c r="BS50" s="4">
        <v>5314.0</v>
      </c>
      <c r="BT50" s="4">
        <v>40.0</v>
      </c>
      <c r="BU50" s="4">
        <f t="shared" si="140"/>
        <v>0.5</v>
      </c>
      <c r="BV50" s="4">
        <f t="shared" si="145"/>
        <v>5</v>
      </c>
      <c r="BW50" s="4">
        <v>7153.0</v>
      </c>
      <c r="BX50" s="4">
        <v>34.0</v>
      </c>
      <c r="BY50" s="4">
        <v>749.0</v>
      </c>
      <c r="BZ50" s="4">
        <v>2194.0</v>
      </c>
      <c r="CA50" s="4">
        <v>6.0</v>
      </c>
      <c r="CB50" s="4">
        <v>8.0</v>
      </c>
      <c r="CC50" s="4">
        <v>3.0</v>
      </c>
      <c r="CD50" s="4">
        <f t="shared" si="88"/>
        <v>2.5</v>
      </c>
      <c r="CE50" s="4">
        <f t="shared" si="136"/>
        <v>0.25</v>
      </c>
      <c r="CF50" s="4">
        <v>21235.0</v>
      </c>
      <c r="CG50" s="4">
        <v>50.0</v>
      </c>
      <c r="CH50" s="4">
        <f t="shared" si="168"/>
        <v>0.5</v>
      </c>
      <c r="CI50" s="4">
        <f t="shared" si="171"/>
        <v>0.025</v>
      </c>
      <c r="CJ50" s="4"/>
      <c r="CK50" s="4">
        <f t="shared" si="179"/>
        <v>0.0005</v>
      </c>
      <c r="CL50" s="4">
        <v>0.031</v>
      </c>
      <c r="CM50" s="4"/>
      <c r="CN50" s="4"/>
      <c r="CO50" s="4">
        <v>11000.0</v>
      </c>
      <c r="CP50" s="4">
        <v>63.67</v>
      </c>
      <c r="CQ50" s="4">
        <v>200.0</v>
      </c>
      <c r="CR50" s="4"/>
      <c r="CS50" s="4">
        <v>333.33</v>
      </c>
      <c r="CT50" s="4">
        <v>0.0</v>
      </c>
      <c r="CU50" s="4">
        <v>333.33</v>
      </c>
      <c r="CV50" s="4"/>
      <c r="CW50" s="4">
        <v>530700.0</v>
      </c>
      <c r="CX50" s="4">
        <v>48766.67</v>
      </c>
      <c r="CY50" s="4"/>
      <c r="CZ50" s="4">
        <v>0.0</v>
      </c>
      <c r="DA50" s="4"/>
    </row>
    <row r="51">
      <c r="A51" s="4" t="s">
        <v>160</v>
      </c>
      <c r="B51" s="4" t="s">
        <v>161</v>
      </c>
      <c r="C51" s="5" t="s">
        <v>358</v>
      </c>
      <c r="D51" s="5" t="s">
        <v>362</v>
      </c>
      <c r="E51" s="4" t="s">
        <v>340</v>
      </c>
      <c r="F51" s="4" t="s">
        <v>110</v>
      </c>
      <c r="G51" s="4" t="s">
        <v>111</v>
      </c>
      <c r="H51" s="4" t="s">
        <v>149</v>
      </c>
      <c r="I51" s="4" t="s">
        <v>163</v>
      </c>
      <c r="J51" s="4" t="s">
        <v>363</v>
      </c>
      <c r="K51" s="4" t="s">
        <v>364</v>
      </c>
      <c r="L51" s="4">
        <v>-19.3602</v>
      </c>
      <c r="M51" s="4">
        <v>-65.1702</v>
      </c>
      <c r="N51" s="4">
        <v>0.625</v>
      </c>
      <c r="O51" s="4">
        <v>7.0</v>
      </c>
      <c r="P51" s="4">
        <v>790.0</v>
      </c>
      <c r="Q51" s="4">
        <v>174.2</v>
      </c>
      <c r="R51" s="4">
        <v>8.78</v>
      </c>
      <c r="S51" s="4">
        <v>-103.3</v>
      </c>
      <c r="T51" s="4">
        <v>1266.0</v>
      </c>
      <c r="U51" s="4">
        <v>0.6</v>
      </c>
      <c r="V51" s="4">
        <v>12.1</v>
      </c>
      <c r="W51" s="4">
        <v>8.93</v>
      </c>
      <c r="X51" s="4">
        <v>108.2</v>
      </c>
      <c r="Y51" s="4">
        <v>24.6</v>
      </c>
      <c r="Z51" s="4">
        <v>791.0</v>
      </c>
      <c r="AA51" s="4">
        <v>771.0</v>
      </c>
      <c r="AB51" s="4">
        <v>6.0</v>
      </c>
      <c r="AC51" s="4">
        <v>12.0</v>
      </c>
      <c r="AD51" s="4">
        <v>278.0</v>
      </c>
      <c r="AE51" s="4">
        <f>0.5*0.1</f>
        <v>0.05</v>
      </c>
      <c r="AF51" s="4">
        <v>140.0</v>
      </c>
      <c r="AG51" s="4">
        <v>225.5</v>
      </c>
      <c r="AH51" s="4">
        <v>158.7</v>
      </c>
      <c r="AI51" s="4">
        <v>57.79</v>
      </c>
      <c r="AJ51" s="4">
        <v>22.63</v>
      </c>
      <c r="AK51" s="4">
        <v>149.1</v>
      </c>
      <c r="AL51" s="4">
        <v>8.0</v>
      </c>
      <c r="AM51" s="4">
        <v>71.94</v>
      </c>
      <c r="AN51" s="4">
        <v>62.54</v>
      </c>
      <c r="AO51" s="4">
        <v>162.9</v>
      </c>
      <c r="AP51" s="4">
        <v>13.12</v>
      </c>
      <c r="AQ51" s="4">
        <v>0.49</v>
      </c>
      <c r="AR51" s="4">
        <v>0.18</v>
      </c>
      <c r="AS51" s="4">
        <v>0.26</v>
      </c>
      <c r="AT51" s="4">
        <v>0.04</v>
      </c>
      <c r="AU51" s="4">
        <v>9.62</v>
      </c>
      <c r="AV51" s="4">
        <v>9.94</v>
      </c>
      <c r="AW51" s="4">
        <v>9.0</v>
      </c>
      <c r="AX51" s="4">
        <v>7.0</v>
      </c>
      <c r="AY51" s="4">
        <v>10.0</v>
      </c>
      <c r="AZ51" s="4"/>
      <c r="BA51" s="4"/>
      <c r="BB51" s="4"/>
      <c r="BC51" s="4"/>
      <c r="BD51" s="4"/>
      <c r="BE51" s="4">
        <f t="shared" si="30"/>
        <v>5</v>
      </c>
      <c r="BF51" s="4">
        <f t="shared" si="121"/>
        <v>5</v>
      </c>
      <c r="BG51" s="4">
        <f t="shared" ref="BG51:BH51" si="188">0.5*50</f>
        <v>25</v>
      </c>
      <c r="BH51" s="4">
        <f t="shared" si="188"/>
        <v>25</v>
      </c>
      <c r="BI51" s="4">
        <f t="shared" si="7"/>
        <v>5</v>
      </c>
      <c r="BJ51" s="4">
        <f t="shared" ref="BJ51:BJ52" si="190">0.5*50</f>
        <v>25</v>
      </c>
      <c r="BK51" s="4">
        <v>1.0</v>
      </c>
      <c r="BL51" s="4">
        <f t="shared" ref="BL51:BL53" si="191">0.5*10</f>
        <v>5</v>
      </c>
      <c r="BM51" s="4">
        <v>68.0</v>
      </c>
      <c r="BN51" s="4">
        <v>14.0</v>
      </c>
      <c r="BO51" s="4">
        <f t="shared" ref="BO51:BO53" si="192">0.5*0.5</f>
        <v>0.25</v>
      </c>
      <c r="BP51" s="4">
        <f t="shared" ref="BP51:BP53" si="193">0.5*1</f>
        <v>0.5</v>
      </c>
      <c r="BQ51" s="4">
        <f t="shared" si="11"/>
        <v>2.5</v>
      </c>
      <c r="BR51" s="4">
        <f t="shared" si="12"/>
        <v>0.25</v>
      </c>
      <c r="BS51" s="4">
        <f t="shared" ref="BS51:BS53" si="194">0.5*100</f>
        <v>50</v>
      </c>
      <c r="BT51" s="4">
        <v>870.0</v>
      </c>
      <c r="BU51" s="4">
        <f t="shared" si="140"/>
        <v>0.5</v>
      </c>
      <c r="BV51" s="4">
        <f t="shared" si="145"/>
        <v>5</v>
      </c>
      <c r="BW51" s="4">
        <f t="shared" ref="BW51:BW52" si="195">0.5*50</f>
        <v>25</v>
      </c>
      <c r="BX51" s="4">
        <v>6.0</v>
      </c>
      <c r="BY51" s="4">
        <f t="shared" ref="BY51:BY52" si="196">0.5*10</f>
        <v>5</v>
      </c>
      <c r="BZ51" s="4">
        <v>202.0</v>
      </c>
      <c r="CA51" s="4">
        <v>20.0</v>
      </c>
      <c r="CB51" s="4">
        <v>0.5</v>
      </c>
      <c r="CC51" s="4">
        <v>3.0</v>
      </c>
      <c r="CD51" s="4">
        <f t="shared" si="88"/>
        <v>2.5</v>
      </c>
      <c r="CE51" s="4">
        <f t="shared" si="136"/>
        <v>0.25</v>
      </c>
      <c r="CF51" s="4">
        <v>881.0</v>
      </c>
      <c r="CG51" s="4">
        <v>992.0</v>
      </c>
      <c r="CH51" s="4">
        <f t="shared" si="168"/>
        <v>0.5</v>
      </c>
      <c r="CI51" s="4">
        <f t="shared" si="171"/>
        <v>0.025</v>
      </c>
      <c r="CJ51" s="4"/>
      <c r="CK51" s="4">
        <f t="shared" si="179"/>
        <v>0.0005</v>
      </c>
      <c r="CL51" s="4">
        <v>0.005</v>
      </c>
      <c r="CM51" s="4"/>
      <c r="CN51" s="4"/>
      <c r="CO51" s="4">
        <v>22333.33</v>
      </c>
      <c r="CP51" s="4"/>
      <c r="CQ51" s="4">
        <v>1000.0</v>
      </c>
      <c r="CR51" s="4"/>
      <c r="CS51" s="4">
        <v>20333.33</v>
      </c>
      <c r="CT51" s="4">
        <v>83.33</v>
      </c>
      <c r="CU51" s="4"/>
      <c r="CV51" s="4"/>
      <c r="CW51" s="4">
        <v>146833.33</v>
      </c>
      <c r="CX51" s="4"/>
      <c r="CY51" s="4"/>
      <c r="CZ51" s="4">
        <v>833.33</v>
      </c>
      <c r="DA51" s="4"/>
    </row>
    <row r="52">
      <c r="A52" s="4" t="s">
        <v>166</v>
      </c>
      <c r="B52" s="4" t="s">
        <v>167</v>
      </c>
      <c r="C52" s="5" t="s">
        <v>365</v>
      </c>
      <c r="D52" s="5" t="s">
        <v>366</v>
      </c>
      <c r="E52" s="4" t="s">
        <v>340</v>
      </c>
      <c r="F52" s="4" t="s">
        <v>110</v>
      </c>
      <c r="G52" s="4" t="s">
        <v>111</v>
      </c>
      <c r="H52" s="4" t="s">
        <v>149</v>
      </c>
      <c r="I52" s="4" t="s">
        <v>163</v>
      </c>
      <c r="J52" s="4" t="s">
        <v>367</v>
      </c>
      <c r="K52" s="4" t="s">
        <v>368</v>
      </c>
      <c r="L52" s="4">
        <v>-19.4077</v>
      </c>
      <c r="M52" s="4">
        <v>-64.8631</v>
      </c>
      <c r="N52" s="4">
        <v>0.532</v>
      </c>
      <c r="O52" s="4">
        <v>9.0</v>
      </c>
      <c r="P52" s="4">
        <v>774.0</v>
      </c>
      <c r="Q52" s="4">
        <v>199.6</v>
      </c>
      <c r="R52" s="4">
        <v>8.73</v>
      </c>
      <c r="S52" s="4">
        <v>-103.4</v>
      </c>
      <c r="T52" s="4">
        <v>1293.0</v>
      </c>
      <c r="U52" s="4">
        <v>0.6</v>
      </c>
      <c r="V52" s="4">
        <v>17.1</v>
      </c>
      <c r="W52" s="4">
        <v>9.48</v>
      </c>
      <c r="X52" s="4">
        <v>125.4</v>
      </c>
      <c r="Y52" s="4">
        <v>17.4</v>
      </c>
      <c r="Z52" s="4">
        <v>884.0</v>
      </c>
      <c r="AA52" s="4">
        <v>834.0</v>
      </c>
      <c r="AB52" s="4">
        <v>2.0</v>
      </c>
      <c r="AC52" s="4">
        <v>14.0</v>
      </c>
      <c r="AD52" s="4">
        <v>326.0</v>
      </c>
      <c r="AE52" s="4">
        <v>20.0</v>
      </c>
      <c r="AF52" s="4">
        <v>150.0</v>
      </c>
      <c r="AG52" s="4">
        <v>207.6</v>
      </c>
      <c r="AH52" s="4">
        <v>196.1</v>
      </c>
      <c r="AI52" s="4">
        <v>56.75</v>
      </c>
      <c r="AJ52" s="4">
        <v>25.95</v>
      </c>
      <c r="AK52" s="4">
        <v>135.5</v>
      </c>
      <c r="AL52" s="4">
        <v>9.04</v>
      </c>
      <c r="AM52" s="4">
        <v>60.12</v>
      </c>
      <c r="AN52" s="4">
        <v>54.3</v>
      </c>
      <c r="AO52" s="4">
        <v>168.4</v>
      </c>
      <c r="AP52" s="4">
        <v>11.79</v>
      </c>
      <c r="AQ52" s="4">
        <v>0.4</v>
      </c>
      <c r="AR52" s="4">
        <v>0.12</v>
      </c>
      <c r="AS52" s="4">
        <v>0.21</v>
      </c>
      <c r="AT52" s="4">
        <v>0.09</v>
      </c>
      <c r="AU52" s="4">
        <v>7.91</v>
      </c>
      <c r="AV52" s="4">
        <v>9.24</v>
      </c>
      <c r="AW52" s="4">
        <v>14.0</v>
      </c>
      <c r="AX52" s="4">
        <v>21.0</v>
      </c>
      <c r="AY52" s="4">
        <v>28.0</v>
      </c>
      <c r="AZ52" s="4"/>
      <c r="BA52" s="4"/>
      <c r="BB52" s="4"/>
      <c r="BC52" s="4"/>
      <c r="BD52" s="4"/>
      <c r="BE52" s="4">
        <f t="shared" si="30"/>
        <v>5</v>
      </c>
      <c r="BF52" s="4">
        <f t="shared" si="121"/>
        <v>5</v>
      </c>
      <c r="BG52" s="4">
        <f t="shared" ref="BG52:BH52" si="189">0.5*50</f>
        <v>25</v>
      </c>
      <c r="BH52" s="4">
        <f t="shared" si="189"/>
        <v>25</v>
      </c>
      <c r="BI52" s="4">
        <f t="shared" si="7"/>
        <v>5</v>
      </c>
      <c r="BJ52" s="4">
        <f t="shared" si="190"/>
        <v>25</v>
      </c>
      <c r="BK52" s="4">
        <v>1.0</v>
      </c>
      <c r="BL52" s="4">
        <f t="shared" si="191"/>
        <v>5</v>
      </c>
      <c r="BM52" s="4">
        <f>0.5*50</f>
        <v>25</v>
      </c>
      <c r="BN52" s="4">
        <v>20.0</v>
      </c>
      <c r="BO52" s="4">
        <f t="shared" si="192"/>
        <v>0.25</v>
      </c>
      <c r="BP52" s="4">
        <f t="shared" si="193"/>
        <v>0.5</v>
      </c>
      <c r="BQ52" s="4">
        <f t="shared" si="11"/>
        <v>2.5</v>
      </c>
      <c r="BR52" s="4">
        <f t="shared" si="12"/>
        <v>0.25</v>
      </c>
      <c r="BS52" s="4">
        <f t="shared" si="194"/>
        <v>50</v>
      </c>
      <c r="BT52" s="4">
        <v>688.0</v>
      </c>
      <c r="BU52" s="4">
        <f t="shared" si="140"/>
        <v>0.5</v>
      </c>
      <c r="BV52" s="4">
        <f t="shared" si="145"/>
        <v>5</v>
      </c>
      <c r="BW52" s="4">
        <f t="shared" si="195"/>
        <v>25</v>
      </c>
      <c r="BX52" s="4">
        <v>7.0</v>
      </c>
      <c r="BY52" s="4">
        <f t="shared" si="196"/>
        <v>5</v>
      </c>
      <c r="BZ52" s="4">
        <v>56.0</v>
      </c>
      <c r="CA52" s="4">
        <v>28.0</v>
      </c>
      <c r="CB52" s="4">
        <f>0.5*0.5</f>
        <v>0.25</v>
      </c>
      <c r="CC52" s="4">
        <v>1.0</v>
      </c>
      <c r="CD52" s="4">
        <f t="shared" si="88"/>
        <v>2.5</v>
      </c>
      <c r="CE52" s="4">
        <f t="shared" si="136"/>
        <v>0.25</v>
      </c>
      <c r="CF52" s="4">
        <v>412.0</v>
      </c>
      <c r="CG52" s="4">
        <v>1006.0</v>
      </c>
      <c r="CH52" s="4">
        <f t="shared" si="168"/>
        <v>0.5</v>
      </c>
      <c r="CI52" s="4">
        <f t="shared" si="171"/>
        <v>0.025</v>
      </c>
      <c r="CJ52" s="4"/>
      <c r="CK52" s="4">
        <f t="shared" si="179"/>
        <v>0.0005</v>
      </c>
      <c r="CL52" s="4">
        <v>0.017</v>
      </c>
      <c r="CM52" s="4"/>
      <c r="CN52" s="4"/>
      <c r="CO52" s="4">
        <v>28000.0</v>
      </c>
      <c r="CP52" s="4"/>
      <c r="CQ52" s="4">
        <v>4000.0</v>
      </c>
      <c r="CR52" s="4"/>
      <c r="CS52" s="4">
        <v>159000.0</v>
      </c>
      <c r="CT52" s="4"/>
      <c r="CU52" s="4"/>
      <c r="CV52" s="4"/>
      <c r="CW52" s="4">
        <v>206000.0</v>
      </c>
      <c r="CX52" s="4"/>
      <c r="CY52" s="4"/>
      <c r="CZ52" s="4">
        <v>3000.0</v>
      </c>
      <c r="DA52" s="4"/>
    </row>
    <row r="53">
      <c r="A53" s="4" t="s">
        <v>172</v>
      </c>
      <c r="B53" s="4" t="s">
        <v>173</v>
      </c>
      <c r="C53" s="5" t="s">
        <v>369</v>
      </c>
      <c r="D53" s="5" t="s">
        <v>370</v>
      </c>
      <c r="E53" s="4" t="s">
        <v>340</v>
      </c>
      <c r="F53" s="4" t="s">
        <v>110</v>
      </c>
      <c r="G53" s="4" t="s">
        <v>111</v>
      </c>
      <c r="H53" s="4" t="s">
        <v>149</v>
      </c>
      <c r="I53" s="4" t="s">
        <v>150</v>
      </c>
      <c r="J53" s="4" t="s">
        <v>371</v>
      </c>
      <c r="K53" s="4" t="s">
        <v>372</v>
      </c>
      <c r="L53" s="4">
        <v>-19.131</v>
      </c>
      <c r="M53" s="4">
        <v>-65.4506</v>
      </c>
      <c r="N53" s="4"/>
      <c r="O53" s="4"/>
      <c r="P53" s="4">
        <v>774.0</v>
      </c>
      <c r="Q53" s="4">
        <v>165.2</v>
      </c>
      <c r="R53" s="4">
        <v>8.53</v>
      </c>
      <c r="S53" s="4">
        <v>-90.53</v>
      </c>
      <c r="T53" s="4">
        <v>1292.0</v>
      </c>
      <c r="U53" s="4">
        <v>0.6</v>
      </c>
      <c r="V53" s="4">
        <v>14.4</v>
      </c>
      <c r="W53" s="4">
        <v>8.07</v>
      </c>
      <c r="X53" s="4">
        <v>107.5</v>
      </c>
      <c r="Y53" s="4">
        <v>63.6</v>
      </c>
      <c r="Z53" s="4">
        <v>899.0</v>
      </c>
      <c r="AA53" s="4">
        <v>806.0</v>
      </c>
      <c r="AB53" s="4">
        <v>50.0</v>
      </c>
      <c r="AC53" s="4">
        <v>18.0</v>
      </c>
      <c r="AD53" s="4">
        <v>258.0</v>
      </c>
      <c r="AE53" s="4">
        <f t="shared" ref="AE53:AE56" si="198">0.5*0.1</f>
        <v>0.05</v>
      </c>
      <c r="AF53" s="4">
        <v>130.0</v>
      </c>
      <c r="AG53" s="4">
        <v>246.6</v>
      </c>
      <c r="AH53" s="4">
        <v>164.3</v>
      </c>
      <c r="AI53" s="4">
        <v>54.32</v>
      </c>
      <c r="AJ53" s="4">
        <v>22.37</v>
      </c>
      <c r="AK53" s="4">
        <v>203.3</v>
      </c>
      <c r="AL53" s="4">
        <v>11.65</v>
      </c>
      <c r="AM53" s="4">
        <v>56.57</v>
      </c>
      <c r="AN53" s="4">
        <v>55.75</v>
      </c>
      <c r="AO53" s="4">
        <v>230.0</v>
      </c>
      <c r="AP53" s="4">
        <v>12.93</v>
      </c>
      <c r="AQ53" s="4">
        <v>0.46</v>
      </c>
      <c r="AR53" s="4">
        <v>0.28</v>
      </c>
      <c r="AS53" s="4">
        <v>2.09</v>
      </c>
      <c r="AT53" s="4">
        <v>0.48</v>
      </c>
      <c r="AU53" s="4">
        <v>12.2</v>
      </c>
      <c r="AV53" s="4">
        <v>15.54</v>
      </c>
      <c r="AW53" s="4">
        <v>10.0</v>
      </c>
      <c r="AX53" s="4">
        <v>12.0</v>
      </c>
      <c r="AY53" s="4">
        <v>15.0</v>
      </c>
      <c r="AZ53" s="4"/>
      <c r="BA53" s="4"/>
      <c r="BB53" s="4"/>
      <c r="BC53" s="4"/>
      <c r="BD53" s="4"/>
      <c r="BE53" s="4">
        <f t="shared" si="30"/>
        <v>5</v>
      </c>
      <c r="BF53" s="4">
        <f t="shared" si="121"/>
        <v>5</v>
      </c>
      <c r="BG53" s="4">
        <f t="shared" ref="BG53:BH53" si="197">0.5*50</f>
        <v>25</v>
      </c>
      <c r="BH53" s="4">
        <f t="shared" si="197"/>
        <v>25</v>
      </c>
      <c r="BI53" s="4">
        <f t="shared" si="7"/>
        <v>5</v>
      </c>
      <c r="BJ53" s="4">
        <v>132.0</v>
      </c>
      <c r="BK53" s="4">
        <v>2.0</v>
      </c>
      <c r="BL53" s="4">
        <f t="shared" si="191"/>
        <v>5</v>
      </c>
      <c r="BM53" s="4">
        <v>105.0</v>
      </c>
      <c r="BN53" s="4">
        <v>19.0</v>
      </c>
      <c r="BO53" s="4">
        <f t="shared" si="192"/>
        <v>0.25</v>
      </c>
      <c r="BP53" s="4">
        <f t="shared" si="193"/>
        <v>0.5</v>
      </c>
      <c r="BQ53" s="4">
        <f t="shared" si="11"/>
        <v>2.5</v>
      </c>
      <c r="BR53" s="4">
        <f t="shared" si="12"/>
        <v>0.25</v>
      </c>
      <c r="BS53" s="4">
        <f t="shared" si="194"/>
        <v>50</v>
      </c>
      <c r="BT53" s="4">
        <v>1099.0</v>
      </c>
      <c r="BU53" s="4">
        <f t="shared" si="140"/>
        <v>0.5</v>
      </c>
      <c r="BV53" s="4">
        <f t="shared" si="145"/>
        <v>5</v>
      </c>
      <c r="BW53" s="4">
        <v>183.0</v>
      </c>
      <c r="BX53" s="4">
        <v>8.0</v>
      </c>
      <c r="BY53" s="4">
        <v>24.0</v>
      </c>
      <c r="BZ53" s="4">
        <v>719.0</v>
      </c>
      <c r="CA53" s="4">
        <v>47.0</v>
      </c>
      <c r="CB53" s="4">
        <v>1.8</v>
      </c>
      <c r="CC53" s="4">
        <v>7.0</v>
      </c>
      <c r="CD53" s="4">
        <f t="shared" si="88"/>
        <v>2.5</v>
      </c>
      <c r="CE53" s="4">
        <f t="shared" si="136"/>
        <v>0.25</v>
      </c>
      <c r="CF53" s="4">
        <v>2313.0</v>
      </c>
      <c r="CG53" s="4">
        <v>1499.0</v>
      </c>
      <c r="CH53" s="4">
        <f t="shared" si="168"/>
        <v>0.5</v>
      </c>
      <c r="CI53" s="4">
        <f t="shared" si="171"/>
        <v>0.025</v>
      </c>
      <c r="CJ53" s="4"/>
      <c r="CK53" s="4">
        <f t="shared" si="179"/>
        <v>0.0005</v>
      </c>
      <c r="CL53" s="4">
        <v>0.006</v>
      </c>
      <c r="CM53" s="4"/>
      <c r="CN53" s="4"/>
      <c r="CO53" s="4">
        <v>12280.0</v>
      </c>
      <c r="CP53" s="4"/>
      <c r="CQ53" s="4">
        <v>560.0</v>
      </c>
      <c r="CR53" s="4"/>
      <c r="CS53" s="4">
        <v>8000.0</v>
      </c>
      <c r="CT53" s="4">
        <v>36.0</v>
      </c>
      <c r="CU53" s="4">
        <v>480.0</v>
      </c>
      <c r="CV53" s="4"/>
      <c r="CW53" s="4">
        <v>46260.0</v>
      </c>
      <c r="CX53" s="4">
        <v>1020.0</v>
      </c>
      <c r="CY53" s="4"/>
      <c r="CZ53" s="4">
        <v>120.0</v>
      </c>
      <c r="DA53" s="4"/>
    </row>
    <row r="54">
      <c r="A54" s="4" t="s">
        <v>184</v>
      </c>
      <c r="B54" s="4" t="s">
        <v>185</v>
      </c>
      <c r="C54" s="5" t="s">
        <v>373</v>
      </c>
      <c r="D54" s="5" t="s">
        <v>143</v>
      </c>
      <c r="E54" s="4" t="s">
        <v>340</v>
      </c>
      <c r="F54" s="4" t="s">
        <v>110</v>
      </c>
      <c r="G54" s="4" t="s">
        <v>111</v>
      </c>
      <c r="H54" s="4" t="s">
        <v>186</v>
      </c>
      <c r="I54" s="4" t="s">
        <v>150</v>
      </c>
      <c r="J54" s="4" t="s">
        <v>374</v>
      </c>
      <c r="K54" s="4" t="s">
        <v>375</v>
      </c>
      <c r="L54" s="4">
        <v>-19.5782</v>
      </c>
      <c r="M54" s="4">
        <v>-65.8033</v>
      </c>
      <c r="N54" s="4">
        <v>0.437</v>
      </c>
      <c r="O54" s="4">
        <v>0.0</v>
      </c>
      <c r="P54" s="4">
        <v>697.0</v>
      </c>
      <c r="Q54" s="4">
        <v>108.1</v>
      </c>
      <c r="R54" s="4">
        <v>8.014</v>
      </c>
      <c r="S54" s="4">
        <v>-62.3</v>
      </c>
      <c r="T54" s="4">
        <v>1434.0</v>
      </c>
      <c r="U54" s="4">
        <v>0.7</v>
      </c>
      <c r="V54" s="4">
        <v>13.8</v>
      </c>
      <c r="W54" s="4">
        <v>5.35</v>
      </c>
      <c r="X54" s="4">
        <v>79.2</v>
      </c>
      <c r="Y54" s="4">
        <v>473.0</v>
      </c>
      <c r="Z54" s="4">
        <v>4013.0</v>
      </c>
      <c r="AA54" s="4">
        <v>1650.0</v>
      </c>
      <c r="AB54" s="4">
        <v>2263.0</v>
      </c>
      <c r="AC54" s="4">
        <v>520.0</v>
      </c>
      <c r="AD54" s="4">
        <v>196.0</v>
      </c>
      <c r="AE54" s="4">
        <f t="shared" si="198"/>
        <v>0.05</v>
      </c>
      <c r="AF54" s="4">
        <v>270.0</v>
      </c>
      <c r="AG54" s="4">
        <v>117.2</v>
      </c>
      <c r="AH54" s="4">
        <v>284.4</v>
      </c>
      <c r="AI54" s="4">
        <v>60.01</v>
      </c>
      <c r="AJ54" s="4">
        <v>29.5</v>
      </c>
      <c r="AK54" s="4">
        <v>126.0</v>
      </c>
      <c r="AL54" s="4">
        <v>37.16</v>
      </c>
      <c r="AM54" s="4">
        <v>64.18</v>
      </c>
      <c r="AN54" s="4">
        <v>30.65</v>
      </c>
      <c r="AO54" s="4">
        <v>135.0</v>
      </c>
      <c r="AP54" s="4">
        <v>43.09</v>
      </c>
      <c r="AQ54" s="4">
        <v>0.8</v>
      </c>
      <c r="AR54" s="4">
        <v>0.3</v>
      </c>
      <c r="AS54" s="4">
        <v>61.1</v>
      </c>
      <c r="AT54" s="4">
        <f t="shared" ref="AT54:AT57" si="201">0.5*0.02</f>
        <v>0.01</v>
      </c>
      <c r="AU54" s="4">
        <v>13.43</v>
      </c>
      <c r="AV54" s="4">
        <v>11.34</v>
      </c>
      <c r="AW54" s="4">
        <v>103.0</v>
      </c>
      <c r="AX54" s="4">
        <v>240.0</v>
      </c>
      <c r="AY54" s="4">
        <v>342.0</v>
      </c>
      <c r="AZ54" s="4">
        <f t="shared" ref="AZ54:BA54" si="199">1.5*100000</f>
        <v>150000</v>
      </c>
      <c r="BA54" s="4">
        <f t="shared" si="199"/>
        <v>150000</v>
      </c>
      <c r="BB54" s="4"/>
      <c r="BC54" s="4"/>
      <c r="BD54" s="4">
        <v>40.0</v>
      </c>
      <c r="BE54" s="4">
        <f t="shared" si="30"/>
        <v>5</v>
      </c>
      <c r="BF54" s="4">
        <f t="shared" si="121"/>
        <v>5</v>
      </c>
      <c r="BG54" s="4">
        <f t="shared" ref="BG54:BH54" si="200">0.5*50</f>
        <v>25</v>
      </c>
      <c r="BH54" s="4">
        <f t="shared" si="200"/>
        <v>25</v>
      </c>
      <c r="BI54" s="4">
        <f t="shared" si="7"/>
        <v>5</v>
      </c>
      <c r="BJ54" s="4">
        <v>1487.0</v>
      </c>
      <c r="BK54" s="4">
        <v>18.0</v>
      </c>
      <c r="BL54" s="4">
        <v>12.0</v>
      </c>
      <c r="BM54" s="4">
        <v>3294.0</v>
      </c>
      <c r="BN54" s="4">
        <v>71.0</v>
      </c>
      <c r="BO54" s="4">
        <v>0.6</v>
      </c>
      <c r="BP54" s="4">
        <v>1.0</v>
      </c>
      <c r="BQ54" s="4">
        <f t="shared" si="11"/>
        <v>2.5</v>
      </c>
      <c r="BR54" s="4">
        <f t="shared" si="12"/>
        <v>0.25</v>
      </c>
      <c r="BS54" s="4">
        <v>7286.0</v>
      </c>
      <c r="BT54" s="4">
        <v>265.0</v>
      </c>
      <c r="BU54" s="4">
        <f t="shared" si="140"/>
        <v>0.5</v>
      </c>
      <c r="BV54" s="4">
        <f t="shared" si="145"/>
        <v>5</v>
      </c>
      <c r="BW54" s="4">
        <v>1588.0</v>
      </c>
      <c r="BX54" s="4">
        <v>18.0</v>
      </c>
      <c r="BY54" s="4">
        <v>147.0</v>
      </c>
      <c r="BZ54" s="4">
        <v>6755.0</v>
      </c>
      <c r="CA54" s="4">
        <v>157.0</v>
      </c>
      <c r="CB54" s="4">
        <v>16.8</v>
      </c>
      <c r="CC54" s="4">
        <v>85.0</v>
      </c>
      <c r="CD54" s="4">
        <f t="shared" si="88"/>
        <v>2.5</v>
      </c>
      <c r="CE54" s="4">
        <f t="shared" si="136"/>
        <v>0.25</v>
      </c>
      <c r="CF54" s="4">
        <v>15850.0</v>
      </c>
      <c r="CG54" s="4">
        <v>281.0</v>
      </c>
      <c r="CH54" s="4">
        <f t="shared" si="168"/>
        <v>0.5</v>
      </c>
      <c r="CI54" s="4">
        <f t="shared" si="171"/>
        <v>0.025</v>
      </c>
      <c r="CJ54" s="4"/>
      <c r="CK54" s="4">
        <v>0.08</v>
      </c>
      <c r="CL54" s="4">
        <v>0.11</v>
      </c>
      <c r="CM54" s="4"/>
      <c r="CN54" s="4"/>
      <c r="CO54" s="4">
        <v>1529.39</v>
      </c>
      <c r="CP54" s="4">
        <v>21.14</v>
      </c>
      <c r="CQ54" s="4">
        <v>38.0</v>
      </c>
      <c r="CR54" s="4"/>
      <c r="CS54" s="4">
        <v>7.07</v>
      </c>
      <c r="CT54" s="4">
        <v>7.16</v>
      </c>
      <c r="CU54" s="4">
        <v>59.66</v>
      </c>
      <c r="CV54" s="4"/>
      <c r="CW54" s="4">
        <v>3784.36</v>
      </c>
      <c r="CX54" s="4">
        <v>44.63</v>
      </c>
      <c r="CY54" s="4"/>
      <c r="CZ54" s="4">
        <v>0.0</v>
      </c>
      <c r="DA54" s="4"/>
    </row>
    <row r="55">
      <c r="A55" s="4" t="s">
        <v>178</v>
      </c>
      <c r="B55" s="4" t="s">
        <v>179</v>
      </c>
      <c r="C55" s="5" t="s">
        <v>373</v>
      </c>
      <c r="D55" s="5" t="s">
        <v>376</v>
      </c>
      <c r="E55" s="4" t="s">
        <v>340</v>
      </c>
      <c r="F55" s="4" t="s">
        <v>110</v>
      </c>
      <c r="G55" s="4" t="s">
        <v>111</v>
      </c>
      <c r="H55" s="4" t="s">
        <v>178</v>
      </c>
      <c r="I55" s="4" t="s">
        <v>150</v>
      </c>
      <c r="J55" s="4" t="s">
        <v>377</v>
      </c>
      <c r="K55" s="4" t="s">
        <v>378</v>
      </c>
      <c r="L55" s="4">
        <v>-19.4719</v>
      </c>
      <c r="M55" s="4">
        <v>-65.7943</v>
      </c>
      <c r="N55" s="4">
        <v>0.582</v>
      </c>
      <c r="O55" s="4">
        <v>1.0</v>
      </c>
      <c r="P55" s="4">
        <v>1104.0</v>
      </c>
      <c r="Q55" s="4">
        <v>125.0</v>
      </c>
      <c r="R55" s="4">
        <v>7.782</v>
      </c>
      <c r="S55" s="4">
        <v>-49.5</v>
      </c>
      <c r="T55" s="4">
        <v>905.0</v>
      </c>
      <c r="U55" s="4">
        <v>0.4</v>
      </c>
      <c r="V55" s="4">
        <v>13.0</v>
      </c>
      <c r="W55" s="4">
        <v>6.29</v>
      </c>
      <c r="X55" s="4">
        <v>89.0</v>
      </c>
      <c r="Y55" s="4">
        <v>90.4</v>
      </c>
      <c r="Z55" s="4">
        <v>575.0</v>
      </c>
      <c r="AA55" s="4">
        <v>427.0</v>
      </c>
      <c r="AB55" s="4">
        <v>49.0</v>
      </c>
      <c r="AC55" s="4">
        <v>39.0</v>
      </c>
      <c r="AD55" s="4">
        <v>268.0</v>
      </c>
      <c r="AE55" s="4">
        <f t="shared" si="198"/>
        <v>0.05</v>
      </c>
      <c r="AF55" s="4">
        <v>120.0</v>
      </c>
      <c r="AG55" s="4">
        <v>67.9</v>
      </c>
      <c r="AH55" s="4">
        <v>227.4</v>
      </c>
      <c r="AI55" s="4">
        <v>60.71</v>
      </c>
      <c r="AJ55" s="4">
        <v>8.62</v>
      </c>
      <c r="AK55" s="4">
        <v>47.91</v>
      </c>
      <c r="AL55" s="4">
        <v>13.72</v>
      </c>
      <c r="AM55" s="4">
        <v>61.53</v>
      </c>
      <c r="AN55" s="4">
        <v>8.82</v>
      </c>
      <c r="AO55" s="4">
        <v>72.74</v>
      </c>
      <c r="AP55" s="4">
        <v>16.45</v>
      </c>
      <c r="AQ55" s="4">
        <v>0.9</v>
      </c>
      <c r="AR55" s="4">
        <v>0.5</v>
      </c>
      <c r="AS55" s="4">
        <v>18.1</v>
      </c>
      <c r="AT55" s="4">
        <f t="shared" si="201"/>
        <v>0.01</v>
      </c>
      <c r="AU55" s="4">
        <v>8.02</v>
      </c>
      <c r="AV55" s="4">
        <v>12.74</v>
      </c>
      <c r="AW55" s="4">
        <v>22.0</v>
      </c>
      <c r="AX55" s="4">
        <v>45.0</v>
      </c>
      <c r="AY55" s="4">
        <v>58.0</v>
      </c>
      <c r="AZ55" s="4">
        <v>310.0</v>
      </c>
      <c r="BA55" s="4">
        <v>233.0</v>
      </c>
      <c r="BB55" s="4"/>
      <c r="BC55" s="4"/>
      <c r="BD55" s="4">
        <v>2.0</v>
      </c>
      <c r="BE55" s="4">
        <f t="shared" si="30"/>
        <v>5</v>
      </c>
      <c r="BF55" s="4">
        <f t="shared" si="121"/>
        <v>5</v>
      </c>
      <c r="BG55" s="4">
        <f t="shared" ref="BG55:BH55" si="202">0.5*50</f>
        <v>25</v>
      </c>
      <c r="BH55" s="4">
        <f t="shared" si="202"/>
        <v>25</v>
      </c>
      <c r="BI55" s="4">
        <f t="shared" si="7"/>
        <v>5</v>
      </c>
      <c r="BJ55" s="4">
        <v>684.0</v>
      </c>
      <c r="BK55" s="4">
        <v>9.0</v>
      </c>
      <c r="BL55" s="4">
        <v>12.0</v>
      </c>
      <c r="BM55" s="4">
        <v>1555.0</v>
      </c>
      <c r="BN55" s="4">
        <v>11.0</v>
      </c>
      <c r="BO55" s="4">
        <v>4.0</v>
      </c>
      <c r="BP55" s="4">
        <f t="shared" ref="BP55:BP68" si="204">0.5*1</f>
        <v>0.5</v>
      </c>
      <c r="BQ55" s="4">
        <f t="shared" si="11"/>
        <v>2.5</v>
      </c>
      <c r="BR55" s="4">
        <f t="shared" si="12"/>
        <v>0.25</v>
      </c>
      <c r="BS55" s="4">
        <f>0.5*100</f>
        <v>50</v>
      </c>
      <c r="BT55" s="4">
        <v>293.0</v>
      </c>
      <c r="BU55" s="4">
        <f t="shared" si="140"/>
        <v>0.5</v>
      </c>
      <c r="BV55" s="4">
        <f t="shared" si="145"/>
        <v>5</v>
      </c>
      <c r="BW55" s="4">
        <v>710.0</v>
      </c>
      <c r="BX55" s="4">
        <v>13.0</v>
      </c>
      <c r="BY55" s="4">
        <v>49.0</v>
      </c>
      <c r="BZ55" s="4">
        <v>1968.0</v>
      </c>
      <c r="CA55" s="4">
        <v>123.0</v>
      </c>
      <c r="CB55" s="4">
        <v>5.9</v>
      </c>
      <c r="CC55" s="4">
        <v>23.0</v>
      </c>
      <c r="CD55" s="4">
        <f t="shared" si="88"/>
        <v>2.5</v>
      </c>
      <c r="CE55" s="4">
        <f t="shared" si="136"/>
        <v>0.25</v>
      </c>
      <c r="CF55" s="4">
        <v>7429.0</v>
      </c>
      <c r="CG55" s="4">
        <v>368.0</v>
      </c>
      <c r="CH55" s="4">
        <f t="shared" si="168"/>
        <v>0.5</v>
      </c>
      <c r="CI55" s="4">
        <f t="shared" si="171"/>
        <v>0.025</v>
      </c>
      <c r="CJ55" s="4"/>
      <c r="CK55" s="4">
        <v>0.003</v>
      </c>
      <c r="CL55" s="4">
        <v>0.12</v>
      </c>
      <c r="CM55" s="4"/>
      <c r="CN55" s="4"/>
      <c r="CO55" s="4">
        <v>8428.57</v>
      </c>
      <c r="CP55" s="4">
        <v>189.39</v>
      </c>
      <c r="CQ55" s="4">
        <v>2285.71</v>
      </c>
      <c r="CR55" s="4"/>
      <c r="CS55" s="4">
        <v>1530.61</v>
      </c>
      <c r="CT55" s="4">
        <v>38.78</v>
      </c>
      <c r="CU55" s="4">
        <v>755.1</v>
      </c>
      <c r="CV55" s="4"/>
      <c r="CW55" s="4">
        <v>151612.24</v>
      </c>
      <c r="CX55" s="4">
        <v>530.61</v>
      </c>
      <c r="CY55" s="4"/>
      <c r="CZ55" s="4">
        <v>81.63</v>
      </c>
      <c r="DA55" s="4"/>
    </row>
    <row r="56">
      <c r="A56" s="4" t="s">
        <v>189</v>
      </c>
      <c r="B56" s="4" t="s">
        <v>190</v>
      </c>
      <c r="C56" s="5" t="s">
        <v>373</v>
      </c>
      <c r="D56" s="5" t="s">
        <v>259</v>
      </c>
      <c r="E56" s="4" t="s">
        <v>340</v>
      </c>
      <c r="F56" s="4" t="s">
        <v>110</v>
      </c>
      <c r="G56" s="4" t="s">
        <v>111</v>
      </c>
      <c r="H56" s="4" t="s">
        <v>192</v>
      </c>
      <c r="I56" s="4" t="s">
        <v>150</v>
      </c>
      <c r="J56" s="4" t="s">
        <v>379</v>
      </c>
      <c r="K56" s="4" t="s">
        <v>380</v>
      </c>
      <c r="L56" s="4">
        <v>-19.5977</v>
      </c>
      <c r="M56" s="4">
        <v>-65.7316</v>
      </c>
      <c r="N56" s="4"/>
      <c r="O56" s="4"/>
      <c r="P56" s="4">
        <v>4250.0</v>
      </c>
      <c r="Q56" s="4">
        <v>102.7</v>
      </c>
      <c r="R56" s="4">
        <v>7.7</v>
      </c>
      <c r="S56" s="4">
        <v>-43.8</v>
      </c>
      <c r="T56" s="4">
        <v>235.95</v>
      </c>
      <c r="U56" s="4">
        <v>0.0</v>
      </c>
      <c r="V56" s="4">
        <v>1.7</v>
      </c>
      <c r="W56" s="4">
        <v>6.81</v>
      </c>
      <c r="X56" s="4">
        <v>80.5</v>
      </c>
      <c r="Y56" s="4">
        <v>3.64</v>
      </c>
      <c r="Z56" s="4">
        <v>783.0</v>
      </c>
      <c r="AA56" s="4">
        <v>765.0</v>
      </c>
      <c r="AB56" s="4">
        <v>1.0</v>
      </c>
      <c r="AC56" s="4">
        <v>31.0</v>
      </c>
      <c r="AD56" s="4">
        <v>142.0</v>
      </c>
      <c r="AE56" s="4">
        <f t="shared" si="198"/>
        <v>0.05</v>
      </c>
      <c r="AF56" s="4">
        <v>110.0</v>
      </c>
      <c r="AG56" s="4">
        <v>9.7</v>
      </c>
      <c r="AH56" s="4">
        <v>12.8</v>
      </c>
      <c r="AI56" s="4">
        <v>27.4</v>
      </c>
      <c r="AJ56" s="4">
        <v>2.95</v>
      </c>
      <c r="AK56" s="4">
        <v>10.58</v>
      </c>
      <c r="AL56" s="4">
        <v>2.41</v>
      </c>
      <c r="AM56" s="4">
        <v>35.67</v>
      </c>
      <c r="AN56" s="4">
        <v>3.16</v>
      </c>
      <c r="AO56" s="4">
        <v>11.56</v>
      </c>
      <c r="AP56" s="4">
        <v>2.98</v>
      </c>
      <c r="AQ56" s="4">
        <v>0.2</v>
      </c>
      <c r="AR56" s="4">
        <v>0.1</v>
      </c>
      <c r="AS56" s="4">
        <v>0.2</v>
      </c>
      <c r="AT56" s="4">
        <f t="shared" si="201"/>
        <v>0.01</v>
      </c>
      <c r="AU56" s="4">
        <v>4.59</v>
      </c>
      <c r="AV56" s="4">
        <v>11.34</v>
      </c>
      <c r="AW56" s="4">
        <v>10.0</v>
      </c>
      <c r="AX56" s="4">
        <v>11.0</v>
      </c>
      <c r="AY56" s="4">
        <v>14.0</v>
      </c>
      <c r="AZ56" s="4">
        <v>0.0</v>
      </c>
      <c r="BA56" s="4">
        <v>0.0</v>
      </c>
      <c r="BB56" s="4"/>
      <c r="BC56" s="4"/>
      <c r="BD56" s="4">
        <v>0.0</v>
      </c>
      <c r="BE56" s="4">
        <f t="shared" si="30"/>
        <v>5</v>
      </c>
      <c r="BF56" s="4">
        <f t="shared" si="121"/>
        <v>5</v>
      </c>
      <c r="BG56" s="4">
        <f t="shared" ref="BG56:BH56" si="203">0.5*50</f>
        <v>25</v>
      </c>
      <c r="BH56" s="4">
        <f t="shared" si="203"/>
        <v>25</v>
      </c>
      <c r="BI56" s="4">
        <f t="shared" si="7"/>
        <v>5</v>
      </c>
      <c r="BJ56" s="4">
        <v>897.0</v>
      </c>
      <c r="BK56" s="4">
        <f>0.5*1</f>
        <v>0.5</v>
      </c>
      <c r="BL56" s="4">
        <f t="shared" ref="BL56:BL83" si="206">0.5*10</f>
        <v>5</v>
      </c>
      <c r="BM56" s="4">
        <f t="shared" ref="BM56:BM57" si="207">0.5*50</f>
        <v>25</v>
      </c>
      <c r="BN56" s="4">
        <v>4.0</v>
      </c>
      <c r="BO56" s="4">
        <f>0.5*0.5</f>
        <v>0.25</v>
      </c>
      <c r="BP56" s="4">
        <f t="shared" si="204"/>
        <v>0.5</v>
      </c>
      <c r="BQ56" s="4">
        <f t="shared" si="11"/>
        <v>2.5</v>
      </c>
      <c r="BR56" s="4">
        <f t="shared" si="12"/>
        <v>0.25</v>
      </c>
      <c r="BS56" s="4">
        <v>1364.0</v>
      </c>
      <c r="BT56" s="4">
        <v>175.0</v>
      </c>
      <c r="BU56" s="4">
        <f t="shared" si="140"/>
        <v>0.5</v>
      </c>
      <c r="BV56" s="4">
        <f t="shared" si="145"/>
        <v>5</v>
      </c>
      <c r="BW56" s="4">
        <v>950.0</v>
      </c>
      <c r="BX56" s="4">
        <f>0.5*1</f>
        <v>0.5</v>
      </c>
      <c r="BY56" s="4">
        <f>0.5*10</f>
        <v>5</v>
      </c>
      <c r="BZ56" s="4">
        <f>0.5*50</f>
        <v>25</v>
      </c>
      <c r="CA56" s="4">
        <v>5.0</v>
      </c>
      <c r="CB56" s="4">
        <f>0.5*0.5</f>
        <v>0.25</v>
      </c>
      <c r="CC56" s="4">
        <v>1.0</v>
      </c>
      <c r="CD56" s="4">
        <f t="shared" si="88"/>
        <v>2.5</v>
      </c>
      <c r="CE56" s="4">
        <f t="shared" si="136"/>
        <v>0.25</v>
      </c>
      <c r="CF56" s="4">
        <v>1788.0</v>
      </c>
      <c r="CG56" s="4">
        <v>187.0</v>
      </c>
      <c r="CH56" s="4">
        <f t="shared" si="168"/>
        <v>0.5</v>
      </c>
      <c r="CI56" s="4">
        <f t="shared" si="171"/>
        <v>0.025</v>
      </c>
      <c r="CJ56" s="4"/>
      <c r="CK56" s="4">
        <f t="shared" ref="CK56:CK60" si="208">0.5*0.001</f>
        <v>0.0005</v>
      </c>
      <c r="CL56" s="4"/>
      <c r="CM56" s="4"/>
      <c r="CN56" s="4"/>
      <c r="CO56" s="4"/>
      <c r="CP56" s="4"/>
      <c r="CQ56" s="4">
        <v>1000.0</v>
      </c>
      <c r="CR56" s="4"/>
      <c r="CS56" s="4">
        <v>12000.0</v>
      </c>
      <c r="CT56" s="4"/>
      <c r="CU56" s="4"/>
      <c r="CV56" s="4"/>
      <c r="CW56" s="4">
        <v>424000.0</v>
      </c>
      <c r="CX56" s="4">
        <v>53000.0</v>
      </c>
      <c r="CY56" s="4"/>
      <c r="CZ56" s="4"/>
      <c r="DA56" s="4"/>
    </row>
    <row r="57">
      <c r="A57" s="4" t="s">
        <v>195</v>
      </c>
      <c r="B57" s="4" t="s">
        <v>196</v>
      </c>
      <c r="C57" s="5" t="s">
        <v>381</v>
      </c>
      <c r="D57" s="5" t="s">
        <v>382</v>
      </c>
      <c r="E57" s="4" t="s">
        <v>340</v>
      </c>
      <c r="F57" s="4" t="s">
        <v>110</v>
      </c>
      <c r="G57" s="4" t="s">
        <v>111</v>
      </c>
      <c r="H57" s="4" t="s">
        <v>199</v>
      </c>
      <c r="J57" s="4" t="s">
        <v>383</v>
      </c>
      <c r="K57" s="4" t="s">
        <v>384</v>
      </c>
      <c r="L57" s="4">
        <v>-19.1473</v>
      </c>
      <c r="M57" s="4">
        <v>-65.5644</v>
      </c>
      <c r="N57" s="4">
        <v>0.677</v>
      </c>
      <c r="O57" s="4">
        <v>0.0</v>
      </c>
      <c r="P57" s="4">
        <v>1801.0</v>
      </c>
      <c r="Q57" s="4">
        <v>150.2</v>
      </c>
      <c r="R57" s="4">
        <v>8.55</v>
      </c>
      <c r="S57" s="4">
        <v>-94.4</v>
      </c>
      <c r="T57" s="4">
        <v>555.0</v>
      </c>
      <c r="U57" s="4">
        <v>0.2</v>
      </c>
      <c r="V57" s="4">
        <v>20.2</v>
      </c>
      <c r="W57" s="4">
        <v>6.57</v>
      </c>
      <c r="X57" s="4">
        <v>101.8</v>
      </c>
      <c r="Y57" s="4">
        <v>97.3</v>
      </c>
      <c r="Z57" s="4">
        <v>491.0</v>
      </c>
      <c r="AA57" s="4">
        <v>395.0</v>
      </c>
      <c r="AB57" s="4">
        <v>40.0</v>
      </c>
      <c r="AC57" s="4">
        <f>0.5*0.05</f>
        <v>0.025</v>
      </c>
      <c r="AD57" s="4">
        <v>284.0</v>
      </c>
      <c r="AE57" s="4">
        <v>30.0</v>
      </c>
      <c r="AF57" s="4">
        <v>150.0</v>
      </c>
      <c r="AG57" s="4">
        <v>5.9</v>
      </c>
      <c r="AH57" s="4">
        <v>166.2</v>
      </c>
      <c r="AI57" s="4">
        <v>34.08</v>
      </c>
      <c r="AJ57" s="4">
        <v>38.59</v>
      </c>
      <c r="AK57" s="4">
        <v>13.17</v>
      </c>
      <c r="AL57" s="4">
        <v>4.3</v>
      </c>
      <c r="AM57" s="4">
        <v>37.11</v>
      </c>
      <c r="AN57" s="4">
        <v>55.49</v>
      </c>
      <c r="AO57" s="4">
        <v>14.75</v>
      </c>
      <c r="AP57" s="4">
        <v>9.66</v>
      </c>
      <c r="AQ57" s="4">
        <v>0.2</v>
      </c>
      <c r="AR57" s="4">
        <f>0.5*0.1</f>
        <v>0.05</v>
      </c>
      <c r="AS57" s="4">
        <v>0.15</v>
      </c>
      <c r="AT57" s="4">
        <f t="shared" si="201"/>
        <v>0.01</v>
      </c>
      <c r="AU57" s="4">
        <v>3.12</v>
      </c>
      <c r="AV57" s="4">
        <v>10.64</v>
      </c>
      <c r="AW57" s="4">
        <v>8.0</v>
      </c>
      <c r="AX57" s="4">
        <v>6.0</v>
      </c>
      <c r="AY57" s="4">
        <v>8.0</v>
      </c>
      <c r="AZ57" s="4">
        <v>22.0</v>
      </c>
      <c r="BA57" s="4">
        <v>1.0</v>
      </c>
      <c r="BB57" s="4"/>
      <c r="BC57" s="4"/>
      <c r="BD57" s="4">
        <v>0.0</v>
      </c>
      <c r="BE57" s="4">
        <f t="shared" si="30"/>
        <v>5</v>
      </c>
      <c r="BF57" s="4">
        <f t="shared" si="121"/>
        <v>5</v>
      </c>
      <c r="BG57" s="4">
        <f t="shared" ref="BG57:BH57" si="205">0.5*50</f>
        <v>25</v>
      </c>
      <c r="BH57" s="4">
        <f t="shared" si="205"/>
        <v>25</v>
      </c>
      <c r="BI57" s="4">
        <f t="shared" si="7"/>
        <v>5</v>
      </c>
      <c r="BJ57" s="4">
        <v>840.0</v>
      </c>
      <c r="BK57" s="4">
        <v>3.0</v>
      </c>
      <c r="BL57" s="4">
        <f t="shared" si="206"/>
        <v>5</v>
      </c>
      <c r="BM57" s="4">
        <f t="shared" si="207"/>
        <v>25</v>
      </c>
      <c r="BN57" s="4">
        <f>0.5*1</f>
        <v>0.5</v>
      </c>
      <c r="BO57" s="4">
        <v>0.8</v>
      </c>
      <c r="BP57" s="4">
        <f t="shared" si="204"/>
        <v>0.5</v>
      </c>
      <c r="BQ57" s="4">
        <f t="shared" si="11"/>
        <v>2.5</v>
      </c>
      <c r="BR57" s="4">
        <f t="shared" si="12"/>
        <v>0.25</v>
      </c>
      <c r="BS57" s="4">
        <f t="shared" ref="BS57:BS64" si="210">0.5*100</f>
        <v>50</v>
      </c>
      <c r="BT57" s="4">
        <v>145.0</v>
      </c>
      <c r="BU57" s="4">
        <f t="shared" si="140"/>
        <v>0.5</v>
      </c>
      <c r="BV57" s="4">
        <f t="shared" si="145"/>
        <v>5</v>
      </c>
      <c r="BW57" s="4">
        <v>850.0</v>
      </c>
      <c r="BX57" s="4">
        <v>4.0</v>
      </c>
      <c r="BY57" s="4">
        <v>65.0</v>
      </c>
      <c r="BZ57" s="4">
        <v>306.0</v>
      </c>
      <c r="CA57" s="4">
        <v>2.0</v>
      </c>
      <c r="CB57" s="4">
        <v>2.4</v>
      </c>
      <c r="CC57" s="4">
        <v>2.0</v>
      </c>
      <c r="CD57" s="4">
        <f t="shared" si="88"/>
        <v>2.5</v>
      </c>
      <c r="CE57" s="4">
        <f t="shared" si="136"/>
        <v>0.25</v>
      </c>
      <c r="CF57" s="4">
        <v>4019.0</v>
      </c>
      <c r="CG57" s="4">
        <v>241.0</v>
      </c>
      <c r="CH57" s="4">
        <f t="shared" si="168"/>
        <v>0.5</v>
      </c>
      <c r="CI57" s="4">
        <f t="shared" si="171"/>
        <v>0.025</v>
      </c>
      <c r="CJ57" s="4"/>
      <c r="CK57" s="4">
        <f t="shared" si="208"/>
        <v>0.0005</v>
      </c>
      <c r="CL57" s="4">
        <v>0.006</v>
      </c>
      <c r="CM57" s="4"/>
      <c r="CN57" s="4"/>
      <c r="CO57" s="4">
        <v>7650.0</v>
      </c>
      <c r="CP57" s="4"/>
      <c r="CQ57" s="4">
        <v>50.0</v>
      </c>
      <c r="CR57" s="4"/>
      <c r="CS57" s="4">
        <v>2400.0</v>
      </c>
      <c r="CT57" s="4">
        <v>40.0</v>
      </c>
      <c r="CU57" s="4">
        <v>1625.0</v>
      </c>
      <c r="CV57" s="4"/>
      <c r="CW57" s="4">
        <v>100475.0</v>
      </c>
      <c r="CX57" s="4">
        <v>250.0</v>
      </c>
      <c r="CY57" s="4"/>
      <c r="CZ57" s="4">
        <v>25.0</v>
      </c>
      <c r="DA57" s="4"/>
    </row>
    <row r="58">
      <c r="A58" s="4" t="s">
        <v>202</v>
      </c>
      <c r="B58" s="4" t="s">
        <v>203</v>
      </c>
      <c r="C58" s="5" t="s">
        <v>381</v>
      </c>
      <c r="D58" s="5" t="s">
        <v>370</v>
      </c>
      <c r="E58" s="4" t="s">
        <v>340</v>
      </c>
      <c r="F58" s="4" t="s">
        <v>110</v>
      </c>
      <c r="G58" s="4" t="s">
        <v>111</v>
      </c>
      <c r="H58" s="4" t="s">
        <v>149</v>
      </c>
      <c r="J58" s="4" t="s">
        <v>385</v>
      </c>
      <c r="K58" s="4" t="s">
        <v>386</v>
      </c>
      <c r="L58" s="4">
        <v>-19.1326</v>
      </c>
      <c r="M58" s="4">
        <v>-65.5722</v>
      </c>
      <c r="N58" s="4">
        <v>0.781</v>
      </c>
      <c r="O58" s="4">
        <v>5.0</v>
      </c>
      <c r="P58" s="4">
        <v>992.0</v>
      </c>
      <c r="Q58" s="4">
        <v>159.0</v>
      </c>
      <c r="R58" s="4">
        <v>8.43</v>
      </c>
      <c r="S58" s="4">
        <v>-84.9</v>
      </c>
      <c r="T58" s="4">
        <v>1008.0</v>
      </c>
      <c r="U58" s="4">
        <v>0.4</v>
      </c>
      <c r="V58" s="4">
        <v>12.1</v>
      </c>
      <c r="W58" s="4">
        <v>8.2</v>
      </c>
      <c r="X58" s="4">
        <v>105.4</v>
      </c>
      <c r="Y58" s="4">
        <v>57.9</v>
      </c>
      <c r="Z58" s="4">
        <v>695.0</v>
      </c>
      <c r="AA58" s="4">
        <v>608.0</v>
      </c>
      <c r="AB58" s="4">
        <v>40.0</v>
      </c>
      <c r="AC58" s="4">
        <v>22.0</v>
      </c>
      <c r="AD58" s="4">
        <v>192.0</v>
      </c>
      <c r="AE58" s="4">
        <f>0.5*0.1</f>
        <v>0.05</v>
      </c>
      <c r="AF58" s="4">
        <v>135.0</v>
      </c>
      <c r="AG58" s="4">
        <v>333.4</v>
      </c>
      <c r="AH58" s="4">
        <v>111.7</v>
      </c>
      <c r="AI58" s="4">
        <v>30.45</v>
      </c>
      <c r="AJ58" s="4">
        <v>16.04</v>
      </c>
      <c r="AK58" s="4">
        <v>143.2</v>
      </c>
      <c r="AL58" s="4">
        <v>8.0</v>
      </c>
      <c r="AM58" s="4">
        <v>39.8</v>
      </c>
      <c r="AN58" s="4">
        <v>17.59</v>
      </c>
      <c r="AO58" s="4">
        <v>230.0</v>
      </c>
      <c r="AP58" s="4">
        <v>15.64</v>
      </c>
      <c r="AQ58" s="4">
        <v>0.6</v>
      </c>
      <c r="AR58" s="4">
        <v>0.5</v>
      </c>
      <c r="AS58" s="4">
        <v>2.61</v>
      </c>
      <c r="AT58" s="4">
        <v>1.2</v>
      </c>
      <c r="AU58" s="4">
        <v>15.63</v>
      </c>
      <c r="AV58" s="4">
        <v>9.94</v>
      </c>
      <c r="AW58" s="4">
        <v>9.0</v>
      </c>
      <c r="AX58" s="4">
        <v>8.0</v>
      </c>
      <c r="AY58" s="4">
        <v>10.0</v>
      </c>
      <c r="AZ58" s="4">
        <v>0.0</v>
      </c>
      <c r="BA58" s="4">
        <v>0.0</v>
      </c>
      <c r="BB58" s="4"/>
      <c r="BC58" s="4"/>
      <c r="BD58" s="4">
        <v>0.0</v>
      </c>
      <c r="BE58" s="4">
        <f t="shared" si="30"/>
        <v>5</v>
      </c>
      <c r="BF58" s="4">
        <f t="shared" si="121"/>
        <v>5</v>
      </c>
      <c r="BG58" s="4">
        <f t="shared" ref="BG58:BH58" si="209">0.5*50</f>
        <v>25</v>
      </c>
      <c r="BH58" s="4">
        <f t="shared" si="209"/>
        <v>25</v>
      </c>
      <c r="BI58" s="4">
        <f t="shared" si="7"/>
        <v>5</v>
      </c>
      <c r="BJ58" s="4">
        <v>232.0</v>
      </c>
      <c r="BK58" s="4">
        <v>3.0</v>
      </c>
      <c r="BL58" s="4">
        <f t="shared" si="206"/>
        <v>5</v>
      </c>
      <c r="BM58" s="4">
        <v>144.0</v>
      </c>
      <c r="BN58" s="4">
        <v>25.0</v>
      </c>
      <c r="BO58" s="4">
        <f t="shared" ref="BO58:BO83" si="212">0.5*0.5</f>
        <v>0.25</v>
      </c>
      <c r="BP58" s="4">
        <f t="shared" si="204"/>
        <v>0.5</v>
      </c>
      <c r="BQ58" s="4">
        <f t="shared" si="11"/>
        <v>2.5</v>
      </c>
      <c r="BR58" s="4">
        <f t="shared" si="12"/>
        <v>0.25</v>
      </c>
      <c r="BS58" s="4">
        <f t="shared" si="210"/>
        <v>50</v>
      </c>
      <c r="BT58" s="4">
        <v>1835.0</v>
      </c>
      <c r="BU58" s="4">
        <f t="shared" si="140"/>
        <v>0.5</v>
      </c>
      <c r="BV58" s="4">
        <f t="shared" si="145"/>
        <v>5</v>
      </c>
      <c r="BW58" s="4">
        <v>268.0</v>
      </c>
      <c r="BX58" s="4">
        <v>10.0</v>
      </c>
      <c r="BY58" s="4">
        <v>12.0</v>
      </c>
      <c r="BZ58" s="4">
        <v>576.0</v>
      </c>
      <c r="CA58" s="4">
        <v>54.0</v>
      </c>
      <c r="CB58" s="4">
        <v>1.8</v>
      </c>
      <c r="CC58" s="4">
        <v>8.0</v>
      </c>
      <c r="CD58" s="4">
        <f t="shared" si="88"/>
        <v>2.5</v>
      </c>
      <c r="CE58" s="4">
        <f t="shared" si="136"/>
        <v>0.25</v>
      </c>
      <c r="CF58" s="4">
        <v>1941.0</v>
      </c>
      <c r="CG58" s="4">
        <v>2368.0</v>
      </c>
      <c r="CH58" s="4">
        <f t="shared" si="168"/>
        <v>0.5</v>
      </c>
      <c r="CI58" s="4">
        <f t="shared" si="171"/>
        <v>0.025</v>
      </c>
      <c r="CJ58" s="4"/>
      <c r="CK58" s="4">
        <f t="shared" si="208"/>
        <v>0.0005</v>
      </c>
      <c r="CL58" s="4">
        <v>0.031</v>
      </c>
      <c r="CM58" s="4"/>
      <c r="CN58" s="4"/>
      <c r="CO58" s="4">
        <v>10800.0</v>
      </c>
      <c r="CP58" s="4">
        <v>0.0</v>
      </c>
      <c r="CQ58" s="4">
        <v>725.0</v>
      </c>
      <c r="CR58" s="4"/>
      <c r="CS58" s="4">
        <v>13325.0</v>
      </c>
      <c r="CT58" s="4">
        <v>45.0</v>
      </c>
      <c r="CU58" s="4">
        <v>300.0</v>
      </c>
      <c r="CV58" s="4"/>
      <c r="CW58" s="4">
        <v>48525.0</v>
      </c>
      <c r="CX58" s="4">
        <v>900.0</v>
      </c>
      <c r="CY58" s="4"/>
      <c r="CZ58" s="4">
        <v>175.0</v>
      </c>
      <c r="DA58" s="4"/>
    </row>
    <row r="59">
      <c r="A59" s="4" t="s">
        <v>207</v>
      </c>
      <c r="B59" s="4" t="s">
        <v>208</v>
      </c>
      <c r="C59" s="5" t="s">
        <v>387</v>
      </c>
      <c r="D59" s="5" t="s">
        <v>388</v>
      </c>
      <c r="E59" s="4" t="s">
        <v>340</v>
      </c>
      <c r="F59" s="4" t="s">
        <v>110</v>
      </c>
      <c r="G59" s="4" t="s">
        <v>111</v>
      </c>
      <c r="H59" s="4" t="s">
        <v>141</v>
      </c>
      <c r="I59" s="4" t="s">
        <v>138</v>
      </c>
      <c r="J59" s="4" t="s">
        <v>389</v>
      </c>
      <c r="K59" s="4" t="s">
        <v>390</v>
      </c>
      <c r="L59" s="4">
        <v>-20.7423</v>
      </c>
      <c r="M59" s="4">
        <v>-65.2404</v>
      </c>
      <c r="N59" s="4">
        <v>0.471</v>
      </c>
      <c r="O59" s="4">
        <v>5.0</v>
      </c>
      <c r="P59" s="4">
        <v>837.0</v>
      </c>
      <c r="Q59" s="4">
        <v>155.8</v>
      </c>
      <c r="R59" s="4">
        <v>8.56</v>
      </c>
      <c r="S59" s="4">
        <v>-92.7</v>
      </c>
      <c r="T59" s="4">
        <v>1196.0</v>
      </c>
      <c r="U59" s="4">
        <v>0.5</v>
      </c>
      <c r="V59" s="4">
        <v>14.9</v>
      </c>
      <c r="W59" s="4">
        <v>7.55</v>
      </c>
      <c r="X59" s="4">
        <v>98.65</v>
      </c>
      <c r="Y59" s="4">
        <v>43.42</v>
      </c>
      <c r="Z59" s="4">
        <v>1046.0</v>
      </c>
      <c r="AA59" s="4">
        <v>1005.0</v>
      </c>
      <c r="AB59" s="4">
        <v>16.0</v>
      </c>
      <c r="AC59" s="4">
        <v>12.0</v>
      </c>
      <c r="AD59" s="4">
        <v>362.0</v>
      </c>
      <c r="AE59" s="4">
        <v>20.0</v>
      </c>
      <c r="AF59" s="4">
        <v>130.0</v>
      </c>
      <c r="AG59" s="4">
        <v>46.9</v>
      </c>
      <c r="AH59" s="4">
        <v>504.4</v>
      </c>
      <c r="AI59" s="4">
        <v>60.79</v>
      </c>
      <c r="AJ59" s="4">
        <v>73.55</v>
      </c>
      <c r="AK59" s="4">
        <v>51.9</v>
      </c>
      <c r="AL59" s="4">
        <v>8.05</v>
      </c>
      <c r="AM59" s="4">
        <v>63.31</v>
      </c>
      <c r="AN59" s="4">
        <v>84.39</v>
      </c>
      <c r="AO59" s="4">
        <v>112.2</v>
      </c>
      <c r="AP59" s="4">
        <v>13.83</v>
      </c>
      <c r="AQ59" s="4">
        <v>0.4</v>
      </c>
      <c r="AR59" s="4">
        <v>0.2</v>
      </c>
      <c r="AS59" s="4">
        <v>0.3</v>
      </c>
      <c r="AT59" s="4">
        <f t="shared" ref="AT59:AT60" si="213">0.5*0.02</f>
        <v>0.01</v>
      </c>
      <c r="AU59" s="4">
        <v>6.43</v>
      </c>
      <c r="AV59" s="4">
        <v>12.74</v>
      </c>
      <c r="AW59" s="4">
        <v>7.0</v>
      </c>
      <c r="AX59" s="4">
        <f t="shared" ref="AX59:AX60" si="214">0.5*5</f>
        <v>2.5</v>
      </c>
      <c r="AY59" s="4">
        <v>3.0</v>
      </c>
      <c r="AZ59" s="4">
        <v>60.0</v>
      </c>
      <c r="BA59" s="4">
        <v>20.0</v>
      </c>
      <c r="BB59" s="4"/>
      <c r="BC59" s="4"/>
      <c r="BD59" s="4">
        <v>10.0</v>
      </c>
      <c r="BE59" s="4">
        <f t="shared" si="30"/>
        <v>5</v>
      </c>
      <c r="BF59" s="4">
        <f t="shared" si="121"/>
        <v>5</v>
      </c>
      <c r="BG59" s="4">
        <f t="shared" ref="BG59:BH59" si="211">0.5*50</f>
        <v>25</v>
      </c>
      <c r="BH59" s="4">
        <f t="shared" si="211"/>
        <v>25</v>
      </c>
      <c r="BI59" s="4">
        <f t="shared" si="7"/>
        <v>5</v>
      </c>
      <c r="BJ59" s="4">
        <f t="shared" ref="BJ59:BJ70" si="216">0.5*50</f>
        <v>25</v>
      </c>
      <c r="BK59" s="4">
        <v>2.0</v>
      </c>
      <c r="BL59" s="4">
        <f t="shared" si="206"/>
        <v>5</v>
      </c>
      <c r="BM59" s="4">
        <f t="shared" ref="BM59:BM83" si="217">0.5*50</f>
        <v>25</v>
      </c>
      <c r="BN59" s="4">
        <v>3.0</v>
      </c>
      <c r="BO59" s="4">
        <f t="shared" si="212"/>
        <v>0.25</v>
      </c>
      <c r="BP59" s="4">
        <f t="shared" si="204"/>
        <v>0.5</v>
      </c>
      <c r="BQ59" s="4">
        <f t="shared" si="11"/>
        <v>2.5</v>
      </c>
      <c r="BR59" s="4">
        <f t="shared" si="12"/>
        <v>0.25</v>
      </c>
      <c r="BS59" s="4">
        <f t="shared" si="210"/>
        <v>50</v>
      </c>
      <c r="BT59" s="4">
        <v>1470.0</v>
      </c>
      <c r="BU59" s="4">
        <f t="shared" si="140"/>
        <v>0.5</v>
      </c>
      <c r="BV59" s="4">
        <f t="shared" si="145"/>
        <v>5</v>
      </c>
      <c r="BW59" s="4">
        <v>95.0</v>
      </c>
      <c r="BX59" s="4">
        <v>5.0</v>
      </c>
      <c r="BY59" s="4">
        <f t="shared" ref="BY59:BY63" si="218">0.5*10</f>
        <v>5</v>
      </c>
      <c r="BZ59" s="4">
        <f t="shared" ref="BZ59:BZ67" si="219">0.5*50</f>
        <v>25</v>
      </c>
      <c r="CA59" s="4">
        <v>5.0</v>
      </c>
      <c r="CB59" s="4">
        <f t="shared" ref="CB59:CB73" si="220">0.5*0.5</f>
        <v>0.25</v>
      </c>
      <c r="CC59" s="4">
        <f>0.5*1</f>
        <v>0.5</v>
      </c>
      <c r="CD59" s="4">
        <f t="shared" si="88"/>
        <v>2.5</v>
      </c>
      <c r="CE59" s="4">
        <f t="shared" si="136"/>
        <v>0.25</v>
      </c>
      <c r="CF59" s="4">
        <v>923.0</v>
      </c>
      <c r="CG59" s="4">
        <v>1622.0</v>
      </c>
      <c r="CH59" s="4">
        <f t="shared" si="168"/>
        <v>0.5</v>
      </c>
      <c r="CI59" s="4">
        <f t="shared" si="171"/>
        <v>0.025</v>
      </c>
      <c r="CJ59" s="4"/>
      <c r="CK59" s="4">
        <f t="shared" si="208"/>
        <v>0.0005</v>
      </c>
      <c r="CL59" s="4">
        <v>0.024</v>
      </c>
      <c r="CM59" s="4"/>
      <c r="CN59" s="4"/>
      <c r="CO59" s="4"/>
      <c r="CP59" s="4"/>
      <c r="CQ59" s="4">
        <v>125.0</v>
      </c>
      <c r="CR59" s="4"/>
      <c r="CS59" s="4">
        <v>9500.0</v>
      </c>
      <c r="CT59" s="4"/>
      <c r="CU59" s="4"/>
      <c r="CV59" s="4"/>
      <c r="CW59" s="4">
        <v>57687.5</v>
      </c>
      <c r="CX59" s="4">
        <v>5937.5</v>
      </c>
      <c r="CY59" s="4"/>
      <c r="CZ59" s="4">
        <v>187.5</v>
      </c>
      <c r="DA59" s="4"/>
    </row>
    <row r="60">
      <c r="A60" s="4" t="s">
        <v>213</v>
      </c>
      <c r="B60" s="4" t="s">
        <v>214</v>
      </c>
      <c r="C60" s="5" t="s">
        <v>387</v>
      </c>
      <c r="D60" s="5" t="s">
        <v>391</v>
      </c>
      <c r="E60" s="4" t="s">
        <v>340</v>
      </c>
      <c r="F60" s="4" t="s">
        <v>110</v>
      </c>
      <c r="G60" s="4" t="s">
        <v>111</v>
      </c>
      <c r="H60" s="4" t="s">
        <v>125</v>
      </c>
      <c r="I60" s="4" t="s">
        <v>112</v>
      </c>
      <c r="J60" s="4" t="s">
        <v>392</v>
      </c>
      <c r="K60" s="4" t="s">
        <v>393</v>
      </c>
      <c r="L60" s="4">
        <v>-21.2396</v>
      </c>
      <c r="M60" s="4">
        <v>-65.2086</v>
      </c>
      <c r="N60" s="4">
        <v>0.575</v>
      </c>
      <c r="O60" s="4">
        <v>4.0</v>
      </c>
      <c r="P60" s="4">
        <v>756.0</v>
      </c>
      <c r="Q60" s="4">
        <v>175.8</v>
      </c>
      <c r="R60" s="4">
        <v>8.53</v>
      </c>
      <c r="S60" s="4">
        <v>-92.55</v>
      </c>
      <c r="T60" s="4">
        <v>1318.0</v>
      </c>
      <c r="U60" s="4">
        <v>0.6</v>
      </c>
      <c r="V60" s="4">
        <v>17.9</v>
      </c>
      <c r="W60" s="4">
        <v>8.02</v>
      </c>
      <c r="X60" s="4">
        <v>111.7</v>
      </c>
      <c r="Y60" s="4">
        <v>21.59</v>
      </c>
      <c r="Z60" s="4">
        <v>1169.0</v>
      </c>
      <c r="AA60" s="4">
        <v>1137.0</v>
      </c>
      <c r="AB60" s="4">
        <v>18.0</v>
      </c>
      <c r="AC60" s="4">
        <v>9.0</v>
      </c>
      <c r="AD60" s="4">
        <v>446.0</v>
      </c>
      <c r="AE60" s="4">
        <v>20.0</v>
      </c>
      <c r="AF60" s="4">
        <v>155.0</v>
      </c>
      <c r="AG60" s="4">
        <v>68.6</v>
      </c>
      <c r="AH60" s="4">
        <v>468.9</v>
      </c>
      <c r="AI60" s="4">
        <v>88.85</v>
      </c>
      <c r="AJ60" s="4">
        <v>88.55</v>
      </c>
      <c r="AK60" s="4">
        <v>108.3</v>
      </c>
      <c r="AL60" s="4">
        <v>8.33</v>
      </c>
      <c r="AM60" s="4">
        <v>94.25</v>
      </c>
      <c r="AN60" s="4">
        <v>92.99</v>
      </c>
      <c r="AO60" s="4">
        <v>112.95</v>
      </c>
      <c r="AP60" s="4">
        <v>14.21</v>
      </c>
      <c r="AQ60" s="4">
        <v>0.7</v>
      </c>
      <c r="AR60" s="4">
        <v>0.2</v>
      </c>
      <c r="AS60" s="4">
        <v>0.3</v>
      </c>
      <c r="AT60" s="4">
        <f t="shared" si="213"/>
        <v>0.01</v>
      </c>
      <c r="AU60" s="4">
        <v>5.57</v>
      </c>
      <c r="AV60" s="4">
        <v>11.34</v>
      </c>
      <c r="AW60" s="4">
        <v>7.0</v>
      </c>
      <c r="AX60" s="4">
        <f t="shared" si="214"/>
        <v>2.5</v>
      </c>
      <c r="AY60" s="4">
        <v>4.0</v>
      </c>
      <c r="AZ60" s="4">
        <v>80.0</v>
      </c>
      <c r="BA60" s="4">
        <v>16.0</v>
      </c>
      <c r="BB60" s="4"/>
      <c r="BC60" s="4"/>
      <c r="BD60" s="4">
        <v>0.0</v>
      </c>
      <c r="BE60" s="4">
        <f t="shared" si="30"/>
        <v>5</v>
      </c>
      <c r="BF60" s="4">
        <f t="shared" si="121"/>
        <v>5</v>
      </c>
      <c r="BG60" s="4">
        <f t="shared" ref="BG60:BH60" si="215">0.5*50</f>
        <v>25</v>
      </c>
      <c r="BH60" s="4">
        <f t="shared" si="215"/>
        <v>25</v>
      </c>
      <c r="BI60" s="4">
        <f t="shared" si="7"/>
        <v>5</v>
      </c>
      <c r="BJ60" s="4">
        <f t="shared" si="216"/>
        <v>25</v>
      </c>
      <c r="BK60" s="4">
        <v>1.0</v>
      </c>
      <c r="BL60" s="4">
        <f t="shared" si="206"/>
        <v>5</v>
      </c>
      <c r="BM60" s="4">
        <f t="shared" si="217"/>
        <v>25</v>
      </c>
      <c r="BN60" s="4">
        <v>4.0</v>
      </c>
      <c r="BO60" s="4">
        <f t="shared" si="212"/>
        <v>0.25</v>
      </c>
      <c r="BP60" s="4">
        <f t="shared" si="204"/>
        <v>0.5</v>
      </c>
      <c r="BQ60" s="4">
        <f t="shared" si="11"/>
        <v>2.5</v>
      </c>
      <c r="BR60" s="4">
        <f t="shared" si="12"/>
        <v>0.25</v>
      </c>
      <c r="BS60" s="4">
        <f t="shared" si="210"/>
        <v>50</v>
      </c>
      <c r="BT60" s="4">
        <v>2002.0</v>
      </c>
      <c r="BU60" s="4">
        <f t="shared" si="140"/>
        <v>0.5</v>
      </c>
      <c r="BV60" s="4">
        <f t="shared" si="145"/>
        <v>5</v>
      </c>
      <c r="BW60" s="4">
        <f t="shared" ref="BW60:BW63" si="223">0.5*50</f>
        <v>25</v>
      </c>
      <c r="BX60" s="4">
        <v>7.0</v>
      </c>
      <c r="BY60" s="4">
        <f t="shared" si="218"/>
        <v>5</v>
      </c>
      <c r="BZ60" s="4">
        <f t="shared" si="219"/>
        <v>25</v>
      </c>
      <c r="CA60" s="4">
        <v>5.0</v>
      </c>
      <c r="CB60" s="4">
        <f t="shared" si="220"/>
        <v>0.25</v>
      </c>
      <c r="CC60" s="4">
        <v>2.0</v>
      </c>
      <c r="CD60" s="4">
        <f t="shared" si="88"/>
        <v>2.5</v>
      </c>
      <c r="CE60" s="4">
        <f t="shared" si="136"/>
        <v>0.25</v>
      </c>
      <c r="CF60" s="4">
        <v>549.0</v>
      </c>
      <c r="CG60" s="4">
        <v>2376.0</v>
      </c>
      <c r="CH60" s="4">
        <f t="shared" si="168"/>
        <v>0.5</v>
      </c>
      <c r="CI60" s="4">
        <f t="shared" si="171"/>
        <v>0.025</v>
      </c>
      <c r="CJ60" s="4"/>
      <c r="CK60" s="4">
        <f t="shared" si="208"/>
        <v>0.0005</v>
      </c>
      <c r="CL60" s="4">
        <v>0.023</v>
      </c>
      <c r="CM60" s="4"/>
      <c r="CN60" s="4"/>
      <c r="CO60" s="4"/>
      <c r="CP60" s="4"/>
      <c r="CQ60" s="4">
        <v>55.56</v>
      </c>
      <c r="CR60" s="4"/>
      <c r="CS60" s="4">
        <v>20777.78</v>
      </c>
      <c r="CT60" s="4"/>
      <c r="CU60" s="4"/>
      <c r="CV60" s="4"/>
      <c r="CW60" s="4">
        <v>30500.0</v>
      </c>
      <c r="CX60" s="4"/>
      <c r="CY60" s="4"/>
      <c r="CZ60" s="4">
        <v>333.33</v>
      </c>
      <c r="DA60" s="4"/>
    </row>
    <row r="61">
      <c r="A61" s="4" t="s">
        <v>218</v>
      </c>
      <c r="B61" s="4" t="s">
        <v>219</v>
      </c>
      <c r="C61" s="5" t="s">
        <v>394</v>
      </c>
      <c r="D61" s="5" t="s">
        <v>395</v>
      </c>
      <c r="E61" s="4" t="s">
        <v>396</v>
      </c>
      <c r="F61" s="4" t="s">
        <v>110</v>
      </c>
      <c r="G61" s="4" t="s">
        <v>111</v>
      </c>
      <c r="H61" s="4" t="s">
        <v>222</v>
      </c>
      <c r="I61" s="4" t="s">
        <v>223</v>
      </c>
      <c r="J61" s="4" t="s">
        <v>397</v>
      </c>
      <c r="K61" s="4" t="s">
        <v>398</v>
      </c>
      <c r="L61" s="4">
        <v>-21.1542</v>
      </c>
      <c r="M61" s="4">
        <v>-64.2309</v>
      </c>
      <c r="N61" s="4">
        <v>0.195</v>
      </c>
      <c r="O61" s="4">
        <v>6.0</v>
      </c>
      <c r="P61" s="4"/>
      <c r="Q61" s="4"/>
      <c r="R61" s="4">
        <v>8.67</v>
      </c>
      <c r="S61" s="4">
        <v>-99.7</v>
      </c>
      <c r="T61" s="4">
        <v>1211.0</v>
      </c>
      <c r="U61" s="4">
        <v>0.6</v>
      </c>
      <c r="V61" s="4">
        <v>19.97</v>
      </c>
      <c r="W61" s="4">
        <v>8.15</v>
      </c>
      <c r="X61" s="4">
        <v>99.3</v>
      </c>
      <c r="Y61" s="4">
        <v>18.01</v>
      </c>
      <c r="Z61" s="4">
        <v>971.5</v>
      </c>
      <c r="AA61" s="4">
        <v>848.0</v>
      </c>
      <c r="AB61" s="4">
        <v>24.5</v>
      </c>
      <c r="AC61" s="4">
        <v>13.0</v>
      </c>
      <c r="AD61" s="4">
        <v>493.9</v>
      </c>
      <c r="AE61" s="4">
        <v>24.9</v>
      </c>
      <c r="AF61" s="4">
        <v>144.9</v>
      </c>
      <c r="AG61" s="4">
        <v>146.7</v>
      </c>
      <c r="AH61" s="4">
        <v>307.7</v>
      </c>
      <c r="AI61" s="4">
        <v>94.2</v>
      </c>
      <c r="AJ61" s="4">
        <v>62.0</v>
      </c>
      <c r="AK61" s="4">
        <v>73.0</v>
      </c>
      <c r="AL61" s="4">
        <v>5.54</v>
      </c>
      <c r="AM61" s="4">
        <v>95.3</v>
      </c>
      <c r="AN61" s="4">
        <v>62.7</v>
      </c>
      <c r="AO61" s="4">
        <v>95.5</v>
      </c>
      <c r="AP61" s="4">
        <v>6.56</v>
      </c>
      <c r="AQ61" s="4">
        <f t="shared" ref="AQ61:AR61" si="221">0.5*0.3</f>
        <v>0.15</v>
      </c>
      <c r="AR61" s="4">
        <f t="shared" si="221"/>
        <v>0.15</v>
      </c>
      <c r="AS61" s="4">
        <f t="shared" ref="AS61:AS64" si="225">0.5*0.03</f>
        <v>0.015</v>
      </c>
      <c r="AT61" s="4">
        <f t="shared" ref="AT61:AT64" si="226">0.5*0.01</f>
        <v>0.005</v>
      </c>
      <c r="AU61" s="4">
        <v>1.36</v>
      </c>
      <c r="AV61" s="4">
        <v>0.9</v>
      </c>
      <c r="AW61" s="4">
        <v>6.0</v>
      </c>
      <c r="AX61" s="4">
        <v>6.0</v>
      </c>
      <c r="AY61" s="4">
        <v>8.0</v>
      </c>
      <c r="AZ61" s="4"/>
      <c r="BA61" s="4"/>
      <c r="BB61" s="4">
        <v>1200.0</v>
      </c>
      <c r="BC61" s="4">
        <v>70.0</v>
      </c>
      <c r="BD61" s="4">
        <v>58000.0</v>
      </c>
      <c r="BE61" s="4">
        <f t="shared" si="30"/>
        <v>5</v>
      </c>
      <c r="BF61" s="4">
        <f t="shared" si="121"/>
        <v>5</v>
      </c>
      <c r="BG61" s="4">
        <f t="shared" ref="BG61:BH61" si="222">0.5*50</f>
        <v>25</v>
      </c>
      <c r="BH61" s="4">
        <f t="shared" si="222"/>
        <v>25</v>
      </c>
      <c r="BI61" s="4">
        <f t="shared" si="7"/>
        <v>5</v>
      </c>
      <c r="BJ61" s="4">
        <f t="shared" si="216"/>
        <v>25</v>
      </c>
      <c r="BK61" s="4">
        <v>2.0</v>
      </c>
      <c r="BL61" s="4">
        <f t="shared" si="206"/>
        <v>5</v>
      </c>
      <c r="BM61" s="4">
        <f t="shared" si="217"/>
        <v>25</v>
      </c>
      <c r="BN61" s="4">
        <v>3.0</v>
      </c>
      <c r="BO61" s="4">
        <f t="shared" si="212"/>
        <v>0.25</v>
      </c>
      <c r="BP61" s="4">
        <f t="shared" si="204"/>
        <v>0.5</v>
      </c>
      <c r="BQ61" s="4">
        <f t="shared" si="11"/>
        <v>2.5</v>
      </c>
      <c r="BR61" s="4">
        <f t="shared" si="12"/>
        <v>0.25</v>
      </c>
      <c r="BS61" s="4">
        <f t="shared" si="210"/>
        <v>50</v>
      </c>
      <c r="BT61" s="4">
        <v>1524.0</v>
      </c>
      <c r="BU61" s="4">
        <f t="shared" si="140"/>
        <v>0.5</v>
      </c>
      <c r="BV61" s="4">
        <f t="shared" si="145"/>
        <v>5</v>
      </c>
      <c r="BW61" s="4">
        <f t="shared" si="223"/>
        <v>25</v>
      </c>
      <c r="BX61" s="4">
        <v>2.0</v>
      </c>
      <c r="BY61" s="4">
        <f t="shared" si="218"/>
        <v>5</v>
      </c>
      <c r="BZ61" s="4">
        <f t="shared" si="219"/>
        <v>25</v>
      </c>
      <c r="CA61" s="4">
        <v>4.0</v>
      </c>
      <c r="CB61" s="4">
        <f t="shared" si="220"/>
        <v>0.25</v>
      </c>
      <c r="CC61" s="4">
        <f t="shared" ref="CC61:CC63" si="228">0.5*1</f>
        <v>0.5</v>
      </c>
      <c r="CD61" s="4">
        <f t="shared" si="88"/>
        <v>2.5</v>
      </c>
      <c r="CE61" s="4">
        <f t="shared" si="136"/>
        <v>0.25</v>
      </c>
      <c r="CF61" s="4">
        <v>291.0</v>
      </c>
      <c r="CG61" s="4">
        <v>1719.0</v>
      </c>
      <c r="CH61" s="4">
        <f t="shared" si="168"/>
        <v>0.5</v>
      </c>
      <c r="CI61" s="4">
        <f t="shared" ref="CI61:CI64" si="229">0.5*0.02</f>
        <v>0.01</v>
      </c>
      <c r="CJ61" s="4"/>
      <c r="CK61" s="4">
        <f t="shared" ref="CK61:CK64" si="230">0.5*1</f>
        <v>0.5</v>
      </c>
      <c r="CL61" s="4">
        <f t="shared" ref="CL61:CL63" si="231">0.5*0.001</f>
        <v>0.0005</v>
      </c>
      <c r="CM61" s="4"/>
      <c r="CN61" s="4"/>
      <c r="CO61" s="4"/>
      <c r="CP61" s="4"/>
      <c r="CQ61" s="4">
        <v>40.82</v>
      </c>
      <c r="CR61" s="4"/>
      <c r="CS61" s="4">
        <v>7959.18</v>
      </c>
      <c r="CT61" s="4"/>
      <c r="CU61" s="4"/>
      <c r="CV61" s="4"/>
      <c r="CW61" s="4">
        <v>11877.55</v>
      </c>
      <c r="CX61" s="4"/>
      <c r="CY61" s="4"/>
      <c r="CZ61" s="4">
        <v>0.0</v>
      </c>
      <c r="DA61" s="4"/>
    </row>
    <row r="62">
      <c r="A62" s="4" t="s">
        <v>226</v>
      </c>
      <c r="B62" s="4" t="s">
        <v>227</v>
      </c>
      <c r="C62" s="5" t="s">
        <v>394</v>
      </c>
      <c r="D62" s="5" t="s">
        <v>175</v>
      </c>
      <c r="E62" s="4" t="s">
        <v>396</v>
      </c>
      <c r="F62" s="4" t="s">
        <v>110</v>
      </c>
      <c r="G62" s="4" t="s">
        <v>111</v>
      </c>
      <c r="H62" s="4" t="s">
        <v>149</v>
      </c>
      <c r="I62" s="4" t="s">
        <v>229</v>
      </c>
      <c r="J62" s="4" t="s">
        <v>399</v>
      </c>
      <c r="K62" s="4" t="s">
        <v>400</v>
      </c>
      <c r="L62" s="4">
        <v>-20.9139</v>
      </c>
      <c r="M62" s="4">
        <v>-64.1105</v>
      </c>
      <c r="N62" s="4"/>
      <c r="O62" s="4"/>
      <c r="P62" s="4">
        <v>751.0</v>
      </c>
      <c r="Q62" s="4">
        <v>197.45</v>
      </c>
      <c r="R62" s="4">
        <v>8.5</v>
      </c>
      <c r="S62" s="4">
        <v>-90.9</v>
      </c>
      <c r="T62" s="4">
        <v>1327.0</v>
      </c>
      <c r="U62" s="4">
        <v>0.6</v>
      </c>
      <c r="V62" s="4">
        <v>18.4</v>
      </c>
      <c r="W62" s="4">
        <v>8.93</v>
      </c>
      <c r="X62" s="4">
        <v>101.8</v>
      </c>
      <c r="Y62" s="4">
        <v>11.65</v>
      </c>
      <c r="Z62" s="4">
        <v>899.0</v>
      </c>
      <c r="AA62" s="4">
        <v>832.0</v>
      </c>
      <c r="AB62" s="4">
        <v>7.0</v>
      </c>
      <c r="AC62" s="4">
        <v>13.0</v>
      </c>
      <c r="AD62" s="4">
        <v>361.7</v>
      </c>
      <c r="AE62" s="4">
        <v>24.9</v>
      </c>
      <c r="AF62" s="4">
        <v>134.9</v>
      </c>
      <c r="AG62" s="4">
        <v>272.9</v>
      </c>
      <c r="AH62" s="4">
        <v>242.3</v>
      </c>
      <c r="AI62" s="4">
        <v>70.5</v>
      </c>
      <c r="AJ62" s="4">
        <v>44.5</v>
      </c>
      <c r="AK62" s="4">
        <v>138.0</v>
      </c>
      <c r="AL62" s="4">
        <v>6.76</v>
      </c>
      <c r="AM62" s="4">
        <v>71.1</v>
      </c>
      <c r="AN62" s="4">
        <v>48.7</v>
      </c>
      <c r="AO62" s="4">
        <v>153.0</v>
      </c>
      <c r="AP62" s="4">
        <v>7.45</v>
      </c>
      <c r="AQ62" s="4">
        <f t="shared" ref="AQ62:AR62" si="224">0.5*0.3</f>
        <v>0.15</v>
      </c>
      <c r="AR62" s="4">
        <f t="shared" si="224"/>
        <v>0.15</v>
      </c>
      <c r="AS62" s="4">
        <f t="shared" si="225"/>
        <v>0.015</v>
      </c>
      <c r="AT62" s="4">
        <f t="shared" si="226"/>
        <v>0.005</v>
      </c>
      <c r="AU62" s="4">
        <v>1.94</v>
      </c>
      <c r="AV62" s="4">
        <v>1.2</v>
      </c>
      <c r="AW62" s="4">
        <v>8.0</v>
      </c>
      <c r="AX62" s="4">
        <v>7.0</v>
      </c>
      <c r="AY62" s="4">
        <v>8.0</v>
      </c>
      <c r="AZ62" s="4"/>
      <c r="BA62" s="4"/>
      <c r="BB62" s="4">
        <v>1500.0</v>
      </c>
      <c r="BC62" s="4">
        <v>40.0</v>
      </c>
      <c r="BD62" s="4">
        <v>43000.0</v>
      </c>
      <c r="BE62" s="4">
        <f t="shared" si="30"/>
        <v>5</v>
      </c>
      <c r="BF62" s="4">
        <f t="shared" si="121"/>
        <v>5</v>
      </c>
      <c r="BG62" s="4">
        <f t="shared" ref="BG62:BH62" si="227">0.5*50</f>
        <v>25</v>
      </c>
      <c r="BH62" s="4">
        <f t="shared" si="227"/>
        <v>25</v>
      </c>
      <c r="BI62" s="4">
        <f t="shared" si="7"/>
        <v>5</v>
      </c>
      <c r="BJ62" s="4">
        <f t="shared" si="216"/>
        <v>25</v>
      </c>
      <c r="BK62" s="4">
        <v>1.0</v>
      </c>
      <c r="BL62" s="4">
        <f t="shared" si="206"/>
        <v>5</v>
      </c>
      <c r="BM62" s="4">
        <f t="shared" si="217"/>
        <v>25</v>
      </c>
      <c r="BN62" s="4">
        <v>5.0</v>
      </c>
      <c r="BO62" s="4">
        <f t="shared" si="212"/>
        <v>0.25</v>
      </c>
      <c r="BP62" s="4">
        <f t="shared" si="204"/>
        <v>0.5</v>
      </c>
      <c r="BQ62" s="4">
        <f t="shared" si="11"/>
        <v>2.5</v>
      </c>
      <c r="BR62" s="4">
        <f t="shared" si="12"/>
        <v>0.25</v>
      </c>
      <c r="BS62" s="4">
        <f t="shared" si="210"/>
        <v>50</v>
      </c>
      <c r="BT62" s="4">
        <v>966.0</v>
      </c>
      <c r="BU62" s="4">
        <f t="shared" si="140"/>
        <v>0.5</v>
      </c>
      <c r="BV62" s="4">
        <f t="shared" si="145"/>
        <v>5</v>
      </c>
      <c r="BW62" s="4">
        <f t="shared" si="223"/>
        <v>25</v>
      </c>
      <c r="BX62" s="4">
        <v>1.0</v>
      </c>
      <c r="BY62" s="4">
        <f t="shared" si="218"/>
        <v>5</v>
      </c>
      <c r="BZ62" s="4">
        <f t="shared" si="219"/>
        <v>25</v>
      </c>
      <c r="CA62" s="4">
        <v>5.0</v>
      </c>
      <c r="CB62" s="4">
        <f t="shared" si="220"/>
        <v>0.25</v>
      </c>
      <c r="CC62" s="4">
        <f t="shared" si="228"/>
        <v>0.5</v>
      </c>
      <c r="CD62" s="4">
        <f t="shared" si="88"/>
        <v>2.5</v>
      </c>
      <c r="CE62" s="4">
        <f t="shared" si="136"/>
        <v>0.25</v>
      </c>
      <c r="CF62" s="4">
        <f t="shared" ref="CF62:CF63" si="234">0.5*100</f>
        <v>50</v>
      </c>
      <c r="CG62" s="4">
        <v>1091.0</v>
      </c>
      <c r="CH62" s="4">
        <f t="shared" si="168"/>
        <v>0.5</v>
      </c>
      <c r="CI62" s="4">
        <f t="shared" si="229"/>
        <v>0.01</v>
      </c>
      <c r="CJ62" s="4"/>
      <c r="CK62" s="4">
        <f t="shared" si="230"/>
        <v>0.5</v>
      </c>
      <c r="CL62" s="4">
        <f t="shared" si="231"/>
        <v>0.0005</v>
      </c>
      <c r="CM62" s="4"/>
      <c r="CN62" s="4"/>
      <c r="CO62" s="4"/>
      <c r="CP62" s="4"/>
      <c r="CQ62" s="4">
        <v>0.0</v>
      </c>
      <c r="CR62" s="4"/>
      <c r="CS62" s="4">
        <v>17857.14</v>
      </c>
      <c r="CT62" s="4"/>
      <c r="CU62" s="4"/>
      <c r="CV62" s="4"/>
      <c r="CW62" s="4"/>
      <c r="CX62" s="4"/>
      <c r="CY62" s="4"/>
      <c r="CZ62" s="4">
        <v>0.0</v>
      </c>
      <c r="DA62" s="4"/>
    </row>
    <row r="63">
      <c r="A63" s="4" t="s">
        <v>232</v>
      </c>
      <c r="B63" s="4" t="s">
        <v>233</v>
      </c>
      <c r="C63" s="5" t="s">
        <v>401</v>
      </c>
      <c r="D63" s="5" t="s">
        <v>402</v>
      </c>
      <c r="E63" s="4" t="s">
        <v>396</v>
      </c>
      <c r="F63" s="4" t="s">
        <v>110</v>
      </c>
      <c r="G63" s="4" t="s">
        <v>111</v>
      </c>
      <c r="H63" s="4" t="s">
        <v>149</v>
      </c>
      <c r="I63" s="4" t="s">
        <v>229</v>
      </c>
      <c r="J63" s="4" t="s">
        <v>403</v>
      </c>
      <c r="K63" s="4" t="s">
        <v>404</v>
      </c>
      <c r="L63" s="4">
        <v>-21.2589</v>
      </c>
      <c r="M63" s="4">
        <v>-63.5116</v>
      </c>
      <c r="N63" s="4">
        <v>0.304</v>
      </c>
      <c r="O63" s="4">
        <v>28.0</v>
      </c>
      <c r="P63" s="4">
        <v>668.0</v>
      </c>
      <c r="Q63" s="4">
        <v>213.0</v>
      </c>
      <c r="R63" s="4">
        <v>8.57</v>
      </c>
      <c r="S63" s="4">
        <v>-95.65</v>
      </c>
      <c r="T63" s="4">
        <v>1494.0</v>
      </c>
      <c r="U63" s="4">
        <v>0.7</v>
      </c>
      <c r="V63" s="4">
        <v>20.6</v>
      </c>
      <c r="W63" s="4">
        <v>9.22</v>
      </c>
      <c r="X63" s="4">
        <v>108.0</v>
      </c>
      <c r="Y63" s="4">
        <v>12.4</v>
      </c>
      <c r="Z63" s="4">
        <v>1021.0</v>
      </c>
      <c r="AA63" s="4">
        <v>937.5</v>
      </c>
      <c r="AB63" s="4">
        <v>5.5</v>
      </c>
      <c r="AC63" s="4">
        <v>9.0</v>
      </c>
      <c r="AD63" s="4">
        <v>358.1</v>
      </c>
      <c r="AE63" s="4">
        <v>21.5</v>
      </c>
      <c r="AF63" s="4">
        <v>133.1</v>
      </c>
      <c r="AG63" s="4">
        <v>297.4</v>
      </c>
      <c r="AH63" s="4">
        <v>139.5</v>
      </c>
      <c r="AI63" s="4">
        <v>70.6</v>
      </c>
      <c r="AJ63" s="4">
        <v>43.6</v>
      </c>
      <c r="AK63" s="4">
        <v>160.0</v>
      </c>
      <c r="AL63" s="4">
        <v>7.55</v>
      </c>
      <c r="AM63" s="4">
        <v>73.5</v>
      </c>
      <c r="AN63" s="4">
        <v>44.3</v>
      </c>
      <c r="AO63" s="4">
        <v>180.0</v>
      </c>
      <c r="AP63" s="4">
        <v>8.34</v>
      </c>
      <c r="AQ63" s="4">
        <f t="shared" ref="AQ63:AR63" si="232">0.5*0.3</f>
        <v>0.15</v>
      </c>
      <c r="AR63" s="4">
        <f t="shared" si="232"/>
        <v>0.15</v>
      </c>
      <c r="AS63" s="4">
        <f t="shared" si="225"/>
        <v>0.015</v>
      </c>
      <c r="AT63" s="4">
        <f t="shared" si="226"/>
        <v>0.005</v>
      </c>
      <c r="AU63" s="4">
        <v>1.27</v>
      </c>
      <c r="AV63" s="4">
        <f t="shared" ref="AV63:AV64" si="235">0.5*0.02</f>
        <v>0.01</v>
      </c>
      <c r="AW63" s="4">
        <v>8.0</v>
      </c>
      <c r="AX63" s="4">
        <v>9.5</v>
      </c>
      <c r="AY63" s="4">
        <v>12.0</v>
      </c>
      <c r="AZ63" s="4"/>
      <c r="BA63" s="4"/>
      <c r="BB63" s="4">
        <v>11000.0</v>
      </c>
      <c r="BC63" s="4">
        <v>40.0</v>
      </c>
      <c r="BD63" s="4">
        <v>47000.0</v>
      </c>
      <c r="BE63" s="4">
        <f t="shared" si="30"/>
        <v>5</v>
      </c>
      <c r="BF63" s="4">
        <f t="shared" si="121"/>
        <v>5</v>
      </c>
      <c r="BG63" s="4">
        <f t="shared" ref="BG63:BH63" si="233">0.5*50</f>
        <v>25</v>
      </c>
      <c r="BH63" s="4">
        <f t="shared" si="233"/>
        <v>25</v>
      </c>
      <c r="BI63" s="4">
        <f t="shared" si="7"/>
        <v>5</v>
      </c>
      <c r="BJ63" s="4">
        <f t="shared" si="216"/>
        <v>25</v>
      </c>
      <c r="BK63" s="4">
        <v>1.0</v>
      </c>
      <c r="BL63" s="4">
        <f t="shared" si="206"/>
        <v>5</v>
      </c>
      <c r="BM63" s="4">
        <f t="shared" si="217"/>
        <v>25</v>
      </c>
      <c r="BN63" s="4">
        <v>4.0</v>
      </c>
      <c r="BO63" s="4">
        <f t="shared" si="212"/>
        <v>0.25</v>
      </c>
      <c r="BP63" s="4">
        <f t="shared" si="204"/>
        <v>0.5</v>
      </c>
      <c r="BQ63" s="4">
        <f t="shared" si="11"/>
        <v>2.5</v>
      </c>
      <c r="BR63" s="4">
        <f t="shared" si="12"/>
        <v>0.25</v>
      </c>
      <c r="BS63" s="4">
        <f t="shared" si="210"/>
        <v>50</v>
      </c>
      <c r="BT63" s="4">
        <v>952.0</v>
      </c>
      <c r="BU63" s="4">
        <f t="shared" si="140"/>
        <v>0.5</v>
      </c>
      <c r="BV63" s="4">
        <f t="shared" si="145"/>
        <v>5</v>
      </c>
      <c r="BW63" s="4">
        <f t="shared" si="223"/>
        <v>25</v>
      </c>
      <c r="BX63" s="4">
        <v>1.0</v>
      </c>
      <c r="BY63" s="4">
        <f t="shared" si="218"/>
        <v>5</v>
      </c>
      <c r="BZ63" s="4">
        <f t="shared" si="219"/>
        <v>25</v>
      </c>
      <c r="CA63" s="4">
        <v>4.0</v>
      </c>
      <c r="CB63" s="4">
        <f t="shared" si="220"/>
        <v>0.25</v>
      </c>
      <c r="CC63" s="4">
        <f t="shared" si="228"/>
        <v>0.5</v>
      </c>
      <c r="CD63" s="4">
        <f t="shared" si="88"/>
        <v>2.5</v>
      </c>
      <c r="CE63" s="4">
        <f t="shared" si="136"/>
        <v>0.25</v>
      </c>
      <c r="CF63" s="4">
        <f t="shared" si="234"/>
        <v>50</v>
      </c>
      <c r="CG63" s="4">
        <v>953.0</v>
      </c>
      <c r="CH63" s="4">
        <f t="shared" si="168"/>
        <v>0.5</v>
      </c>
      <c r="CI63" s="4">
        <f t="shared" si="229"/>
        <v>0.01</v>
      </c>
      <c r="CJ63" s="4"/>
      <c r="CK63" s="4">
        <f t="shared" si="230"/>
        <v>0.5</v>
      </c>
      <c r="CL63" s="4">
        <f t="shared" si="231"/>
        <v>0.0005</v>
      </c>
      <c r="CM63" s="4"/>
      <c r="CN63" s="4"/>
      <c r="CO63" s="4"/>
      <c r="CP63" s="4"/>
      <c r="CQ63" s="4">
        <v>0.0</v>
      </c>
      <c r="CR63" s="4"/>
      <c r="CS63" s="4">
        <v>181.82</v>
      </c>
      <c r="CT63" s="4"/>
      <c r="CU63" s="4"/>
      <c r="CV63" s="4"/>
      <c r="CW63" s="4"/>
      <c r="CX63" s="4"/>
      <c r="CY63" s="4"/>
      <c r="CZ63" s="4">
        <v>0.0</v>
      </c>
      <c r="DA63" s="4"/>
    </row>
    <row r="64">
      <c r="A64" s="4" t="s">
        <v>238</v>
      </c>
      <c r="B64" s="4" t="s">
        <v>239</v>
      </c>
      <c r="C64" s="5" t="s">
        <v>401</v>
      </c>
      <c r="D64" s="5" t="s">
        <v>405</v>
      </c>
      <c r="E64" s="4" t="s">
        <v>396</v>
      </c>
      <c r="F64" s="4" t="s">
        <v>110</v>
      </c>
      <c r="G64" s="4" t="s">
        <v>111</v>
      </c>
      <c r="H64" s="4" t="s">
        <v>149</v>
      </c>
      <c r="I64" s="4" t="s">
        <v>241</v>
      </c>
      <c r="J64" s="4" t="s">
        <v>406</v>
      </c>
      <c r="K64" s="4" t="s">
        <v>407</v>
      </c>
      <c r="L64" s="4">
        <v>-22.3782</v>
      </c>
      <c r="M64" s="4">
        <v>-62.5186</v>
      </c>
      <c r="N64" s="4"/>
      <c r="O64" s="4"/>
      <c r="P64" s="4">
        <v>680.5</v>
      </c>
      <c r="Q64" s="4">
        <v>194.8</v>
      </c>
      <c r="R64" s="4">
        <v>8.28</v>
      </c>
      <c r="S64" s="4">
        <v>-77.8</v>
      </c>
      <c r="T64" s="4">
        <v>1470.0</v>
      </c>
      <c r="U64" s="4">
        <v>0.7</v>
      </c>
      <c r="V64" s="4">
        <v>17.0</v>
      </c>
      <c r="W64" s="4">
        <v>9.04</v>
      </c>
      <c r="X64" s="4">
        <v>96.2</v>
      </c>
      <c r="Y64" s="4">
        <v>473.0</v>
      </c>
      <c r="Z64" s="4">
        <v>1939.0</v>
      </c>
      <c r="AA64" s="4">
        <v>916.0</v>
      </c>
      <c r="AB64" s="4">
        <v>1000.0</v>
      </c>
      <c r="AC64" s="4">
        <v>14.0</v>
      </c>
      <c r="AD64" s="4">
        <v>358.7</v>
      </c>
      <c r="AE64" s="4">
        <v>9.99</v>
      </c>
      <c r="AF64" s="4">
        <v>124.9</v>
      </c>
      <c r="AG64" s="4">
        <v>322.9</v>
      </c>
      <c r="AH64" s="4">
        <v>148.2</v>
      </c>
      <c r="AI64" s="4">
        <v>72.2</v>
      </c>
      <c r="AJ64" s="4">
        <v>42.8</v>
      </c>
      <c r="AK64" s="4">
        <v>142.0</v>
      </c>
      <c r="AL64" s="4">
        <v>6.87</v>
      </c>
      <c r="AM64" s="4">
        <v>83.0</v>
      </c>
      <c r="AN64" s="4">
        <v>44.3</v>
      </c>
      <c r="AO64" s="4">
        <v>167.0</v>
      </c>
      <c r="AP64" s="4">
        <v>8.42</v>
      </c>
      <c r="AQ64" s="4">
        <v>0.61</v>
      </c>
      <c r="AR64" s="4">
        <f>0.5*0.3</f>
        <v>0.15</v>
      </c>
      <c r="AS64" s="4">
        <f t="shared" si="225"/>
        <v>0.015</v>
      </c>
      <c r="AT64" s="4">
        <f t="shared" si="226"/>
        <v>0.005</v>
      </c>
      <c r="AU64" s="4">
        <v>0.89</v>
      </c>
      <c r="AV64" s="4">
        <f t="shared" si="235"/>
        <v>0.01</v>
      </c>
      <c r="AW64" s="4">
        <v>9.0</v>
      </c>
      <c r="AX64" s="4">
        <v>23.0</v>
      </c>
      <c r="AY64" s="4">
        <v>13.0</v>
      </c>
      <c r="AZ64" s="4"/>
      <c r="BA64" s="4"/>
      <c r="BB64" s="4">
        <v>4300.0</v>
      </c>
      <c r="BC64" s="4">
        <v>70.0</v>
      </c>
      <c r="BD64" s="4">
        <v>51000.0</v>
      </c>
      <c r="BE64" s="4">
        <f t="shared" si="30"/>
        <v>5</v>
      </c>
      <c r="BF64" s="4">
        <f t="shared" si="121"/>
        <v>5</v>
      </c>
      <c r="BG64" s="4">
        <f t="shared" ref="BG64:BH64" si="236">0.5*50</f>
        <v>25</v>
      </c>
      <c r="BH64" s="4">
        <f t="shared" si="236"/>
        <v>25</v>
      </c>
      <c r="BI64" s="4">
        <f t="shared" si="7"/>
        <v>5</v>
      </c>
      <c r="BJ64" s="4">
        <f t="shared" si="216"/>
        <v>25</v>
      </c>
      <c r="BK64" s="4">
        <v>1.0</v>
      </c>
      <c r="BL64" s="4">
        <f t="shared" si="206"/>
        <v>5</v>
      </c>
      <c r="BM64" s="4">
        <f t="shared" si="217"/>
        <v>25</v>
      </c>
      <c r="BN64" s="4">
        <v>3.0</v>
      </c>
      <c r="BO64" s="4">
        <f t="shared" si="212"/>
        <v>0.25</v>
      </c>
      <c r="BP64" s="4">
        <f t="shared" si="204"/>
        <v>0.5</v>
      </c>
      <c r="BQ64" s="4">
        <f t="shared" si="11"/>
        <v>2.5</v>
      </c>
      <c r="BR64" s="4">
        <f t="shared" si="12"/>
        <v>0.25</v>
      </c>
      <c r="BS64" s="4">
        <f t="shared" si="210"/>
        <v>50</v>
      </c>
      <c r="BT64" s="4">
        <v>632.0</v>
      </c>
      <c r="BU64" s="4">
        <f t="shared" si="140"/>
        <v>0.5</v>
      </c>
      <c r="BV64" s="4">
        <f t="shared" si="145"/>
        <v>5</v>
      </c>
      <c r="BW64" s="4">
        <v>249.0</v>
      </c>
      <c r="BX64" s="4">
        <v>5.0</v>
      </c>
      <c r="BY64" s="4">
        <v>12.0</v>
      </c>
      <c r="BZ64" s="4">
        <f t="shared" si="219"/>
        <v>25</v>
      </c>
      <c r="CA64" s="4">
        <v>5.0</v>
      </c>
      <c r="CB64" s="4">
        <f t="shared" si="220"/>
        <v>0.25</v>
      </c>
      <c r="CC64" s="4">
        <v>6.0</v>
      </c>
      <c r="CD64" s="4">
        <f t="shared" si="88"/>
        <v>2.5</v>
      </c>
      <c r="CE64" s="4">
        <f t="shared" si="136"/>
        <v>0.25</v>
      </c>
      <c r="CF64" s="4">
        <v>3518.0</v>
      </c>
      <c r="CG64" s="4">
        <v>1316.0</v>
      </c>
      <c r="CH64" s="4">
        <f t="shared" si="168"/>
        <v>0.5</v>
      </c>
      <c r="CI64" s="4">
        <f t="shared" si="229"/>
        <v>0.01</v>
      </c>
      <c r="CJ64" s="4"/>
      <c r="CK64" s="4">
        <f t="shared" si="230"/>
        <v>0.5</v>
      </c>
      <c r="CL64" s="4">
        <v>0.004</v>
      </c>
      <c r="CM64" s="4"/>
      <c r="CN64" s="4"/>
      <c r="CO64" s="4"/>
      <c r="CP64" s="4"/>
      <c r="CQ64" s="4">
        <v>2.0</v>
      </c>
      <c r="CR64" s="4"/>
      <c r="CS64" s="4">
        <v>684.0</v>
      </c>
      <c r="CT64" s="4"/>
      <c r="CU64" s="4">
        <v>12.0</v>
      </c>
      <c r="CV64" s="4"/>
      <c r="CW64" s="4">
        <v>3518.0</v>
      </c>
      <c r="CX64" s="4">
        <v>249.0</v>
      </c>
      <c r="CY64" s="4"/>
      <c r="CZ64" s="4">
        <v>4.0</v>
      </c>
      <c r="DA64" s="4"/>
    </row>
    <row r="65">
      <c r="A65" s="4" t="s">
        <v>408</v>
      </c>
      <c r="B65" s="4" t="s">
        <v>409</v>
      </c>
      <c r="C65" s="5" t="s">
        <v>410</v>
      </c>
      <c r="D65" s="5" t="s">
        <v>411</v>
      </c>
      <c r="E65" s="4" t="s">
        <v>412</v>
      </c>
      <c r="F65" s="4" t="s">
        <v>110</v>
      </c>
      <c r="G65" s="4" t="s">
        <v>111</v>
      </c>
      <c r="H65" s="4" t="s">
        <v>254</v>
      </c>
      <c r="J65" s="4" t="s">
        <v>413</v>
      </c>
      <c r="K65" s="4" t="s">
        <v>414</v>
      </c>
      <c r="L65" s="4">
        <v>-25.1483</v>
      </c>
      <c r="M65" s="4">
        <v>-59.6791</v>
      </c>
      <c r="N65" s="4"/>
      <c r="O65" s="4"/>
      <c r="P65" s="4">
        <v>1848.0</v>
      </c>
      <c r="Q65" s="4">
        <v>166.0</v>
      </c>
      <c r="R65" s="4">
        <v>7.94</v>
      </c>
      <c r="S65" s="4">
        <v>-55.75</v>
      </c>
      <c r="T65" s="4">
        <v>541.5</v>
      </c>
      <c r="U65" s="4">
        <v>0.2</v>
      </c>
      <c r="V65" s="4">
        <v>23.8</v>
      </c>
      <c r="W65" s="4">
        <v>6.86</v>
      </c>
      <c r="X65" s="4">
        <v>82.0</v>
      </c>
      <c r="Y65" s="4">
        <v>56.8</v>
      </c>
      <c r="Z65" s="4">
        <v>386.6</v>
      </c>
      <c r="AA65" s="4">
        <v>337.0</v>
      </c>
      <c r="AB65" s="4">
        <v>49.6</v>
      </c>
      <c r="AC65" s="4">
        <v>3.0</v>
      </c>
      <c r="AD65" s="4">
        <v>198.0</v>
      </c>
      <c r="AE65" s="4">
        <v>0.0</v>
      </c>
      <c r="AF65" s="4">
        <v>112.86</v>
      </c>
      <c r="AG65" s="4">
        <v>46.98</v>
      </c>
      <c r="AH65" s="4">
        <v>90.7</v>
      </c>
      <c r="AI65" s="4">
        <v>66.1</v>
      </c>
      <c r="AJ65" s="4">
        <v>1.22</v>
      </c>
      <c r="AK65" s="4">
        <v>42.17</v>
      </c>
      <c r="AL65" s="4">
        <v>7.94</v>
      </c>
      <c r="AM65" s="4">
        <v>68.1</v>
      </c>
      <c r="AN65" s="4">
        <v>6.81</v>
      </c>
      <c r="AO65" s="4">
        <v>43.78</v>
      </c>
      <c r="AP65" s="4">
        <v>8.51</v>
      </c>
      <c r="AQ65" s="4">
        <v>2.74</v>
      </c>
      <c r="AR65" s="4">
        <v>0.812</v>
      </c>
      <c r="AS65" s="4">
        <v>0.084</v>
      </c>
      <c r="AT65" s="4">
        <v>0.053</v>
      </c>
      <c r="AU65" s="4">
        <v>0.567</v>
      </c>
      <c r="AV65" s="4">
        <v>0.18</v>
      </c>
      <c r="AW65" s="4"/>
      <c r="AX65" s="4">
        <v>4.1</v>
      </c>
      <c r="AY65" s="4">
        <v>36.64</v>
      </c>
      <c r="AZ65" s="4">
        <v>52460.0</v>
      </c>
      <c r="BA65" s="4">
        <v>3050.0</v>
      </c>
      <c r="BB65" s="4"/>
      <c r="BC65" s="4"/>
      <c r="BD65" s="4">
        <v>234850.0</v>
      </c>
      <c r="BE65" s="4">
        <f t="shared" si="30"/>
        <v>5</v>
      </c>
      <c r="BF65" s="4">
        <f t="shared" si="121"/>
        <v>5</v>
      </c>
      <c r="BG65" s="4">
        <f t="shared" ref="BG65:BH65" si="237">0.5*50</f>
        <v>25</v>
      </c>
      <c r="BH65" s="4">
        <f t="shared" si="237"/>
        <v>25</v>
      </c>
      <c r="BI65" s="4">
        <f t="shared" si="7"/>
        <v>5</v>
      </c>
      <c r="BJ65" s="4">
        <f t="shared" si="216"/>
        <v>25</v>
      </c>
      <c r="BK65" s="4">
        <v>1.0</v>
      </c>
      <c r="BL65" s="4">
        <f t="shared" si="206"/>
        <v>5</v>
      </c>
      <c r="BM65" s="4">
        <f t="shared" si="217"/>
        <v>25</v>
      </c>
      <c r="BN65" s="4">
        <v>4.0</v>
      </c>
      <c r="BO65" s="4">
        <f t="shared" si="212"/>
        <v>0.25</v>
      </c>
      <c r="BP65" s="4">
        <f t="shared" si="204"/>
        <v>0.5</v>
      </c>
      <c r="BQ65" s="4">
        <f t="shared" si="11"/>
        <v>2.5</v>
      </c>
      <c r="BR65" s="4">
        <f t="shared" si="12"/>
        <v>0.25</v>
      </c>
      <c r="BS65" s="4">
        <v>188.0</v>
      </c>
      <c r="BT65" s="4">
        <v>358.0</v>
      </c>
      <c r="BU65" s="4">
        <f t="shared" si="140"/>
        <v>0.5</v>
      </c>
      <c r="BV65" s="4">
        <f t="shared" si="145"/>
        <v>5</v>
      </c>
      <c r="BW65" s="4">
        <f t="shared" ref="BW65:BW66" si="240">0.5*50</f>
        <v>25</v>
      </c>
      <c r="BX65" s="4">
        <v>7.0</v>
      </c>
      <c r="BY65" s="4">
        <f t="shared" ref="BY65:BY67" si="241">0.5*10</f>
        <v>5</v>
      </c>
      <c r="BZ65" s="4">
        <f t="shared" si="219"/>
        <v>25</v>
      </c>
      <c r="CA65" s="4">
        <v>6.0</v>
      </c>
      <c r="CB65" s="4">
        <f t="shared" si="220"/>
        <v>0.25</v>
      </c>
      <c r="CC65" s="4">
        <f>0.5*1</f>
        <v>0.5</v>
      </c>
      <c r="CD65" s="4">
        <f t="shared" si="88"/>
        <v>2.5</v>
      </c>
      <c r="CE65" s="4">
        <f t="shared" si="136"/>
        <v>0.25</v>
      </c>
      <c r="CF65" s="4">
        <v>849.0</v>
      </c>
      <c r="CG65" s="4">
        <v>486.0</v>
      </c>
      <c r="CH65" s="4">
        <f t="shared" si="168"/>
        <v>0.5</v>
      </c>
      <c r="CI65" s="4"/>
      <c r="CJ65" s="4"/>
      <c r="CK65" s="4">
        <f t="shared" ref="CK65:CL65" si="238">0.5*0.001</f>
        <v>0.0005</v>
      </c>
      <c r="CL65" s="4">
        <f t="shared" si="238"/>
        <v>0.0005</v>
      </c>
      <c r="CM65" s="4">
        <f t="shared" ref="CM65:CM83" si="243">0.5*0.5</f>
        <v>0.25</v>
      </c>
      <c r="CN65" s="4"/>
      <c r="CO65" s="4"/>
      <c r="CP65" s="4"/>
      <c r="CQ65" s="4">
        <v>40.32</v>
      </c>
      <c r="CR65" s="4"/>
      <c r="CS65" s="4">
        <v>2580.65</v>
      </c>
      <c r="CT65" s="4"/>
      <c r="CU65" s="4"/>
      <c r="CV65" s="4"/>
      <c r="CW65" s="4">
        <v>13326.61</v>
      </c>
      <c r="CX65" s="4"/>
      <c r="CY65" s="4"/>
      <c r="CZ65" s="4">
        <v>120.97</v>
      </c>
      <c r="DA65" s="4"/>
    </row>
    <row r="66">
      <c r="A66" s="4" t="s">
        <v>264</v>
      </c>
      <c r="B66" s="4" t="s">
        <v>265</v>
      </c>
      <c r="C66" s="5" t="s">
        <v>410</v>
      </c>
      <c r="D66" s="5" t="s">
        <v>415</v>
      </c>
      <c r="E66" s="4" t="s">
        <v>412</v>
      </c>
      <c r="F66" s="4" t="s">
        <v>110</v>
      </c>
      <c r="G66" s="4" t="s">
        <v>111</v>
      </c>
      <c r="H66" s="4" t="s">
        <v>268</v>
      </c>
      <c r="J66" s="4" t="s">
        <v>416</v>
      </c>
      <c r="K66" s="4" t="s">
        <v>417</v>
      </c>
      <c r="L66" s="4">
        <v>-24.6963</v>
      </c>
      <c r="M66" s="4">
        <v>-59.8174</v>
      </c>
      <c r="N66" s="4"/>
      <c r="O66" s="4"/>
      <c r="P66" s="4">
        <v>1256.0</v>
      </c>
      <c r="Q66" s="4">
        <v>154.0</v>
      </c>
      <c r="R66" s="4">
        <v>8.16</v>
      </c>
      <c r="S66" s="4">
        <v>-65.0</v>
      </c>
      <c r="T66" s="4">
        <v>797.0</v>
      </c>
      <c r="U66" s="4">
        <v>0.3</v>
      </c>
      <c r="V66" s="4">
        <v>22.8</v>
      </c>
      <c r="W66" s="4">
        <v>6.51</v>
      </c>
      <c r="X66" s="4">
        <v>76.0</v>
      </c>
      <c r="Y66" s="4">
        <v>32.3</v>
      </c>
      <c r="Z66" s="4">
        <v>537.3</v>
      </c>
      <c r="AA66" s="4">
        <v>498.0</v>
      </c>
      <c r="AB66" s="4">
        <v>39.3</v>
      </c>
      <c r="AC66" s="4">
        <v>3.0</v>
      </c>
      <c r="AD66" s="4">
        <v>290.0</v>
      </c>
      <c r="AE66" s="4">
        <v>0.0</v>
      </c>
      <c r="AF66" s="4">
        <v>166.32</v>
      </c>
      <c r="AG66" s="4">
        <v>64.49</v>
      </c>
      <c r="AH66" s="4">
        <v>154.97</v>
      </c>
      <c r="AI66" s="4">
        <v>70.1</v>
      </c>
      <c r="AJ66" s="4">
        <v>19.4</v>
      </c>
      <c r="AK66" s="4">
        <v>62.34</v>
      </c>
      <c r="AL66" s="4">
        <v>3.11</v>
      </c>
      <c r="AM66" s="4">
        <v>74.1</v>
      </c>
      <c r="AN66" s="4">
        <v>25.5</v>
      </c>
      <c r="AO66" s="4">
        <v>66.08</v>
      </c>
      <c r="AP66" s="4">
        <v>4.0</v>
      </c>
      <c r="AQ66" s="4">
        <v>1.0</v>
      </c>
      <c r="AR66" s="4">
        <v>0.315</v>
      </c>
      <c r="AS66" s="4">
        <v>0.068</v>
      </c>
      <c r="AT66" s="4">
        <v>0.019</v>
      </c>
      <c r="AU66" s="4">
        <v>0.08</v>
      </c>
      <c r="AV66" s="4">
        <v>0.2</v>
      </c>
      <c r="AW66" s="4"/>
      <c r="AX66" s="4">
        <v>4.5</v>
      </c>
      <c r="AY66" s="4">
        <v>54.27</v>
      </c>
      <c r="AZ66" s="4">
        <v>22420.0</v>
      </c>
      <c r="BA66" s="4">
        <v>1180.0</v>
      </c>
      <c r="BB66" s="4"/>
      <c r="BC66" s="4"/>
      <c r="BD66" s="4">
        <v>116820.0</v>
      </c>
      <c r="BE66" s="4">
        <f t="shared" si="30"/>
        <v>5</v>
      </c>
      <c r="BF66" s="4">
        <f t="shared" si="121"/>
        <v>5</v>
      </c>
      <c r="BG66" s="4">
        <f t="shared" ref="BG66:BH66" si="239">0.5*50</f>
        <v>25</v>
      </c>
      <c r="BH66" s="4">
        <f t="shared" si="239"/>
        <v>25</v>
      </c>
      <c r="BI66" s="4">
        <f t="shared" si="7"/>
        <v>5</v>
      </c>
      <c r="BJ66" s="4">
        <f t="shared" si="216"/>
        <v>25</v>
      </c>
      <c r="BK66" s="4">
        <v>1.0</v>
      </c>
      <c r="BL66" s="4">
        <f t="shared" si="206"/>
        <v>5</v>
      </c>
      <c r="BM66" s="4">
        <f t="shared" si="217"/>
        <v>25</v>
      </c>
      <c r="BN66" s="4">
        <v>3.0</v>
      </c>
      <c r="BO66" s="4">
        <f t="shared" si="212"/>
        <v>0.25</v>
      </c>
      <c r="BP66" s="4">
        <f t="shared" si="204"/>
        <v>0.5</v>
      </c>
      <c r="BQ66" s="4">
        <f t="shared" si="11"/>
        <v>2.5</v>
      </c>
      <c r="BR66" s="4">
        <f t="shared" si="12"/>
        <v>0.25</v>
      </c>
      <c r="BS66" s="4">
        <f t="shared" ref="BS66:BS68" si="245">0.5*100</f>
        <v>50</v>
      </c>
      <c r="BT66" s="4">
        <v>763.0</v>
      </c>
      <c r="BU66" s="4">
        <f t="shared" si="140"/>
        <v>0.5</v>
      </c>
      <c r="BV66" s="4">
        <f t="shared" si="145"/>
        <v>5</v>
      </c>
      <c r="BW66" s="4">
        <f t="shared" si="240"/>
        <v>25</v>
      </c>
      <c r="BX66" s="4">
        <v>1.0</v>
      </c>
      <c r="BY66" s="4">
        <f t="shared" si="241"/>
        <v>5</v>
      </c>
      <c r="BZ66" s="4">
        <f t="shared" si="219"/>
        <v>25</v>
      </c>
      <c r="CA66" s="4">
        <v>4.0</v>
      </c>
      <c r="CB66" s="4">
        <f t="shared" si="220"/>
        <v>0.25</v>
      </c>
      <c r="CC66" s="4">
        <v>2.0</v>
      </c>
      <c r="CD66" s="4">
        <f t="shared" si="88"/>
        <v>2.5</v>
      </c>
      <c r="CE66" s="4">
        <f t="shared" si="136"/>
        <v>0.25</v>
      </c>
      <c r="CF66" s="4">
        <v>1849.0</v>
      </c>
      <c r="CG66" s="4">
        <v>817.0</v>
      </c>
      <c r="CH66" s="4">
        <f t="shared" si="168"/>
        <v>0.5</v>
      </c>
      <c r="CI66" s="4"/>
      <c r="CJ66" s="4"/>
      <c r="CK66" s="4">
        <f t="shared" ref="CK66:CL66" si="242">0.5*0.001</f>
        <v>0.0005</v>
      </c>
      <c r="CL66" s="4">
        <f t="shared" si="242"/>
        <v>0.0005</v>
      </c>
      <c r="CM66" s="4">
        <f t="shared" si="243"/>
        <v>0.25</v>
      </c>
      <c r="CN66" s="4"/>
      <c r="CO66" s="4"/>
      <c r="CP66" s="4"/>
      <c r="CQ66" s="4">
        <v>25.45</v>
      </c>
      <c r="CR66" s="4"/>
      <c r="CS66" s="4">
        <v>1374.05</v>
      </c>
      <c r="CT66" s="4"/>
      <c r="CU66" s="4"/>
      <c r="CV66" s="4"/>
      <c r="CW66" s="4">
        <v>47048.35</v>
      </c>
      <c r="CX66" s="4"/>
      <c r="CY66" s="4"/>
      <c r="CZ66" s="4">
        <v>0.0</v>
      </c>
      <c r="DA66" s="4"/>
    </row>
    <row r="67">
      <c r="A67" s="4" t="s">
        <v>271</v>
      </c>
      <c r="B67" s="4" t="s">
        <v>272</v>
      </c>
      <c r="C67" s="5" t="s">
        <v>418</v>
      </c>
      <c r="D67" s="5" t="s">
        <v>108</v>
      </c>
      <c r="E67" s="4" t="s">
        <v>412</v>
      </c>
      <c r="F67" s="4" t="s">
        <v>110</v>
      </c>
      <c r="G67" s="4" t="s">
        <v>111</v>
      </c>
      <c r="H67" s="4" t="s">
        <v>274</v>
      </c>
      <c r="I67" s="4" t="s">
        <v>275</v>
      </c>
      <c r="J67" s="4" t="s">
        <v>419</v>
      </c>
      <c r="K67" s="4" t="s">
        <v>420</v>
      </c>
      <c r="L67" s="4">
        <v>-24.3588</v>
      </c>
      <c r="M67" s="4">
        <v>-60.3065</v>
      </c>
      <c r="N67" s="4"/>
      <c r="O67" s="4"/>
      <c r="P67" s="4">
        <v>1368.0</v>
      </c>
      <c r="Q67" s="4">
        <v>162.0</v>
      </c>
      <c r="R67" s="4">
        <v>7.96</v>
      </c>
      <c r="S67" s="4">
        <v>-52.5</v>
      </c>
      <c r="T67" s="4">
        <v>728.5</v>
      </c>
      <c r="U67" s="4">
        <v>0.3</v>
      </c>
      <c r="V67" s="4">
        <v>25.0</v>
      </c>
      <c r="W67" s="4">
        <v>6.65</v>
      </c>
      <c r="X67" s="4">
        <v>81.0</v>
      </c>
      <c r="Y67" s="4">
        <v>2.83</v>
      </c>
      <c r="Z67" s="4">
        <v>456.0</v>
      </c>
      <c r="AA67" s="4">
        <v>454.0</v>
      </c>
      <c r="AB67" s="4">
        <v>2.1</v>
      </c>
      <c r="AC67" s="4">
        <v>3.0</v>
      </c>
      <c r="AD67" s="4">
        <v>235.0</v>
      </c>
      <c r="AE67" s="4">
        <v>0.0</v>
      </c>
      <c r="AF67" s="4">
        <v>148.5</v>
      </c>
      <c r="AG67" s="4">
        <v>30.0</v>
      </c>
      <c r="AH67" s="4">
        <v>147.24</v>
      </c>
      <c r="AI67" s="4">
        <v>70.1</v>
      </c>
      <c r="AJ67" s="4">
        <v>13.3</v>
      </c>
      <c r="AK67" s="4">
        <v>49.88</v>
      </c>
      <c r="AL67" s="4">
        <v>1.71</v>
      </c>
      <c r="AM67" s="4">
        <v>72.1</v>
      </c>
      <c r="AN67" s="4">
        <v>13.4</v>
      </c>
      <c r="AO67" s="4">
        <v>52.81</v>
      </c>
      <c r="AP67" s="4">
        <v>2.05</v>
      </c>
      <c r="AQ67" s="4">
        <v>0.47</v>
      </c>
      <c r="AR67" s="4">
        <v>0.085</v>
      </c>
      <c r="AS67" s="4">
        <v>0.069</v>
      </c>
      <c r="AT67" s="4">
        <v>0.011</v>
      </c>
      <c r="AU67" s="4">
        <v>0.106</v>
      </c>
      <c r="AV67" s="4">
        <v>0.21</v>
      </c>
      <c r="AW67" s="4"/>
      <c r="AX67" s="4">
        <v>4.1</v>
      </c>
      <c r="AY67" s="4">
        <v>40.71</v>
      </c>
      <c r="AZ67" s="4">
        <v>19520.0</v>
      </c>
      <c r="BA67" s="4">
        <v>6100.0</v>
      </c>
      <c r="BB67" s="4"/>
      <c r="BC67" s="4"/>
      <c r="BD67" s="4">
        <v>93940.0</v>
      </c>
      <c r="BE67" s="4">
        <f t="shared" si="30"/>
        <v>5</v>
      </c>
      <c r="BF67" s="4">
        <f t="shared" si="121"/>
        <v>5</v>
      </c>
      <c r="BG67" s="4">
        <f t="shared" ref="BG67:BH67" si="244">0.5*50</f>
        <v>25</v>
      </c>
      <c r="BH67" s="4">
        <f t="shared" si="244"/>
        <v>25</v>
      </c>
      <c r="BI67" s="4">
        <f t="shared" si="7"/>
        <v>5</v>
      </c>
      <c r="BJ67" s="4">
        <f t="shared" si="216"/>
        <v>25</v>
      </c>
      <c r="BK67" s="4">
        <v>1.0</v>
      </c>
      <c r="BL67" s="4">
        <f t="shared" si="206"/>
        <v>5</v>
      </c>
      <c r="BM67" s="4">
        <f t="shared" si="217"/>
        <v>25</v>
      </c>
      <c r="BN67" s="4">
        <v>1.0</v>
      </c>
      <c r="BO67" s="4">
        <f t="shared" si="212"/>
        <v>0.25</v>
      </c>
      <c r="BP67" s="4">
        <f t="shared" si="204"/>
        <v>0.5</v>
      </c>
      <c r="BQ67" s="4">
        <f t="shared" si="11"/>
        <v>2.5</v>
      </c>
      <c r="BR67" s="4">
        <f t="shared" si="12"/>
        <v>0.25</v>
      </c>
      <c r="BS67" s="4">
        <f t="shared" si="245"/>
        <v>50</v>
      </c>
      <c r="BT67" s="4">
        <v>377.0</v>
      </c>
      <c r="BU67" s="4">
        <f t="shared" si="140"/>
        <v>0.5</v>
      </c>
      <c r="BV67" s="4">
        <f t="shared" si="145"/>
        <v>5</v>
      </c>
      <c r="BW67" s="4">
        <v>54.0</v>
      </c>
      <c r="BX67" s="4">
        <v>1.0</v>
      </c>
      <c r="BY67" s="4">
        <f t="shared" si="241"/>
        <v>5</v>
      </c>
      <c r="BZ67" s="4">
        <f t="shared" si="219"/>
        <v>25</v>
      </c>
      <c r="CA67" s="4">
        <v>1.0</v>
      </c>
      <c r="CB67" s="4">
        <f t="shared" si="220"/>
        <v>0.25</v>
      </c>
      <c r="CC67" s="4">
        <f>0.5*1</f>
        <v>0.5</v>
      </c>
      <c r="CD67" s="4">
        <f t="shared" si="88"/>
        <v>2.5</v>
      </c>
      <c r="CE67" s="4">
        <f t="shared" si="136"/>
        <v>0.25</v>
      </c>
      <c r="CF67" s="4">
        <f>0.5*100</f>
        <v>50</v>
      </c>
      <c r="CG67" s="4">
        <v>402.0</v>
      </c>
      <c r="CH67" s="4">
        <f t="shared" si="168"/>
        <v>0.5</v>
      </c>
      <c r="CI67" s="4"/>
      <c r="CJ67" s="4"/>
      <c r="CK67" s="4">
        <f t="shared" ref="CK67:CL67" si="246">0.5*0.001</f>
        <v>0.0005</v>
      </c>
      <c r="CL67" s="4">
        <f t="shared" si="246"/>
        <v>0.0005</v>
      </c>
      <c r="CM67" s="4">
        <f t="shared" si="243"/>
        <v>0.25</v>
      </c>
      <c r="CN67" s="4"/>
      <c r="CO67" s="4"/>
      <c r="CP67" s="4"/>
      <c r="CQ67" s="4">
        <v>0.0</v>
      </c>
      <c r="CR67" s="4"/>
      <c r="CS67" s="4">
        <v>11904.76</v>
      </c>
      <c r="CT67" s="4"/>
      <c r="CU67" s="4"/>
      <c r="CV67" s="4"/>
      <c r="CW67" s="4"/>
      <c r="CX67" s="4">
        <v>25714.29</v>
      </c>
      <c r="CY67" s="4"/>
      <c r="CZ67" s="4">
        <v>0.0</v>
      </c>
      <c r="DA67" s="4"/>
    </row>
    <row r="68">
      <c r="A68" s="4" t="s">
        <v>278</v>
      </c>
      <c r="B68" s="4" t="s">
        <v>279</v>
      </c>
      <c r="C68" s="5" t="s">
        <v>418</v>
      </c>
      <c r="D68" s="5" t="s">
        <v>421</v>
      </c>
      <c r="E68" s="4" t="s">
        <v>412</v>
      </c>
      <c r="F68" s="4" t="s">
        <v>110</v>
      </c>
      <c r="G68" s="4" t="s">
        <v>111</v>
      </c>
      <c r="H68" s="4" t="s">
        <v>274</v>
      </c>
      <c r="I68" s="4" t="s">
        <v>275</v>
      </c>
      <c r="J68" s="4" t="s">
        <v>422</v>
      </c>
      <c r="K68" s="4" t="s">
        <v>423</v>
      </c>
      <c r="L68" s="4">
        <v>-23.1383</v>
      </c>
      <c r="M68" s="4">
        <v>-61.9641</v>
      </c>
      <c r="N68" s="4"/>
      <c r="O68" s="4"/>
      <c r="P68" s="4"/>
      <c r="Q68" s="4">
        <v>196.0</v>
      </c>
      <c r="R68" s="4">
        <v>8.36</v>
      </c>
      <c r="S68" s="4">
        <v>-78.1</v>
      </c>
      <c r="T68" s="4">
        <v>1193.0</v>
      </c>
      <c r="U68" s="4"/>
      <c r="V68" s="4">
        <v>22.2</v>
      </c>
      <c r="W68" s="4">
        <v>8.28</v>
      </c>
      <c r="X68" s="4">
        <v>97.0</v>
      </c>
      <c r="Y68" s="4">
        <v>731.0</v>
      </c>
      <c r="Z68" s="4">
        <v>1481.0</v>
      </c>
      <c r="AA68" s="4">
        <v>731.0</v>
      </c>
      <c r="AB68" s="4">
        <v>750.0</v>
      </c>
      <c r="AC68" s="4">
        <v>3.0</v>
      </c>
      <c r="AD68" s="4">
        <v>255.0</v>
      </c>
      <c r="AE68" s="4">
        <v>0.0</v>
      </c>
      <c r="AF68" s="4">
        <v>110.88</v>
      </c>
      <c r="AG68" s="4">
        <v>165.02</v>
      </c>
      <c r="AH68" s="4">
        <v>277.2</v>
      </c>
      <c r="AI68" s="4">
        <v>82.2</v>
      </c>
      <c r="AJ68" s="4">
        <v>8.51</v>
      </c>
      <c r="AK68" s="4">
        <v>160.72</v>
      </c>
      <c r="AL68" s="4">
        <v>7.22</v>
      </c>
      <c r="AM68" s="4">
        <v>84.2</v>
      </c>
      <c r="AN68" s="4">
        <v>10.9</v>
      </c>
      <c r="AO68" s="4">
        <v>168.58</v>
      </c>
      <c r="AP68" s="4">
        <v>7.22</v>
      </c>
      <c r="AQ68" s="4">
        <v>1.19</v>
      </c>
      <c r="AR68" s="4">
        <v>0.255</v>
      </c>
      <c r="AS68" s="4">
        <v>0.164</v>
      </c>
      <c r="AT68" s="4">
        <v>0.028</v>
      </c>
      <c r="AU68" s="4">
        <v>1.948</v>
      </c>
      <c r="AV68" s="4">
        <v>0.162</v>
      </c>
      <c r="AW68" s="4"/>
      <c r="AX68" s="4">
        <v>13.3</v>
      </c>
      <c r="AY68" s="4">
        <v>54.28</v>
      </c>
      <c r="AZ68" s="4">
        <v>26840.0</v>
      </c>
      <c r="BA68" s="4">
        <v>1830.0</v>
      </c>
      <c r="BB68" s="4"/>
      <c r="BC68" s="4"/>
      <c r="BD68" s="4">
        <v>134200.0</v>
      </c>
      <c r="BE68" s="4">
        <f t="shared" si="30"/>
        <v>5</v>
      </c>
      <c r="BF68" s="4">
        <f t="shared" si="121"/>
        <v>5</v>
      </c>
      <c r="BG68" s="4">
        <f t="shared" ref="BG68:BH68" si="247">0.5*50</f>
        <v>25</v>
      </c>
      <c r="BH68" s="4">
        <f t="shared" si="247"/>
        <v>25</v>
      </c>
      <c r="BI68" s="4">
        <f t="shared" si="7"/>
        <v>5</v>
      </c>
      <c r="BJ68" s="4">
        <f t="shared" si="216"/>
        <v>25</v>
      </c>
      <c r="BK68" s="4">
        <f>0.5*1</f>
        <v>0.5</v>
      </c>
      <c r="BL68" s="4">
        <f t="shared" si="206"/>
        <v>5</v>
      </c>
      <c r="BM68" s="4">
        <f t="shared" si="217"/>
        <v>25</v>
      </c>
      <c r="BN68" s="4">
        <v>2.0</v>
      </c>
      <c r="BO68" s="4">
        <f t="shared" si="212"/>
        <v>0.25</v>
      </c>
      <c r="BP68" s="4">
        <f t="shared" si="204"/>
        <v>0.5</v>
      </c>
      <c r="BQ68" s="4">
        <f t="shared" si="11"/>
        <v>2.5</v>
      </c>
      <c r="BR68" s="4">
        <f t="shared" si="12"/>
        <v>0.25</v>
      </c>
      <c r="BS68" s="4">
        <f t="shared" si="245"/>
        <v>50</v>
      </c>
      <c r="BT68" s="4">
        <v>809.0</v>
      </c>
      <c r="BU68" s="4">
        <f t="shared" si="140"/>
        <v>0.5</v>
      </c>
      <c r="BV68" s="4">
        <v>22.0</v>
      </c>
      <c r="BW68" s="4">
        <v>373.0</v>
      </c>
      <c r="BX68" s="4">
        <v>15.0</v>
      </c>
      <c r="BY68" s="4">
        <v>22.0</v>
      </c>
      <c r="BZ68" s="4">
        <v>85.0</v>
      </c>
      <c r="CA68" s="4">
        <v>13.0</v>
      </c>
      <c r="CB68" s="4">
        <f t="shared" si="220"/>
        <v>0.25</v>
      </c>
      <c r="CC68" s="4">
        <v>18.0</v>
      </c>
      <c r="CD68" s="4">
        <f t="shared" si="88"/>
        <v>2.5</v>
      </c>
      <c r="CE68" s="4">
        <f t="shared" si="136"/>
        <v>0.25</v>
      </c>
      <c r="CF68" s="4">
        <v>29054.0</v>
      </c>
      <c r="CG68" s="4">
        <v>1114.0</v>
      </c>
      <c r="CH68" s="4">
        <f t="shared" si="168"/>
        <v>0.5</v>
      </c>
      <c r="CI68" s="4"/>
      <c r="CJ68" s="4"/>
      <c r="CK68" s="4">
        <f t="shared" ref="CK68:CL68" si="248">0.5*0.001</f>
        <v>0.0005</v>
      </c>
      <c r="CL68" s="4">
        <f t="shared" si="248"/>
        <v>0.0005</v>
      </c>
      <c r="CM68" s="4">
        <f t="shared" si="243"/>
        <v>0.25</v>
      </c>
      <c r="CN68" s="4"/>
      <c r="CO68" s="4">
        <v>113.33</v>
      </c>
      <c r="CP68" s="4">
        <v>14.37</v>
      </c>
      <c r="CQ68" s="4">
        <v>14.67</v>
      </c>
      <c r="CR68" s="4"/>
      <c r="CS68" s="4">
        <v>406.67</v>
      </c>
      <c r="CT68" s="4"/>
      <c r="CU68" s="4">
        <v>29.33</v>
      </c>
      <c r="CV68" s="4">
        <v>29.33</v>
      </c>
      <c r="CW68" s="4">
        <v>38738.67</v>
      </c>
      <c r="CX68" s="4">
        <v>497.33</v>
      </c>
      <c r="CY68" s="4"/>
      <c r="CZ68" s="4">
        <v>20.0</v>
      </c>
      <c r="DA68" s="4"/>
    </row>
    <row r="69">
      <c r="A69" s="4" t="s">
        <v>424</v>
      </c>
      <c r="B69" s="4" t="s">
        <v>425</v>
      </c>
      <c r="C69" s="5" t="s">
        <v>426</v>
      </c>
      <c r="D69" s="5" t="s">
        <v>169</v>
      </c>
      <c r="E69" s="4" t="s">
        <v>427</v>
      </c>
      <c r="F69" s="4" t="s">
        <v>110</v>
      </c>
      <c r="G69" s="4" t="s">
        <v>111</v>
      </c>
      <c r="H69" s="4" t="s">
        <v>428</v>
      </c>
      <c r="J69" s="4" t="s">
        <v>429</v>
      </c>
      <c r="K69" s="4" t="s">
        <v>430</v>
      </c>
      <c r="L69" s="4">
        <v>-24.1899</v>
      </c>
      <c r="M69" s="4">
        <v>-58.2998</v>
      </c>
      <c r="N69" s="4"/>
      <c r="O69" s="4"/>
      <c r="P69" s="4"/>
      <c r="Q69" s="4"/>
      <c r="R69" s="4">
        <v>7.03</v>
      </c>
      <c r="S69" s="4"/>
      <c r="T69" s="4">
        <v>261.5</v>
      </c>
      <c r="U69" s="4"/>
      <c r="V69" s="4">
        <v>23.1</v>
      </c>
      <c r="W69" s="4">
        <v>7.0</v>
      </c>
      <c r="X69" s="4">
        <v>82.0</v>
      </c>
      <c r="Y69" s="4">
        <v>237.0</v>
      </c>
      <c r="Z69" s="4">
        <v>305.4</v>
      </c>
      <c r="AA69" s="4">
        <v>190.0</v>
      </c>
      <c r="AB69" s="4">
        <v>115.4</v>
      </c>
      <c r="AC69" s="4">
        <v>40.0</v>
      </c>
      <c r="AD69" s="4">
        <v>35.0</v>
      </c>
      <c r="AE69" s="4">
        <v>0.0</v>
      </c>
      <c r="AF69" s="4">
        <v>26.76</v>
      </c>
      <c r="AG69" s="4">
        <v>46.24</v>
      </c>
      <c r="AH69" s="4">
        <v>22.2</v>
      </c>
      <c r="AI69" s="4">
        <v>7.2</v>
      </c>
      <c r="AJ69" s="4">
        <v>3.16</v>
      </c>
      <c r="AK69" s="4">
        <v>32.77</v>
      </c>
      <c r="AL69" s="4">
        <v>7.94</v>
      </c>
      <c r="AM69" s="4">
        <v>8.4</v>
      </c>
      <c r="AN69" s="4">
        <v>3.4</v>
      </c>
      <c r="AO69" s="4">
        <v>34.46</v>
      </c>
      <c r="AP69" s="4">
        <v>10.15</v>
      </c>
      <c r="AQ69" s="4">
        <v>2.29</v>
      </c>
      <c r="AR69" s="4">
        <v>0.74</v>
      </c>
      <c r="AS69" s="4">
        <v>0.313</v>
      </c>
      <c r="AT69" s="4">
        <v>0.235</v>
      </c>
      <c r="AU69" s="4">
        <v>2.001</v>
      </c>
      <c r="AV69" s="4">
        <v>0.496</v>
      </c>
      <c r="AW69" s="4"/>
      <c r="AX69" s="4">
        <v>2.6</v>
      </c>
      <c r="AY69" s="4">
        <v>52.44</v>
      </c>
      <c r="AZ69" s="4">
        <v>50400.0</v>
      </c>
      <c r="BA69" s="4">
        <v>2840.0</v>
      </c>
      <c r="BB69" s="4"/>
      <c r="BC69" s="4"/>
      <c r="BD69" s="4">
        <v>60980.0</v>
      </c>
      <c r="BE69" s="4">
        <f t="shared" si="30"/>
        <v>5</v>
      </c>
      <c r="BF69" s="4">
        <f t="shared" si="121"/>
        <v>5</v>
      </c>
      <c r="BG69" s="4">
        <f t="shared" ref="BG69:BH69" si="249">0.5*50</f>
        <v>25</v>
      </c>
      <c r="BH69" s="4">
        <f t="shared" si="249"/>
        <v>25</v>
      </c>
      <c r="BI69" s="4">
        <f t="shared" si="7"/>
        <v>5</v>
      </c>
      <c r="BJ69" s="4">
        <f t="shared" si="216"/>
        <v>25</v>
      </c>
      <c r="BK69" s="4">
        <v>4.0</v>
      </c>
      <c r="BL69" s="4">
        <f t="shared" si="206"/>
        <v>5</v>
      </c>
      <c r="BM69" s="4">
        <f t="shared" si="217"/>
        <v>25</v>
      </c>
      <c r="BN69" s="4">
        <v>5.0</v>
      </c>
      <c r="BO69" s="4">
        <f t="shared" si="212"/>
        <v>0.25</v>
      </c>
      <c r="BP69" s="4">
        <v>2.0</v>
      </c>
      <c r="BQ69" s="4">
        <f t="shared" si="11"/>
        <v>2.5</v>
      </c>
      <c r="BR69" s="4">
        <f t="shared" si="12"/>
        <v>0.25</v>
      </c>
      <c r="BS69" s="4">
        <v>2205.0</v>
      </c>
      <c r="BT69" s="4">
        <v>165.0</v>
      </c>
      <c r="BU69" s="4">
        <f t="shared" si="140"/>
        <v>0.5</v>
      </c>
      <c r="BV69" s="4">
        <v>38.0</v>
      </c>
      <c r="BW69" s="4">
        <v>67.0</v>
      </c>
      <c r="BX69" s="4">
        <v>19.0</v>
      </c>
      <c r="BY69" s="4">
        <v>17.0</v>
      </c>
      <c r="BZ69" s="4">
        <v>74.0</v>
      </c>
      <c r="CA69" s="4">
        <v>15.0</v>
      </c>
      <c r="CB69" s="4">
        <f t="shared" si="220"/>
        <v>0.25</v>
      </c>
      <c r="CC69" s="4">
        <v>5.0</v>
      </c>
      <c r="CD69" s="4">
        <f t="shared" si="88"/>
        <v>2.5</v>
      </c>
      <c r="CE69" s="4">
        <f t="shared" si="136"/>
        <v>0.25</v>
      </c>
      <c r="CF69" s="4">
        <v>15385.0</v>
      </c>
      <c r="CG69" s="4">
        <v>493.0</v>
      </c>
      <c r="CH69" s="4">
        <v>1.0</v>
      </c>
      <c r="CI69" s="4"/>
      <c r="CJ69" s="4"/>
      <c r="CK69" s="4">
        <f t="shared" ref="CK69:CL69" si="250">0.5*0.001</f>
        <v>0.0005</v>
      </c>
      <c r="CL69" s="4">
        <f t="shared" si="250"/>
        <v>0.0005</v>
      </c>
      <c r="CM69" s="4">
        <f t="shared" si="243"/>
        <v>0.25</v>
      </c>
      <c r="CN69" s="4">
        <v>8.67</v>
      </c>
      <c r="CO69" s="4">
        <v>641.25</v>
      </c>
      <c r="CP69" s="4"/>
      <c r="CQ69" s="4">
        <v>86.66</v>
      </c>
      <c r="CR69" s="4"/>
      <c r="CS69" s="4">
        <v>2842.29</v>
      </c>
      <c r="CT69" s="4"/>
      <c r="CU69" s="4">
        <v>147.31</v>
      </c>
      <c r="CV69" s="4">
        <v>329.29</v>
      </c>
      <c r="CW69" s="4">
        <v>114211.44</v>
      </c>
      <c r="CX69" s="4">
        <v>580.59</v>
      </c>
      <c r="CY69" s="4"/>
      <c r="CZ69" s="4">
        <v>129.98</v>
      </c>
      <c r="DA69" s="4"/>
    </row>
    <row r="70">
      <c r="A70" s="4" t="s">
        <v>431</v>
      </c>
      <c r="B70" s="4" t="s">
        <v>432</v>
      </c>
      <c r="C70" s="5" t="s">
        <v>426</v>
      </c>
      <c r="D70" s="5" t="s">
        <v>162</v>
      </c>
      <c r="E70" s="4" t="s">
        <v>427</v>
      </c>
      <c r="F70" s="4" t="s">
        <v>110</v>
      </c>
      <c r="G70" s="4" t="s">
        <v>111</v>
      </c>
      <c r="H70" s="4" t="s">
        <v>254</v>
      </c>
      <c r="J70" s="4" t="s">
        <v>433</v>
      </c>
      <c r="K70" s="4" t="s">
        <v>434</v>
      </c>
      <c r="L70" s="4">
        <v>-23.8931</v>
      </c>
      <c r="M70" s="4">
        <v>-58.4465</v>
      </c>
      <c r="N70" s="4"/>
      <c r="O70" s="4"/>
      <c r="P70" s="4"/>
      <c r="Q70" s="4"/>
      <c r="R70" s="4">
        <v>7.0</v>
      </c>
      <c r="S70" s="4"/>
      <c r="T70" s="4">
        <v>554.0</v>
      </c>
      <c r="U70" s="4"/>
      <c r="V70" s="4">
        <v>23.0</v>
      </c>
      <c r="W70" s="4">
        <v>6.21</v>
      </c>
      <c r="X70" s="4">
        <v>72.0</v>
      </c>
      <c r="Y70" s="4">
        <v>69.4</v>
      </c>
      <c r="Z70" s="4">
        <v>407.7</v>
      </c>
      <c r="AA70" s="4">
        <v>378.0</v>
      </c>
      <c r="AB70" s="4">
        <v>29.7</v>
      </c>
      <c r="AC70" s="4">
        <v>50.0</v>
      </c>
      <c r="AD70" s="4">
        <v>54.0</v>
      </c>
      <c r="AE70" s="4">
        <v>0.0</v>
      </c>
      <c r="AF70" s="4">
        <v>33.83</v>
      </c>
      <c r="AG70" s="4">
        <v>100.96</v>
      </c>
      <c r="AH70" s="4">
        <v>60.67</v>
      </c>
      <c r="AI70" s="4">
        <v>14.4</v>
      </c>
      <c r="AJ70" s="4">
        <v>3.4</v>
      </c>
      <c r="AK70" s="4">
        <v>81.4</v>
      </c>
      <c r="AL70" s="4">
        <v>6.65</v>
      </c>
      <c r="AM70" s="4">
        <v>16.0</v>
      </c>
      <c r="AN70" s="4">
        <v>3.4</v>
      </c>
      <c r="AO70" s="4">
        <v>83.79</v>
      </c>
      <c r="AP70" s="4">
        <v>6.99</v>
      </c>
      <c r="AQ70" s="4">
        <v>2.22</v>
      </c>
      <c r="AR70" s="4">
        <v>0.698</v>
      </c>
      <c r="AS70" s="4">
        <v>0.037</v>
      </c>
      <c r="AT70" s="4">
        <v>0.067</v>
      </c>
      <c r="AU70" s="4">
        <v>0.815</v>
      </c>
      <c r="AV70" s="4">
        <v>0.346</v>
      </c>
      <c r="AW70" s="4"/>
      <c r="AX70" s="4">
        <v>5.4</v>
      </c>
      <c r="AY70" s="4">
        <v>57.56</v>
      </c>
      <c r="AZ70" s="4">
        <v>25960.0</v>
      </c>
      <c r="BA70" s="4">
        <v>1720.0</v>
      </c>
      <c r="BB70" s="4"/>
      <c r="BC70" s="4"/>
      <c r="BD70" s="4">
        <v>31150.0</v>
      </c>
      <c r="BE70" s="4">
        <f t="shared" si="30"/>
        <v>5</v>
      </c>
      <c r="BF70" s="4">
        <f t="shared" si="121"/>
        <v>5</v>
      </c>
      <c r="BG70" s="4">
        <f t="shared" ref="BG70:BH70" si="251">0.5*50</f>
        <v>25</v>
      </c>
      <c r="BH70" s="4">
        <f t="shared" si="251"/>
        <v>25</v>
      </c>
      <c r="BI70" s="4">
        <f t="shared" si="7"/>
        <v>5</v>
      </c>
      <c r="BJ70" s="4">
        <f t="shared" si="216"/>
        <v>25</v>
      </c>
      <c r="BK70" s="4">
        <v>1.0</v>
      </c>
      <c r="BL70" s="4">
        <f t="shared" si="206"/>
        <v>5</v>
      </c>
      <c r="BM70" s="4">
        <f t="shared" si="217"/>
        <v>25</v>
      </c>
      <c r="BN70" s="4">
        <v>2.0</v>
      </c>
      <c r="BO70" s="4">
        <f t="shared" si="212"/>
        <v>0.25</v>
      </c>
      <c r="BP70" s="4">
        <f>0.5*1</f>
        <v>0.5</v>
      </c>
      <c r="BQ70" s="4">
        <f t="shared" si="11"/>
        <v>2.5</v>
      </c>
      <c r="BR70" s="4">
        <f t="shared" si="12"/>
        <v>0.25</v>
      </c>
      <c r="BS70" s="4">
        <v>474.0</v>
      </c>
      <c r="BT70" s="4">
        <v>204.0</v>
      </c>
      <c r="BU70" s="4">
        <f t="shared" si="140"/>
        <v>0.5</v>
      </c>
      <c r="BV70" s="4">
        <f>0.5*10</f>
        <v>5</v>
      </c>
      <c r="BW70" s="4">
        <f>0.5*50</f>
        <v>25</v>
      </c>
      <c r="BX70" s="4">
        <v>8.0</v>
      </c>
      <c r="BY70" s="4">
        <f>0.5*10</f>
        <v>5</v>
      </c>
      <c r="BZ70" s="4">
        <f t="shared" ref="BZ70:BZ73" si="254">0.5*50</f>
        <v>25</v>
      </c>
      <c r="CA70" s="4">
        <v>4.0</v>
      </c>
      <c r="CB70" s="4">
        <f t="shared" si="220"/>
        <v>0.25</v>
      </c>
      <c r="CC70" s="4">
        <v>1.0</v>
      </c>
      <c r="CD70" s="4">
        <f t="shared" si="88"/>
        <v>2.5</v>
      </c>
      <c r="CE70" s="4">
        <f t="shared" si="136"/>
        <v>0.25</v>
      </c>
      <c r="CF70" s="4">
        <v>2411.0</v>
      </c>
      <c r="CG70" s="4">
        <v>310.0</v>
      </c>
      <c r="CH70" s="4">
        <f>0.5*1</f>
        <v>0.5</v>
      </c>
      <c r="CI70" s="4"/>
      <c r="CJ70" s="4"/>
      <c r="CK70" s="4">
        <f t="shared" ref="CK70:CL70" si="252">0.5*0.001</f>
        <v>0.0005</v>
      </c>
      <c r="CL70" s="4">
        <f t="shared" si="252"/>
        <v>0.0005</v>
      </c>
      <c r="CM70" s="4">
        <f t="shared" si="243"/>
        <v>0.25</v>
      </c>
      <c r="CN70" s="4"/>
      <c r="CO70" s="4"/>
      <c r="CP70" s="4"/>
      <c r="CQ70" s="4">
        <v>67.34</v>
      </c>
      <c r="CR70" s="4"/>
      <c r="CS70" s="4">
        <v>3569.02</v>
      </c>
      <c r="CT70" s="4"/>
      <c r="CU70" s="4"/>
      <c r="CV70" s="4"/>
      <c r="CW70" s="4">
        <v>65218.86</v>
      </c>
      <c r="CX70" s="4"/>
      <c r="CY70" s="4"/>
      <c r="CZ70" s="4">
        <v>235.69</v>
      </c>
      <c r="DA70" s="4"/>
    </row>
    <row r="71">
      <c r="A71" s="4" t="s">
        <v>435</v>
      </c>
      <c r="B71" s="4" t="s">
        <v>436</v>
      </c>
      <c r="C71" s="5" t="s">
        <v>426</v>
      </c>
      <c r="D71" s="5" t="s">
        <v>437</v>
      </c>
      <c r="E71" s="4" t="s">
        <v>427</v>
      </c>
      <c r="F71" s="4" t="s">
        <v>110</v>
      </c>
      <c r="G71" s="4" t="s">
        <v>111</v>
      </c>
      <c r="H71" s="4" t="s">
        <v>438</v>
      </c>
      <c r="J71" s="4" t="s">
        <v>439</v>
      </c>
      <c r="K71" s="4" t="s">
        <v>440</v>
      </c>
      <c r="L71" s="4">
        <v>-23.215</v>
      </c>
      <c r="M71" s="4">
        <v>-59.2025</v>
      </c>
      <c r="N71" s="4"/>
      <c r="O71" s="4"/>
      <c r="P71" s="4"/>
      <c r="Q71" s="4"/>
      <c r="R71" s="4">
        <v>7.62</v>
      </c>
      <c r="S71" s="4"/>
      <c r="T71" s="4">
        <v>845.0</v>
      </c>
      <c r="U71" s="4"/>
      <c r="V71" s="4">
        <v>23.9</v>
      </c>
      <c r="W71" s="4">
        <v>5.58</v>
      </c>
      <c r="X71" s="4">
        <v>67.0</v>
      </c>
      <c r="Y71" s="4">
        <v>116.0</v>
      </c>
      <c r="Z71" s="4">
        <v>673.7</v>
      </c>
      <c r="AA71" s="4">
        <v>592.0</v>
      </c>
      <c r="AB71" s="4">
        <v>81.7</v>
      </c>
      <c r="AC71" s="4">
        <v>50.0</v>
      </c>
      <c r="AD71" s="4">
        <v>100.0</v>
      </c>
      <c r="AE71" s="4">
        <v>0.0</v>
      </c>
      <c r="AF71" s="4">
        <v>80.8</v>
      </c>
      <c r="AG71" s="4">
        <v>168.9</v>
      </c>
      <c r="AH71" s="4">
        <v>109.95</v>
      </c>
      <c r="AI71" s="4">
        <v>30.0</v>
      </c>
      <c r="AJ71" s="4">
        <v>4.86</v>
      </c>
      <c r="AK71" s="4">
        <v>138.09</v>
      </c>
      <c r="AL71" s="4">
        <v>7.69</v>
      </c>
      <c r="AM71" s="4">
        <v>32.0</v>
      </c>
      <c r="AN71" s="4">
        <v>4.86</v>
      </c>
      <c r="AO71" s="4">
        <v>141.28</v>
      </c>
      <c r="AP71" s="4">
        <v>8.17</v>
      </c>
      <c r="AQ71" s="4">
        <v>3.37</v>
      </c>
      <c r="AR71" s="4">
        <v>1.06</v>
      </c>
      <c r="AS71" s="4">
        <v>0.304</v>
      </c>
      <c r="AT71" s="4">
        <v>0.24</v>
      </c>
      <c r="AU71" s="4">
        <v>0.974</v>
      </c>
      <c r="AV71" s="4">
        <v>0.517</v>
      </c>
      <c r="AW71" s="4"/>
      <c r="AX71" s="4">
        <v>4.8</v>
      </c>
      <c r="AY71" s="4">
        <v>114.15</v>
      </c>
      <c r="AZ71" s="4">
        <v>90000.0</v>
      </c>
      <c r="BA71" s="4">
        <v>1500.0</v>
      </c>
      <c r="BB71" s="4"/>
      <c r="BC71" s="4"/>
      <c r="BD71" s="4">
        <v>95040.0</v>
      </c>
      <c r="BE71" s="4">
        <f t="shared" si="30"/>
        <v>5</v>
      </c>
      <c r="BF71" s="4">
        <f t="shared" si="121"/>
        <v>5</v>
      </c>
      <c r="BG71" s="4">
        <f t="shared" ref="BG71:BH71" si="253">0.5*50</f>
        <v>25</v>
      </c>
      <c r="BH71" s="4">
        <f t="shared" si="253"/>
        <v>25</v>
      </c>
      <c r="BI71" s="4">
        <f t="shared" si="7"/>
        <v>5</v>
      </c>
      <c r="BJ71" s="4">
        <v>262.0</v>
      </c>
      <c r="BK71" s="4">
        <v>4.0</v>
      </c>
      <c r="BL71" s="4">
        <f t="shared" si="206"/>
        <v>5</v>
      </c>
      <c r="BM71" s="4">
        <f t="shared" si="217"/>
        <v>25</v>
      </c>
      <c r="BN71" s="4">
        <v>13.0</v>
      </c>
      <c r="BO71" s="4">
        <f t="shared" si="212"/>
        <v>0.25</v>
      </c>
      <c r="BP71" s="4">
        <v>1.0</v>
      </c>
      <c r="BQ71" s="4">
        <f t="shared" si="11"/>
        <v>2.5</v>
      </c>
      <c r="BR71" s="4">
        <f t="shared" si="12"/>
        <v>0.25</v>
      </c>
      <c r="BS71" s="4">
        <v>1113.0</v>
      </c>
      <c r="BT71" s="4">
        <v>751.0</v>
      </c>
      <c r="BU71" s="4">
        <f t="shared" si="140"/>
        <v>0.5</v>
      </c>
      <c r="BV71" s="4">
        <v>27.0</v>
      </c>
      <c r="BW71" s="4">
        <v>381.0</v>
      </c>
      <c r="BX71" s="4">
        <v>5.0</v>
      </c>
      <c r="BY71" s="4">
        <v>29.0</v>
      </c>
      <c r="BZ71" s="4">
        <f t="shared" si="254"/>
        <v>25</v>
      </c>
      <c r="CA71" s="4">
        <v>17.0</v>
      </c>
      <c r="CB71" s="4">
        <f t="shared" si="220"/>
        <v>0.25</v>
      </c>
      <c r="CC71" s="4">
        <v>5.0</v>
      </c>
      <c r="CD71" s="4">
        <f t="shared" si="88"/>
        <v>2.5</v>
      </c>
      <c r="CE71" s="4">
        <f t="shared" si="136"/>
        <v>0.25</v>
      </c>
      <c r="CF71" s="4">
        <v>5592.0</v>
      </c>
      <c r="CG71" s="4">
        <v>1063.0</v>
      </c>
      <c r="CH71" s="4">
        <v>1.0</v>
      </c>
      <c r="CI71" s="4"/>
      <c r="CJ71" s="4"/>
      <c r="CK71" s="4">
        <f>0.5*0.001</f>
        <v>0.0005</v>
      </c>
      <c r="CL71" s="4">
        <v>0.002</v>
      </c>
      <c r="CM71" s="4">
        <f t="shared" si="243"/>
        <v>0.25</v>
      </c>
      <c r="CN71" s="4">
        <v>12.24</v>
      </c>
      <c r="CO71" s="4"/>
      <c r="CP71" s="4"/>
      <c r="CQ71" s="4">
        <v>48.96</v>
      </c>
      <c r="CR71" s="4"/>
      <c r="CS71" s="4">
        <v>3818.85</v>
      </c>
      <c r="CT71" s="4"/>
      <c r="CU71" s="4">
        <v>354.96</v>
      </c>
      <c r="CV71" s="4">
        <v>330.48</v>
      </c>
      <c r="CW71" s="4">
        <v>54822.52</v>
      </c>
      <c r="CX71" s="4">
        <v>1456.55</v>
      </c>
      <c r="CY71" s="4"/>
      <c r="CZ71" s="4">
        <v>12.24</v>
      </c>
      <c r="DA71" s="4"/>
    </row>
    <row r="72">
      <c r="A72" s="4" t="s">
        <v>441</v>
      </c>
      <c r="B72" s="4" t="s">
        <v>442</v>
      </c>
      <c r="C72" s="5" t="s">
        <v>443</v>
      </c>
      <c r="D72" s="5" t="s">
        <v>444</v>
      </c>
      <c r="E72" s="4" t="s">
        <v>427</v>
      </c>
      <c r="F72" s="4" t="s">
        <v>110</v>
      </c>
      <c r="G72" s="4" t="s">
        <v>111</v>
      </c>
      <c r="H72" s="4" t="s">
        <v>254</v>
      </c>
      <c r="J72" s="4" t="s">
        <v>445</v>
      </c>
      <c r="K72" s="4" t="s">
        <v>446</v>
      </c>
      <c r="L72" s="4">
        <v>-23.7192</v>
      </c>
      <c r="M72" s="4">
        <v>-59.529</v>
      </c>
      <c r="N72" s="4"/>
      <c r="O72" s="4"/>
      <c r="P72" s="4"/>
      <c r="Q72" s="4"/>
      <c r="R72" s="4">
        <v>7.56</v>
      </c>
      <c r="S72" s="4"/>
      <c r="T72" s="4">
        <v>1587.0</v>
      </c>
      <c r="U72" s="4"/>
      <c r="V72" s="4">
        <v>26.3</v>
      </c>
      <c r="W72" s="4">
        <v>5.37</v>
      </c>
      <c r="X72" s="4">
        <v>67.3</v>
      </c>
      <c r="Y72" s="4">
        <v>74.8</v>
      </c>
      <c r="Z72" s="4">
        <v>933.3</v>
      </c>
      <c r="AA72" s="4">
        <v>884.0</v>
      </c>
      <c r="AB72" s="4">
        <v>49.3</v>
      </c>
      <c r="AC72" s="4">
        <v>70.0</v>
      </c>
      <c r="AD72" s="4">
        <v>220.0</v>
      </c>
      <c r="AE72" s="4">
        <v>0.0</v>
      </c>
      <c r="AF72" s="4">
        <v>117.16</v>
      </c>
      <c r="AG72" s="4">
        <v>354.89</v>
      </c>
      <c r="AH72" s="4">
        <v>191.48</v>
      </c>
      <c r="AI72" s="4">
        <v>52.0</v>
      </c>
      <c r="AJ72" s="4">
        <v>13.37</v>
      </c>
      <c r="AK72" s="4">
        <v>249.7</v>
      </c>
      <c r="AL72" s="4">
        <v>10.62</v>
      </c>
      <c r="AM72" s="4">
        <v>62.0</v>
      </c>
      <c r="AN72" s="4">
        <v>15.81</v>
      </c>
      <c r="AO72" s="4">
        <v>255.58</v>
      </c>
      <c r="AP72" s="4">
        <v>11.03</v>
      </c>
      <c r="AQ72" s="4">
        <v>3.34</v>
      </c>
      <c r="AR72" s="4">
        <v>1.08</v>
      </c>
      <c r="AS72" s="4">
        <v>0.054</v>
      </c>
      <c r="AT72" s="4">
        <v>0.055</v>
      </c>
      <c r="AU72" s="4">
        <v>0.412</v>
      </c>
      <c r="AV72" s="4">
        <v>0.616</v>
      </c>
      <c r="AW72" s="4"/>
      <c r="AX72" s="4">
        <v>5.8</v>
      </c>
      <c r="AY72" s="4">
        <v>43.42</v>
      </c>
      <c r="AZ72" s="4">
        <v>86620.0</v>
      </c>
      <c r="BA72" s="4">
        <v>1220.0</v>
      </c>
      <c r="BB72" s="4"/>
      <c r="BC72" s="4"/>
      <c r="BD72" s="4">
        <v>95040.0</v>
      </c>
      <c r="BE72" s="4">
        <f t="shared" si="30"/>
        <v>5</v>
      </c>
      <c r="BF72" s="4">
        <f t="shared" si="121"/>
        <v>5</v>
      </c>
      <c r="BG72" s="4">
        <f t="shared" ref="BG72:BH72" si="255">0.5*50</f>
        <v>25</v>
      </c>
      <c r="BH72" s="4">
        <f t="shared" si="255"/>
        <v>25</v>
      </c>
      <c r="BI72" s="4">
        <f t="shared" si="7"/>
        <v>5</v>
      </c>
      <c r="BJ72" s="4">
        <v>403.0</v>
      </c>
      <c r="BK72" s="4">
        <v>3.0</v>
      </c>
      <c r="BL72" s="4">
        <f t="shared" si="206"/>
        <v>5</v>
      </c>
      <c r="BM72" s="4">
        <f t="shared" si="217"/>
        <v>25</v>
      </c>
      <c r="BN72" s="4">
        <v>9.0</v>
      </c>
      <c r="BO72" s="4">
        <f t="shared" si="212"/>
        <v>0.25</v>
      </c>
      <c r="BP72" s="4">
        <f t="shared" ref="BP72:BP93" si="257">0.5*1</f>
        <v>0.5</v>
      </c>
      <c r="BQ72" s="4">
        <f t="shared" si="11"/>
        <v>2.5</v>
      </c>
      <c r="BR72" s="4">
        <f t="shared" si="12"/>
        <v>0.25</v>
      </c>
      <c r="BS72" s="4">
        <v>219.0</v>
      </c>
      <c r="BT72" s="4">
        <v>840.0</v>
      </c>
      <c r="BU72" s="4">
        <f t="shared" si="140"/>
        <v>0.5</v>
      </c>
      <c r="BV72" s="4">
        <f t="shared" ref="BV72:BV73" si="258">0.5*10</f>
        <v>5</v>
      </c>
      <c r="BW72" s="4">
        <v>405.0</v>
      </c>
      <c r="BX72" s="4">
        <v>3.0</v>
      </c>
      <c r="BY72" s="4">
        <f t="shared" ref="BY72:BY73" si="259">0.5*10</f>
        <v>5</v>
      </c>
      <c r="BZ72" s="4">
        <f t="shared" si="254"/>
        <v>25</v>
      </c>
      <c r="CA72" s="4">
        <v>15.0</v>
      </c>
      <c r="CB72" s="4">
        <f t="shared" si="220"/>
        <v>0.25</v>
      </c>
      <c r="CC72" s="4">
        <v>2.0</v>
      </c>
      <c r="CD72" s="4">
        <f t="shared" si="88"/>
        <v>2.5</v>
      </c>
      <c r="CE72" s="4">
        <f t="shared" si="136"/>
        <v>0.25</v>
      </c>
      <c r="CF72" s="4">
        <v>2203.0</v>
      </c>
      <c r="CG72" s="4">
        <v>855.0</v>
      </c>
      <c r="CH72" s="4">
        <f>0.5*1</f>
        <v>0.5</v>
      </c>
      <c r="CI72" s="4"/>
      <c r="CJ72" s="4"/>
      <c r="CK72" s="4">
        <v>0.002</v>
      </c>
      <c r="CL72" s="4">
        <f t="shared" ref="CL72:CL73" si="260">0.5*0.001</f>
        <v>0.0005</v>
      </c>
      <c r="CM72" s="4">
        <f t="shared" si="243"/>
        <v>0.25</v>
      </c>
      <c r="CN72" s="4"/>
      <c r="CO72" s="4"/>
      <c r="CP72" s="4"/>
      <c r="CQ72" s="4">
        <v>121.7</v>
      </c>
      <c r="CR72" s="4"/>
      <c r="CS72" s="4">
        <v>304.26</v>
      </c>
      <c r="CT72" s="4"/>
      <c r="CU72" s="4"/>
      <c r="CV72" s="4"/>
      <c r="CW72" s="4">
        <v>40243.41</v>
      </c>
      <c r="CX72" s="4">
        <v>40.57</v>
      </c>
      <c r="CY72" s="4"/>
      <c r="CZ72" s="4">
        <v>0.0</v>
      </c>
      <c r="DA72" s="4"/>
    </row>
    <row r="73">
      <c r="A73" s="4" t="s">
        <v>447</v>
      </c>
      <c r="B73" s="4" t="s">
        <v>448</v>
      </c>
      <c r="C73" s="5" t="s">
        <v>443</v>
      </c>
      <c r="D73" s="5" t="s">
        <v>449</v>
      </c>
      <c r="E73" s="4" t="s">
        <v>427</v>
      </c>
      <c r="F73" s="4" t="s">
        <v>110</v>
      </c>
      <c r="G73" s="4" t="s">
        <v>111</v>
      </c>
      <c r="H73" s="4" t="s">
        <v>149</v>
      </c>
      <c r="J73" s="4" t="s">
        <v>450</v>
      </c>
      <c r="K73" s="4" t="s">
        <v>451</v>
      </c>
      <c r="L73" s="4">
        <v>-23.7589</v>
      </c>
      <c r="M73" s="4">
        <v>-60.1301</v>
      </c>
      <c r="N73" s="4"/>
      <c r="O73" s="4"/>
      <c r="P73" s="4"/>
      <c r="Q73" s="4"/>
      <c r="R73" s="4">
        <v>7.33</v>
      </c>
      <c r="S73" s="4"/>
      <c r="T73" s="4">
        <v>510.5</v>
      </c>
      <c r="U73" s="4"/>
      <c r="V73" s="4">
        <v>25.6</v>
      </c>
      <c r="W73" s="4">
        <v>3.09</v>
      </c>
      <c r="X73" s="4">
        <v>38.0</v>
      </c>
      <c r="Y73" s="4">
        <v>35.8</v>
      </c>
      <c r="Z73" s="4">
        <v>333.9</v>
      </c>
      <c r="AA73" s="4">
        <v>318.0</v>
      </c>
      <c r="AB73" s="4">
        <v>15.9</v>
      </c>
      <c r="AC73" s="4">
        <v>90.0</v>
      </c>
      <c r="AD73" s="4">
        <v>148.0</v>
      </c>
      <c r="AE73" s="4">
        <v>0.0</v>
      </c>
      <c r="AF73" s="4">
        <v>153.52</v>
      </c>
      <c r="AG73" s="4">
        <v>48.48</v>
      </c>
      <c r="AH73" s="4">
        <v>29.97</v>
      </c>
      <c r="AI73" s="4">
        <v>41.6</v>
      </c>
      <c r="AJ73" s="4">
        <v>8.76</v>
      </c>
      <c r="AK73" s="4">
        <v>44.98</v>
      </c>
      <c r="AL73" s="4">
        <v>8.61</v>
      </c>
      <c r="AM73" s="4">
        <v>44.0</v>
      </c>
      <c r="AN73" s="4">
        <v>9.24</v>
      </c>
      <c r="AO73" s="4">
        <v>45.43</v>
      </c>
      <c r="AP73" s="4">
        <v>9.17</v>
      </c>
      <c r="AQ73" s="4">
        <v>2.83</v>
      </c>
      <c r="AR73" s="4">
        <v>0.896</v>
      </c>
      <c r="AS73" s="4">
        <v>0.05</v>
      </c>
      <c r="AT73" s="4">
        <v>0.03</v>
      </c>
      <c r="AU73" s="4">
        <v>0.283</v>
      </c>
      <c r="AV73" s="4">
        <v>0.398</v>
      </c>
      <c r="AW73" s="4"/>
      <c r="AX73" s="4">
        <v>2.9</v>
      </c>
      <c r="AY73" s="4">
        <v>68.29</v>
      </c>
      <c r="AZ73" s="4">
        <v>97020.0</v>
      </c>
      <c r="BA73" s="4">
        <v>18270.0</v>
      </c>
      <c r="BB73" s="4"/>
      <c r="BC73" s="4"/>
      <c r="BD73" s="4">
        <v>97020.0</v>
      </c>
      <c r="BE73" s="4">
        <f t="shared" si="30"/>
        <v>5</v>
      </c>
      <c r="BF73" s="4">
        <f t="shared" si="121"/>
        <v>5</v>
      </c>
      <c r="BG73" s="4">
        <f t="shared" ref="BG73:BH73" si="256">0.5*50</f>
        <v>25</v>
      </c>
      <c r="BH73" s="4">
        <f t="shared" si="256"/>
        <v>25</v>
      </c>
      <c r="BI73" s="4">
        <f t="shared" si="7"/>
        <v>5</v>
      </c>
      <c r="BJ73" s="4">
        <v>125.0</v>
      </c>
      <c r="BK73" s="4">
        <v>1.0</v>
      </c>
      <c r="BL73" s="4">
        <f t="shared" si="206"/>
        <v>5</v>
      </c>
      <c r="BM73" s="4">
        <f t="shared" si="217"/>
        <v>25</v>
      </c>
      <c r="BN73" s="4">
        <v>4.0</v>
      </c>
      <c r="BO73" s="4">
        <f t="shared" si="212"/>
        <v>0.25</v>
      </c>
      <c r="BP73" s="4">
        <f t="shared" si="257"/>
        <v>0.5</v>
      </c>
      <c r="BQ73" s="4">
        <f t="shared" si="11"/>
        <v>2.5</v>
      </c>
      <c r="BR73" s="4">
        <f t="shared" si="12"/>
        <v>0.25</v>
      </c>
      <c r="BS73" s="4">
        <v>425.0</v>
      </c>
      <c r="BT73" s="4">
        <v>454.0</v>
      </c>
      <c r="BU73" s="4">
        <f t="shared" si="140"/>
        <v>0.5</v>
      </c>
      <c r="BV73" s="4">
        <f t="shared" si="258"/>
        <v>5</v>
      </c>
      <c r="BW73" s="4">
        <v>137.0</v>
      </c>
      <c r="BX73" s="4">
        <v>10.0</v>
      </c>
      <c r="BY73" s="4">
        <f t="shared" si="259"/>
        <v>5</v>
      </c>
      <c r="BZ73" s="4">
        <f t="shared" si="254"/>
        <v>25</v>
      </c>
      <c r="CA73" s="4">
        <v>5.0</v>
      </c>
      <c r="CB73" s="4">
        <f t="shared" si="220"/>
        <v>0.25</v>
      </c>
      <c r="CC73" s="4">
        <f>0.5*1</f>
        <v>0.5</v>
      </c>
      <c r="CD73" s="4">
        <f t="shared" si="88"/>
        <v>2.5</v>
      </c>
      <c r="CE73" s="4">
        <f t="shared" si="136"/>
        <v>0.25</v>
      </c>
      <c r="CF73" s="4">
        <v>1075.0</v>
      </c>
      <c r="CG73" s="4">
        <v>486.0</v>
      </c>
      <c r="CH73" s="4">
        <v>1.0</v>
      </c>
      <c r="CI73" s="4"/>
      <c r="CJ73" s="4"/>
      <c r="CK73" s="4">
        <v>0.001</v>
      </c>
      <c r="CL73" s="4">
        <f t="shared" si="260"/>
        <v>0.0005</v>
      </c>
      <c r="CM73" s="4">
        <f t="shared" si="243"/>
        <v>0.25</v>
      </c>
      <c r="CN73" s="4">
        <v>62.89</v>
      </c>
      <c r="CO73" s="4"/>
      <c r="CP73" s="4"/>
      <c r="CQ73" s="4">
        <v>62.89</v>
      </c>
      <c r="CR73" s="4"/>
      <c r="CS73" s="4">
        <v>2012.58</v>
      </c>
      <c r="CT73" s="4"/>
      <c r="CU73" s="4"/>
      <c r="CV73" s="4"/>
      <c r="CW73" s="4">
        <v>40880.5</v>
      </c>
      <c r="CX73" s="4">
        <v>754.72</v>
      </c>
      <c r="CY73" s="4"/>
      <c r="CZ73" s="4">
        <v>566.04</v>
      </c>
      <c r="DA73" s="4"/>
    </row>
    <row r="74">
      <c r="A74" s="4" t="s">
        <v>452</v>
      </c>
      <c r="B74" s="4" t="s">
        <v>453</v>
      </c>
      <c r="C74" s="5" t="s">
        <v>454</v>
      </c>
      <c r="D74" s="5" t="s">
        <v>455</v>
      </c>
      <c r="E74" s="4" t="s">
        <v>427</v>
      </c>
      <c r="F74" s="4" t="s">
        <v>110</v>
      </c>
      <c r="G74" s="4" t="s">
        <v>111</v>
      </c>
      <c r="H74" s="4" t="s">
        <v>149</v>
      </c>
      <c r="I74" s="4" t="s">
        <v>249</v>
      </c>
      <c r="J74" s="4" t="s">
        <v>456</v>
      </c>
      <c r="K74" s="4" t="s">
        <v>457</v>
      </c>
      <c r="L74" s="4">
        <v>-23.5771</v>
      </c>
      <c r="M74" s="4">
        <v>-60.5799</v>
      </c>
      <c r="N74" s="4"/>
      <c r="O74" s="4"/>
      <c r="P74" s="4"/>
      <c r="Q74" s="4"/>
      <c r="R74" s="4">
        <v>7.94</v>
      </c>
      <c r="S74" s="4"/>
      <c r="T74" s="4">
        <v>602.0</v>
      </c>
      <c r="U74" s="4"/>
      <c r="V74" s="4">
        <v>23.1</v>
      </c>
      <c r="W74" s="4">
        <v>8.2</v>
      </c>
      <c r="X74" s="4">
        <v>98.0</v>
      </c>
      <c r="Y74" s="4">
        <v>2686.0</v>
      </c>
      <c r="Z74" s="4">
        <v>2504.7</v>
      </c>
      <c r="AA74" s="4">
        <v>368.0</v>
      </c>
      <c r="AB74" s="4">
        <v>2136.7</v>
      </c>
      <c r="AC74" s="4">
        <v>50.0</v>
      </c>
      <c r="AD74" s="4">
        <v>170.0</v>
      </c>
      <c r="AE74" s="4">
        <v>0.0</v>
      </c>
      <c r="AF74" s="4">
        <v>80.8</v>
      </c>
      <c r="AG74" s="4">
        <v>54.65</v>
      </c>
      <c r="AH74" s="4">
        <v>133.06</v>
      </c>
      <c r="AI74" s="4">
        <v>49.6</v>
      </c>
      <c r="AJ74" s="4">
        <v>9.73</v>
      </c>
      <c r="AK74" s="4">
        <v>44.67</v>
      </c>
      <c r="AL74" s="4">
        <v>2.77</v>
      </c>
      <c r="AM74" s="4">
        <v>52.0</v>
      </c>
      <c r="AN74" s="4">
        <v>9.73</v>
      </c>
      <c r="AO74" s="4">
        <v>52.71</v>
      </c>
      <c r="AP74" s="4">
        <v>3.35</v>
      </c>
      <c r="AQ74" s="4">
        <v>0.1</v>
      </c>
      <c r="AR74" s="4">
        <v>0.047</v>
      </c>
      <c r="AS74" s="4">
        <v>0.067</v>
      </c>
      <c r="AT74" s="4">
        <v>0.16</v>
      </c>
      <c r="AU74" s="4">
        <v>6.33</v>
      </c>
      <c r="AV74" s="4">
        <v>0.52</v>
      </c>
      <c r="AW74" s="4"/>
      <c r="AX74" s="4">
        <v>4.2</v>
      </c>
      <c r="AY74" s="4">
        <v>76.22</v>
      </c>
      <c r="AZ74" s="4">
        <v>18900.0</v>
      </c>
      <c r="BA74" s="4">
        <v>3780.0</v>
      </c>
      <c r="BB74" s="4"/>
      <c r="BC74" s="4"/>
      <c r="BD74" s="4">
        <v>80390.0</v>
      </c>
      <c r="BE74" s="4">
        <f t="shared" si="30"/>
        <v>5</v>
      </c>
      <c r="BF74" s="4">
        <f t="shared" si="121"/>
        <v>5</v>
      </c>
      <c r="BG74" s="4">
        <f t="shared" ref="BG74:BH74" si="261">0.5*50</f>
        <v>25</v>
      </c>
      <c r="BH74" s="4">
        <f t="shared" si="261"/>
        <v>25</v>
      </c>
      <c r="BI74" s="4">
        <f t="shared" si="7"/>
        <v>5</v>
      </c>
      <c r="BJ74" s="4">
        <f t="shared" ref="BJ74:BJ79" si="264">0.5*50</f>
        <v>25</v>
      </c>
      <c r="BK74" s="4">
        <v>1.0</v>
      </c>
      <c r="BL74" s="4">
        <f t="shared" si="206"/>
        <v>5</v>
      </c>
      <c r="BM74" s="4">
        <f t="shared" si="217"/>
        <v>25</v>
      </c>
      <c r="BN74" s="4">
        <v>1.0</v>
      </c>
      <c r="BO74" s="4">
        <f t="shared" si="212"/>
        <v>0.25</v>
      </c>
      <c r="BP74" s="4">
        <f t="shared" si="257"/>
        <v>0.5</v>
      </c>
      <c r="BQ74" s="4">
        <f t="shared" si="11"/>
        <v>2.5</v>
      </c>
      <c r="BR74" s="4">
        <f t="shared" si="12"/>
        <v>0.25</v>
      </c>
      <c r="BS74" s="4">
        <f t="shared" ref="BS74:BS79" si="265">0.5*100</f>
        <v>50</v>
      </c>
      <c r="BT74" s="4">
        <v>318.0</v>
      </c>
      <c r="BU74" s="4">
        <f t="shared" si="140"/>
        <v>0.5</v>
      </c>
      <c r="BV74" s="4">
        <v>77.0</v>
      </c>
      <c r="BW74" s="4">
        <v>1427.0</v>
      </c>
      <c r="BX74" s="4">
        <v>62.0</v>
      </c>
      <c r="BY74" s="4">
        <v>75.0</v>
      </c>
      <c r="BZ74" s="4">
        <v>317.0</v>
      </c>
      <c r="CA74" s="4">
        <v>41.0</v>
      </c>
      <c r="CB74" s="4">
        <v>0.6</v>
      </c>
      <c r="CC74" s="4">
        <v>68.0</v>
      </c>
      <c r="CD74" s="4">
        <f t="shared" si="88"/>
        <v>2.5</v>
      </c>
      <c r="CE74" s="4">
        <f t="shared" si="136"/>
        <v>0.25</v>
      </c>
      <c r="CF74" s="4">
        <v>121964.0</v>
      </c>
      <c r="CG74" s="4">
        <v>516.0</v>
      </c>
      <c r="CH74" s="4">
        <f>0.5*1</f>
        <v>0.5</v>
      </c>
      <c r="CI74" s="4"/>
      <c r="CJ74" s="4"/>
      <c r="CK74" s="4">
        <f t="shared" ref="CK74:CL74" si="262">0.5*0.001</f>
        <v>0.0005</v>
      </c>
      <c r="CL74" s="4">
        <f t="shared" si="262"/>
        <v>0.0005</v>
      </c>
      <c r="CM74" s="4">
        <f t="shared" si="243"/>
        <v>0.25</v>
      </c>
      <c r="CN74" s="4"/>
      <c r="CO74" s="4">
        <v>148.36</v>
      </c>
      <c r="CP74" s="4">
        <v>30.53</v>
      </c>
      <c r="CQ74" s="4">
        <v>18.72</v>
      </c>
      <c r="CR74" s="4"/>
      <c r="CS74" s="4">
        <v>92.67</v>
      </c>
      <c r="CT74" s="4">
        <v>0.28</v>
      </c>
      <c r="CU74" s="4">
        <v>35.1</v>
      </c>
      <c r="CV74" s="4">
        <v>36.04</v>
      </c>
      <c r="CW74" s="4">
        <v>57080.54</v>
      </c>
      <c r="CX74" s="4">
        <v>667.85</v>
      </c>
      <c r="CY74" s="4"/>
      <c r="CZ74" s="4">
        <v>28.55</v>
      </c>
      <c r="DA74" s="4"/>
    </row>
    <row r="75">
      <c r="A75" s="4" t="s">
        <v>458</v>
      </c>
      <c r="B75" s="4" t="s">
        <v>459</v>
      </c>
      <c r="C75" s="5" t="s">
        <v>454</v>
      </c>
      <c r="D75" s="5" t="s">
        <v>460</v>
      </c>
      <c r="E75" s="4" t="s">
        <v>427</v>
      </c>
      <c r="F75" s="4" t="s">
        <v>110</v>
      </c>
      <c r="G75" s="4" t="s">
        <v>111</v>
      </c>
      <c r="H75" s="4" t="s">
        <v>149</v>
      </c>
      <c r="J75" s="4" t="s">
        <v>461</v>
      </c>
      <c r="K75" s="4" t="s">
        <v>462</v>
      </c>
      <c r="L75" s="4">
        <v>-23.4535</v>
      </c>
      <c r="M75" s="4">
        <v>-60.8794</v>
      </c>
      <c r="N75" s="4"/>
      <c r="O75" s="4"/>
      <c r="P75" s="4"/>
      <c r="Q75" s="4"/>
      <c r="R75" s="4">
        <v>8.02</v>
      </c>
      <c r="S75" s="4"/>
      <c r="T75" s="4">
        <v>619.5</v>
      </c>
      <c r="U75" s="4"/>
      <c r="V75" s="4">
        <v>23.3</v>
      </c>
      <c r="W75" s="4">
        <v>8.1</v>
      </c>
      <c r="X75" s="4">
        <v>97.0</v>
      </c>
      <c r="Y75" s="4">
        <v>2262.0</v>
      </c>
      <c r="Z75" s="4">
        <v>1726.0</v>
      </c>
      <c r="AA75" s="4">
        <v>346.0</v>
      </c>
      <c r="AB75" s="4">
        <v>1380.0</v>
      </c>
      <c r="AC75" s="4">
        <v>50.0</v>
      </c>
      <c r="AD75" s="4">
        <v>180.0</v>
      </c>
      <c r="AE75" s="4">
        <v>0.0</v>
      </c>
      <c r="AF75" s="4">
        <v>79.8</v>
      </c>
      <c r="AG75" s="4">
        <v>54.98</v>
      </c>
      <c r="AH75" s="4">
        <v>132.25</v>
      </c>
      <c r="AI75" s="4">
        <v>45.6</v>
      </c>
      <c r="AJ75" s="4">
        <v>10.21</v>
      </c>
      <c r="AK75" s="4">
        <v>45.89</v>
      </c>
      <c r="AL75" s="4">
        <v>3.0</v>
      </c>
      <c r="AM75" s="4">
        <v>55.2</v>
      </c>
      <c r="AN75" s="4">
        <v>10.21</v>
      </c>
      <c r="AO75" s="4">
        <v>47.66</v>
      </c>
      <c r="AP75" s="4">
        <v>3.44</v>
      </c>
      <c r="AQ75" s="4">
        <v>0.3</v>
      </c>
      <c r="AR75" s="4">
        <v>0.056</v>
      </c>
      <c r="AS75" s="4">
        <v>0.046</v>
      </c>
      <c r="AT75" s="4">
        <v>0.13</v>
      </c>
      <c r="AU75" s="4">
        <v>6.596</v>
      </c>
      <c r="AV75" s="4">
        <v>0.65</v>
      </c>
      <c r="AW75" s="4"/>
      <c r="AX75" s="4">
        <v>4.0</v>
      </c>
      <c r="AY75" s="4">
        <v>70.12</v>
      </c>
      <c r="AZ75" s="4">
        <v>11160.0</v>
      </c>
      <c r="BA75" s="4">
        <v>930.0</v>
      </c>
      <c r="BB75" s="4"/>
      <c r="BC75" s="4"/>
      <c r="BD75" s="4">
        <v>68200.0</v>
      </c>
      <c r="BE75" s="4">
        <f t="shared" si="30"/>
        <v>5</v>
      </c>
      <c r="BF75" s="4">
        <f t="shared" si="121"/>
        <v>5</v>
      </c>
      <c r="BG75" s="4">
        <f t="shared" ref="BG75:BH75" si="263">0.5*50</f>
        <v>25</v>
      </c>
      <c r="BH75" s="4">
        <f t="shared" si="263"/>
        <v>25</v>
      </c>
      <c r="BI75" s="4">
        <f t="shared" si="7"/>
        <v>5</v>
      </c>
      <c r="BJ75" s="4">
        <f t="shared" si="264"/>
        <v>25</v>
      </c>
      <c r="BK75" s="4">
        <f>0.5*1</f>
        <v>0.5</v>
      </c>
      <c r="BL75" s="4">
        <f t="shared" si="206"/>
        <v>5</v>
      </c>
      <c r="BM75" s="4">
        <f t="shared" si="217"/>
        <v>25</v>
      </c>
      <c r="BN75" s="4">
        <v>3.0</v>
      </c>
      <c r="BO75" s="4">
        <f t="shared" si="212"/>
        <v>0.25</v>
      </c>
      <c r="BP75" s="4">
        <f t="shared" si="257"/>
        <v>0.5</v>
      </c>
      <c r="BQ75" s="4">
        <f t="shared" si="11"/>
        <v>2.5</v>
      </c>
      <c r="BR75" s="4">
        <f t="shared" si="12"/>
        <v>0.25</v>
      </c>
      <c r="BS75" s="4">
        <f t="shared" si="265"/>
        <v>50</v>
      </c>
      <c r="BT75" s="4">
        <v>646.0</v>
      </c>
      <c r="BU75" s="4">
        <f t="shared" si="140"/>
        <v>0.5</v>
      </c>
      <c r="BV75" s="4">
        <v>48.0</v>
      </c>
      <c r="BW75" s="4">
        <v>538.0</v>
      </c>
      <c r="BX75" s="4">
        <v>20.0</v>
      </c>
      <c r="BY75" s="4">
        <v>42.0</v>
      </c>
      <c r="BZ75" s="4">
        <v>320.0</v>
      </c>
      <c r="CA75" s="4">
        <v>21.0</v>
      </c>
      <c r="CB75" s="4">
        <f t="shared" ref="CB75:CB78" si="267">0.5*0.5</f>
        <v>0.25</v>
      </c>
      <c r="CC75" s="4">
        <v>23.0</v>
      </c>
      <c r="CD75" s="4">
        <f t="shared" si="88"/>
        <v>2.5</v>
      </c>
      <c r="CE75" s="4">
        <f t="shared" si="136"/>
        <v>0.25</v>
      </c>
      <c r="CF75" s="4">
        <v>22679.0</v>
      </c>
      <c r="CG75" s="4">
        <v>726.0</v>
      </c>
      <c r="CH75" s="4">
        <v>1.0</v>
      </c>
      <c r="CI75" s="4"/>
      <c r="CJ75" s="4"/>
      <c r="CK75" s="4">
        <v>0.001</v>
      </c>
      <c r="CL75" s="4">
        <v>0.006</v>
      </c>
      <c r="CM75" s="4">
        <f t="shared" si="243"/>
        <v>0.25</v>
      </c>
      <c r="CN75" s="4">
        <v>0.72</v>
      </c>
      <c r="CO75" s="4">
        <v>231.88</v>
      </c>
      <c r="CP75" s="4">
        <v>14.49</v>
      </c>
      <c r="CQ75" s="4">
        <v>13.04</v>
      </c>
      <c r="CR75" s="4"/>
      <c r="CS75" s="4">
        <v>57.97</v>
      </c>
      <c r="CT75" s="4"/>
      <c r="CU75" s="4">
        <v>30.43</v>
      </c>
      <c r="CV75" s="4">
        <v>34.78</v>
      </c>
      <c r="CW75" s="4">
        <v>16434.06</v>
      </c>
      <c r="CX75" s="4">
        <v>389.86</v>
      </c>
      <c r="CY75" s="4"/>
      <c r="CZ75" s="4">
        <v>14.49</v>
      </c>
      <c r="DA75" s="4"/>
    </row>
    <row r="76">
      <c r="A76" s="4" t="s">
        <v>463</v>
      </c>
      <c r="B76" s="4" t="s">
        <v>464</v>
      </c>
      <c r="C76" s="5" t="s">
        <v>465</v>
      </c>
      <c r="D76" s="5" t="s">
        <v>320</v>
      </c>
      <c r="E76" s="4" t="s">
        <v>427</v>
      </c>
      <c r="F76" s="4" t="s">
        <v>110</v>
      </c>
      <c r="G76" s="4" t="s">
        <v>111</v>
      </c>
      <c r="H76" s="4" t="s">
        <v>149</v>
      </c>
      <c r="J76" s="4" t="s">
        <v>466</v>
      </c>
      <c r="K76" s="4" t="s">
        <v>467</v>
      </c>
      <c r="L76" s="4">
        <v>-22.8602</v>
      </c>
      <c r="M76" s="4">
        <v>-62.0191</v>
      </c>
      <c r="N76" s="4"/>
      <c r="O76" s="4"/>
      <c r="P76" s="4"/>
      <c r="Q76" s="4"/>
      <c r="R76" s="4">
        <v>7.94</v>
      </c>
      <c r="S76" s="4"/>
      <c r="T76" s="4">
        <v>647.5</v>
      </c>
      <c r="U76" s="4"/>
      <c r="V76" s="4">
        <v>21.0</v>
      </c>
      <c r="W76" s="4">
        <v>8.25</v>
      </c>
      <c r="X76" s="4">
        <v>94.0</v>
      </c>
      <c r="Y76" s="4">
        <v>2460.0</v>
      </c>
      <c r="Z76" s="4">
        <v>1820.6</v>
      </c>
      <c r="AA76" s="4">
        <v>430.0</v>
      </c>
      <c r="AB76" s="4">
        <v>1390.6</v>
      </c>
      <c r="AC76" s="4">
        <v>15.0</v>
      </c>
      <c r="AD76" s="4">
        <v>190.0</v>
      </c>
      <c r="AE76" s="4">
        <v>0.0</v>
      </c>
      <c r="AF76" s="4">
        <v>84.33</v>
      </c>
      <c r="AG76" s="4">
        <v>60.98</v>
      </c>
      <c r="AH76" s="4">
        <v>133.06</v>
      </c>
      <c r="AI76" s="4">
        <v>51.2</v>
      </c>
      <c r="AJ76" s="4">
        <v>11.19</v>
      </c>
      <c r="AK76" s="4">
        <v>44.2</v>
      </c>
      <c r="AL76" s="4">
        <v>2.88</v>
      </c>
      <c r="AM76" s="4">
        <v>56.0</v>
      </c>
      <c r="AN76" s="4">
        <v>12.16</v>
      </c>
      <c r="AO76" s="4">
        <v>49.58</v>
      </c>
      <c r="AP76" s="4">
        <v>3.64</v>
      </c>
      <c r="AQ76" s="4">
        <v>0.17</v>
      </c>
      <c r="AR76" s="4">
        <v>0.039</v>
      </c>
      <c r="AS76" s="4">
        <v>0.196</v>
      </c>
      <c r="AT76" s="4">
        <v>0.08</v>
      </c>
      <c r="AU76" s="4">
        <v>6.773</v>
      </c>
      <c r="AV76" s="4">
        <v>0.492</v>
      </c>
      <c r="AW76" s="4"/>
      <c r="AX76" s="4">
        <v>1.6</v>
      </c>
      <c r="AY76" s="4">
        <v>18.29</v>
      </c>
      <c r="AZ76" s="4">
        <v>4000.0</v>
      </c>
      <c r="BA76" s="4">
        <v>100.0</v>
      </c>
      <c r="BB76" s="4"/>
      <c r="BC76" s="4"/>
      <c r="BD76" s="4">
        <v>29520.0</v>
      </c>
      <c r="BE76" s="4">
        <f t="shared" si="30"/>
        <v>5</v>
      </c>
      <c r="BF76" s="4">
        <f t="shared" si="121"/>
        <v>5</v>
      </c>
      <c r="BG76" s="4">
        <f t="shared" ref="BG76:BH76" si="266">0.5*50</f>
        <v>25</v>
      </c>
      <c r="BH76" s="4">
        <f t="shared" si="266"/>
        <v>25</v>
      </c>
      <c r="BI76" s="4">
        <f t="shared" si="7"/>
        <v>5</v>
      </c>
      <c r="BJ76" s="4">
        <f t="shared" si="264"/>
        <v>25</v>
      </c>
      <c r="BK76" s="4">
        <v>2.0</v>
      </c>
      <c r="BL76" s="4">
        <f t="shared" si="206"/>
        <v>5</v>
      </c>
      <c r="BM76" s="4">
        <f t="shared" si="217"/>
        <v>25</v>
      </c>
      <c r="BN76" s="4">
        <v>1.0</v>
      </c>
      <c r="BO76" s="4">
        <f t="shared" si="212"/>
        <v>0.25</v>
      </c>
      <c r="BP76" s="4">
        <f t="shared" si="257"/>
        <v>0.5</v>
      </c>
      <c r="BQ76" s="4">
        <f t="shared" si="11"/>
        <v>2.5</v>
      </c>
      <c r="BR76" s="4">
        <f t="shared" si="12"/>
        <v>0.25</v>
      </c>
      <c r="BS76" s="4">
        <f t="shared" si="265"/>
        <v>50</v>
      </c>
      <c r="BT76" s="4">
        <v>367.0</v>
      </c>
      <c r="BU76" s="4">
        <f t="shared" si="140"/>
        <v>0.5</v>
      </c>
      <c r="BV76" s="4">
        <v>18.0</v>
      </c>
      <c r="BW76" s="4">
        <v>979.0</v>
      </c>
      <c r="BX76" s="4">
        <v>29.0</v>
      </c>
      <c r="BY76" s="4">
        <v>30.0</v>
      </c>
      <c r="BZ76" s="4">
        <v>151.0</v>
      </c>
      <c r="CA76" s="4">
        <v>12.0</v>
      </c>
      <c r="CB76" s="4">
        <f t="shared" si="267"/>
        <v>0.25</v>
      </c>
      <c r="CC76" s="4">
        <v>31.0</v>
      </c>
      <c r="CD76" s="4">
        <f t="shared" si="88"/>
        <v>2.5</v>
      </c>
      <c r="CE76" s="4">
        <f t="shared" si="136"/>
        <v>0.25</v>
      </c>
      <c r="CF76" s="4">
        <v>53392.0</v>
      </c>
      <c r="CG76" s="4">
        <v>487.0</v>
      </c>
      <c r="CH76" s="4">
        <f t="shared" ref="CH76:CH77" si="270">0.5*1</f>
        <v>0.5</v>
      </c>
      <c r="CI76" s="4"/>
      <c r="CJ76" s="4"/>
      <c r="CK76" s="4">
        <f t="shared" ref="CK76:CL76" si="268">0.5*0.001</f>
        <v>0.0005</v>
      </c>
      <c r="CL76" s="4">
        <f t="shared" si="268"/>
        <v>0.0005</v>
      </c>
      <c r="CM76" s="4">
        <f t="shared" si="243"/>
        <v>0.25</v>
      </c>
      <c r="CN76" s="4"/>
      <c r="CO76" s="4">
        <v>108.59</v>
      </c>
      <c r="CP76" s="4">
        <v>20.22</v>
      </c>
      <c r="CQ76" s="4">
        <v>7.91</v>
      </c>
      <c r="CR76" s="4"/>
      <c r="CS76" s="4">
        <v>86.29</v>
      </c>
      <c r="CT76" s="4"/>
      <c r="CU76" s="4">
        <v>21.57</v>
      </c>
      <c r="CV76" s="4">
        <v>12.94</v>
      </c>
      <c r="CW76" s="4">
        <v>38394.94</v>
      </c>
      <c r="CX76" s="4">
        <v>704.01</v>
      </c>
      <c r="CY76" s="4"/>
      <c r="CZ76" s="4">
        <v>19.42</v>
      </c>
      <c r="DA76" s="4"/>
    </row>
    <row r="77">
      <c r="A77" s="4" t="s">
        <v>468</v>
      </c>
      <c r="B77" s="4" t="s">
        <v>469</v>
      </c>
      <c r="C77" s="5" t="s">
        <v>465</v>
      </c>
      <c r="D77" s="5" t="s">
        <v>470</v>
      </c>
      <c r="E77" s="4" t="s">
        <v>427</v>
      </c>
      <c r="F77" s="4" t="s">
        <v>110</v>
      </c>
      <c r="G77" s="4" t="s">
        <v>111</v>
      </c>
      <c r="H77" s="4" t="s">
        <v>471</v>
      </c>
      <c r="J77" s="4" t="s">
        <v>472</v>
      </c>
      <c r="K77" s="4" t="s">
        <v>473</v>
      </c>
      <c r="L77" s="4">
        <v>-22.7119</v>
      </c>
      <c r="M77" s="4">
        <v>-62.1558</v>
      </c>
      <c r="N77" s="4"/>
      <c r="O77" s="4"/>
      <c r="P77" s="4"/>
      <c r="Q77" s="4"/>
      <c r="R77" s="4">
        <v>7.88</v>
      </c>
      <c r="S77" s="4"/>
      <c r="T77" s="4">
        <v>647.5</v>
      </c>
      <c r="U77" s="4"/>
      <c r="V77" s="4">
        <v>20.7</v>
      </c>
      <c r="W77" s="4">
        <v>7.95</v>
      </c>
      <c r="X77" s="4">
        <v>91.0</v>
      </c>
      <c r="Y77" s="4">
        <v>3134.0</v>
      </c>
      <c r="Z77" s="4">
        <v>1037.3</v>
      </c>
      <c r="AA77" s="4">
        <v>376.0</v>
      </c>
      <c r="AB77" s="4">
        <v>661.3</v>
      </c>
      <c r="AC77" s="4">
        <v>3.0</v>
      </c>
      <c r="AD77" s="4">
        <v>190.0</v>
      </c>
      <c r="AE77" s="4">
        <v>0.0</v>
      </c>
      <c r="AF77" s="4">
        <v>83.32</v>
      </c>
      <c r="AG77" s="4">
        <v>60.98</v>
      </c>
      <c r="AH77" s="4">
        <v>127.62</v>
      </c>
      <c r="AI77" s="4">
        <v>47.2</v>
      </c>
      <c r="AJ77" s="4">
        <v>12.64</v>
      </c>
      <c r="AK77" s="4">
        <v>41.66</v>
      </c>
      <c r="AL77" s="4">
        <v>2.8</v>
      </c>
      <c r="AM77" s="4">
        <v>52.8</v>
      </c>
      <c r="AN77" s="4">
        <v>14.11</v>
      </c>
      <c r="AO77" s="4">
        <v>55.04</v>
      </c>
      <c r="AP77" s="4">
        <v>3.43</v>
      </c>
      <c r="AQ77" s="4">
        <v>0.16</v>
      </c>
      <c r="AR77" s="4">
        <v>0.039</v>
      </c>
      <c r="AS77" s="4">
        <v>1.198</v>
      </c>
      <c r="AT77" s="4">
        <v>0.06</v>
      </c>
      <c r="AU77" s="4">
        <v>5.843</v>
      </c>
      <c r="AV77" s="4">
        <v>1.12</v>
      </c>
      <c r="AW77" s="4"/>
      <c r="AX77" s="4">
        <v>2.1</v>
      </c>
      <c r="AY77" s="4">
        <v>25.92</v>
      </c>
      <c r="AZ77" s="4">
        <v>29000.0</v>
      </c>
      <c r="BA77" s="4">
        <v>360.0</v>
      </c>
      <c r="BB77" s="4"/>
      <c r="BC77" s="4"/>
      <c r="BD77" s="4">
        <v>38190.0</v>
      </c>
      <c r="BE77" s="4">
        <f t="shared" si="30"/>
        <v>5</v>
      </c>
      <c r="BF77" s="4">
        <f t="shared" si="121"/>
        <v>5</v>
      </c>
      <c r="BG77" s="4">
        <f t="shared" ref="BG77:BH77" si="269">0.5*50</f>
        <v>25</v>
      </c>
      <c r="BH77" s="4">
        <f t="shared" si="269"/>
        <v>25</v>
      </c>
      <c r="BI77" s="4">
        <f t="shared" si="7"/>
        <v>5</v>
      </c>
      <c r="BJ77" s="4">
        <f t="shared" si="264"/>
        <v>25</v>
      </c>
      <c r="BK77" s="4">
        <f>0.5*1</f>
        <v>0.5</v>
      </c>
      <c r="BL77" s="4">
        <f t="shared" si="206"/>
        <v>5</v>
      </c>
      <c r="BM77" s="4">
        <f t="shared" si="217"/>
        <v>25</v>
      </c>
      <c r="BN77" s="4">
        <v>1.0</v>
      </c>
      <c r="BO77" s="4">
        <f t="shared" si="212"/>
        <v>0.25</v>
      </c>
      <c r="BP77" s="4">
        <f t="shared" si="257"/>
        <v>0.5</v>
      </c>
      <c r="BQ77" s="4">
        <f t="shared" si="11"/>
        <v>2.5</v>
      </c>
      <c r="BR77" s="4">
        <f t="shared" si="12"/>
        <v>0.25</v>
      </c>
      <c r="BS77" s="4">
        <f t="shared" si="265"/>
        <v>50</v>
      </c>
      <c r="BT77" s="4">
        <v>357.0</v>
      </c>
      <c r="BU77" s="4">
        <f t="shared" si="140"/>
        <v>0.5</v>
      </c>
      <c r="BV77" s="4">
        <v>45.0</v>
      </c>
      <c r="BW77" s="4">
        <v>559.0</v>
      </c>
      <c r="BX77" s="4">
        <v>29.0</v>
      </c>
      <c r="BY77" s="4">
        <v>35.0</v>
      </c>
      <c r="BZ77" s="4">
        <v>150.0</v>
      </c>
      <c r="CA77" s="4">
        <v>21.0</v>
      </c>
      <c r="CB77" s="4">
        <f t="shared" si="267"/>
        <v>0.25</v>
      </c>
      <c r="CC77" s="4">
        <v>35.0</v>
      </c>
      <c r="CD77" s="4">
        <f t="shared" si="88"/>
        <v>2.5</v>
      </c>
      <c r="CE77" s="4">
        <f t="shared" si="136"/>
        <v>0.25</v>
      </c>
      <c r="CF77" s="4">
        <v>49919.0</v>
      </c>
      <c r="CG77" s="4">
        <v>529.0</v>
      </c>
      <c r="CH77" s="4">
        <f t="shared" si="270"/>
        <v>0.5</v>
      </c>
      <c r="CI77" s="4"/>
      <c r="CJ77" s="4"/>
      <c r="CK77" s="4">
        <f t="shared" ref="CK77:CL77" si="271">0.5*0.001</f>
        <v>0.0005</v>
      </c>
      <c r="CL77" s="4">
        <f t="shared" si="271"/>
        <v>0.0005</v>
      </c>
      <c r="CM77" s="4">
        <f t="shared" si="243"/>
        <v>0.25</v>
      </c>
      <c r="CN77" s="4"/>
      <c r="CO77" s="4">
        <v>226.83</v>
      </c>
      <c r="CP77" s="4">
        <v>48.69</v>
      </c>
      <c r="CQ77" s="4">
        <v>30.24</v>
      </c>
      <c r="CR77" s="4"/>
      <c r="CS77" s="4">
        <v>260.09</v>
      </c>
      <c r="CT77" s="4"/>
      <c r="CU77" s="4">
        <v>52.93</v>
      </c>
      <c r="CV77" s="4">
        <v>68.05</v>
      </c>
      <c r="CW77" s="4">
        <v>75486.16</v>
      </c>
      <c r="CX77" s="4">
        <v>845.3</v>
      </c>
      <c r="CY77" s="4"/>
      <c r="CZ77" s="4">
        <v>43.85</v>
      </c>
      <c r="DA77" s="4"/>
    </row>
    <row r="78">
      <c r="A78" s="4" t="s">
        <v>298</v>
      </c>
      <c r="B78" s="4" t="s">
        <v>299</v>
      </c>
      <c r="C78" s="5" t="s">
        <v>465</v>
      </c>
      <c r="D78" s="5" t="s">
        <v>474</v>
      </c>
      <c r="E78" s="4" t="s">
        <v>427</v>
      </c>
      <c r="F78" s="4" t="s">
        <v>110</v>
      </c>
      <c r="G78" s="4" t="s">
        <v>111</v>
      </c>
      <c r="H78" s="4" t="s">
        <v>274</v>
      </c>
      <c r="I78" s="4" t="s">
        <v>275</v>
      </c>
      <c r="J78" s="4" t="s">
        <v>475</v>
      </c>
      <c r="K78" s="4" t="s">
        <v>476</v>
      </c>
      <c r="L78" s="4">
        <v>-22.7002</v>
      </c>
      <c r="M78" s="4">
        <v>-62.1932</v>
      </c>
      <c r="N78" s="4"/>
      <c r="O78" s="4"/>
      <c r="P78" s="4"/>
      <c r="Q78" s="4"/>
      <c r="R78" s="4">
        <v>7.93</v>
      </c>
      <c r="S78" s="4"/>
      <c r="T78" s="4">
        <v>648.0</v>
      </c>
      <c r="U78" s="4"/>
      <c r="V78" s="4">
        <v>20.4</v>
      </c>
      <c r="W78" s="4">
        <v>7.99</v>
      </c>
      <c r="X78" s="4">
        <v>91.0</v>
      </c>
      <c r="Y78" s="4">
        <v>1528.0</v>
      </c>
      <c r="Z78" s="4">
        <v>1064.0</v>
      </c>
      <c r="AA78" s="4">
        <v>394.0</v>
      </c>
      <c r="AB78" s="4">
        <v>670.0</v>
      </c>
      <c r="AC78" s="4">
        <v>3.0</v>
      </c>
      <c r="AD78" s="4">
        <v>180.0</v>
      </c>
      <c r="AE78" s="4">
        <v>0.0</v>
      </c>
      <c r="AF78" s="4">
        <v>85.34</v>
      </c>
      <c r="AG78" s="4">
        <v>65.98</v>
      </c>
      <c r="AH78" s="4">
        <v>144.03</v>
      </c>
      <c r="AI78" s="4">
        <v>49.6</v>
      </c>
      <c r="AJ78" s="4">
        <v>10.21</v>
      </c>
      <c r="AK78" s="4">
        <v>47.79</v>
      </c>
      <c r="AL78" s="4">
        <v>3.19</v>
      </c>
      <c r="AM78" s="4">
        <v>55.2</v>
      </c>
      <c r="AN78" s="4">
        <v>10.21</v>
      </c>
      <c r="AO78" s="4">
        <v>48.88</v>
      </c>
      <c r="AP78" s="4">
        <v>3.34</v>
      </c>
      <c r="AQ78" s="4">
        <v>3.37</v>
      </c>
      <c r="AR78" s="4">
        <v>0.682</v>
      </c>
      <c r="AS78" s="4">
        <v>0.27</v>
      </c>
      <c r="AT78" s="4">
        <v>0.07</v>
      </c>
      <c r="AU78" s="4">
        <v>7.304</v>
      </c>
      <c r="AV78" s="4">
        <v>0.762</v>
      </c>
      <c r="AW78" s="4"/>
      <c r="AX78" s="4">
        <v>7.1</v>
      </c>
      <c r="AY78" s="4">
        <v>27.44</v>
      </c>
      <c r="AZ78" s="4">
        <v>1900.0</v>
      </c>
      <c r="BA78" s="4">
        <v>320.0</v>
      </c>
      <c r="BB78" s="4"/>
      <c r="BC78" s="4"/>
      <c r="BD78" s="4">
        <v>31680.0</v>
      </c>
      <c r="BE78" s="4">
        <f t="shared" si="30"/>
        <v>5</v>
      </c>
      <c r="BF78" s="4">
        <f t="shared" si="121"/>
        <v>5</v>
      </c>
      <c r="BG78" s="4">
        <f t="shared" ref="BG78:BH78" si="272">0.5*50</f>
        <v>25</v>
      </c>
      <c r="BH78" s="4">
        <f t="shared" si="272"/>
        <v>25</v>
      </c>
      <c r="BI78" s="4">
        <f t="shared" si="7"/>
        <v>5</v>
      </c>
      <c r="BJ78" s="4">
        <f t="shared" si="264"/>
        <v>25</v>
      </c>
      <c r="BK78" s="4">
        <v>2.0</v>
      </c>
      <c r="BL78" s="4">
        <f t="shared" si="206"/>
        <v>5</v>
      </c>
      <c r="BM78" s="4">
        <f t="shared" si="217"/>
        <v>25</v>
      </c>
      <c r="BN78" s="4">
        <v>2.0</v>
      </c>
      <c r="BO78" s="4">
        <f t="shared" si="212"/>
        <v>0.25</v>
      </c>
      <c r="BP78" s="4">
        <f t="shared" si="257"/>
        <v>0.5</v>
      </c>
      <c r="BQ78" s="4">
        <f t="shared" si="11"/>
        <v>2.5</v>
      </c>
      <c r="BR78" s="4">
        <f t="shared" si="12"/>
        <v>0.25</v>
      </c>
      <c r="BS78" s="4">
        <f t="shared" si="265"/>
        <v>50</v>
      </c>
      <c r="BT78" s="4">
        <v>724.0</v>
      </c>
      <c r="BU78" s="4">
        <f t="shared" si="140"/>
        <v>0.5</v>
      </c>
      <c r="BV78" s="4">
        <v>68.0</v>
      </c>
      <c r="BW78" s="4">
        <v>636.0</v>
      </c>
      <c r="BX78" s="4">
        <v>37.0</v>
      </c>
      <c r="BY78" s="4">
        <v>44.0</v>
      </c>
      <c r="BZ78" s="4">
        <v>379.0</v>
      </c>
      <c r="CA78" s="4">
        <v>29.0</v>
      </c>
      <c r="CB78" s="4">
        <f t="shared" si="267"/>
        <v>0.25</v>
      </c>
      <c r="CC78" s="4">
        <v>39.0</v>
      </c>
      <c r="CD78" s="4">
        <f t="shared" si="88"/>
        <v>2.5</v>
      </c>
      <c r="CE78" s="4">
        <f t="shared" si="136"/>
        <v>0.25</v>
      </c>
      <c r="CF78" s="4">
        <v>60485.0</v>
      </c>
      <c r="CG78" s="4">
        <v>733.0</v>
      </c>
      <c r="CH78" s="4">
        <v>1.0</v>
      </c>
      <c r="CI78" s="4"/>
      <c r="CJ78" s="4"/>
      <c r="CK78" s="4">
        <f t="shared" ref="CK78:CL78" si="273">0.5*0.001</f>
        <v>0.0005</v>
      </c>
      <c r="CL78" s="4">
        <f t="shared" si="273"/>
        <v>0.0005</v>
      </c>
      <c r="CM78" s="4">
        <f t="shared" si="243"/>
        <v>0.25</v>
      </c>
      <c r="CN78" s="4">
        <v>1.49</v>
      </c>
      <c r="CO78" s="4">
        <v>565.67</v>
      </c>
      <c r="CP78" s="4">
        <v>53.45</v>
      </c>
      <c r="CQ78" s="4">
        <v>40.3</v>
      </c>
      <c r="CR78" s="4"/>
      <c r="CS78" s="4">
        <v>13.43</v>
      </c>
      <c r="CT78" s="4"/>
      <c r="CU78" s="4">
        <v>65.67</v>
      </c>
      <c r="CV78" s="4">
        <v>101.49</v>
      </c>
      <c r="CW78" s="4">
        <v>90276.12</v>
      </c>
      <c r="CX78" s="4">
        <v>949.25</v>
      </c>
      <c r="CY78" s="4"/>
      <c r="CZ78" s="4">
        <v>52.24</v>
      </c>
      <c r="DA78" s="4"/>
    </row>
    <row r="79">
      <c r="A79" s="4" t="s">
        <v>252</v>
      </c>
      <c r="B79" s="4" t="s">
        <v>253</v>
      </c>
      <c r="C79" s="5" t="s">
        <v>477</v>
      </c>
      <c r="D79" s="5" t="s">
        <v>478</v>
      </c>
      <c r="E79" s="4" t="s">
        <v>427</v>
      </c>
      <c r="F79" s="4" t="s">
        <v>110</v>
      </c>
      <c r="G79" s="4" t="s">
        <v>111</v>
      </c>
      <c r="H79" s="4" t="s">
        <v>254</v>
      </c>
      <c r="J79" s="4" t="s">
        <v>479</v>
      </c>
      <c r="K79" s="4" t="s">
        <v>480</v>
      </c>
      <c r="L79" s="4">
        <v>-25.7884</v>
      </c>
      <c r="M79" s="4">
        <v>-58.0217</v>
      </c>
      <c r="N79" s="4"/>
      <c r="O79" s="4"/>
      <c r="P79" s="4"/>
      <c r="Q79" s="4"/>
      <c r="R79" s="4">
        <v>7.68</v>
      </c>
      <c r="S79" s="4"/>
      <c r="T79" s="4">
        <v>3135.0</v>
      </c>
      <c r="U79" s="4"/>
      <c r="V79" s="4">
        <v>25.6</v>
      </c>
      <c r="W79" s="4">
        <v>5.24</v>
      </c>
      <c r="X79" s="4">
        <v>64.4</v>
      </c>
      <c r="Y79" s="4">
        <v>315.0</v>
      </c>
      <c r="Z79" s="4">
        <v>2312.0</v>
      </c>
      <c r="AA79" s="4">
        <v>2022.0</v>
      </c>
      <c r="AB79" s="4">
        <v>290.0</v>
      </c>
      <c r="AC79" s="4">
        <v>125.0</v>
      </c>
      <c r="AD79" s="4">
        <v>425.0</v>
      </c>
      <c r="AE79" s="4">
        <v>0.0</v>
      </c>
      <c r="AF79" s="4">
        <v>154.84</v>
      </c>
      <c r="AG79" s="4">
        <v>440.0</v>
      </c>
      <c r="AH79" s="4">
        <v>1002.0</v>
      </c>
      <c r="AI79" s="4">
        <v>126.0</v>
      </c>
      <c r="AJ79" s="4">
        <v>24.32</v>
      </c>
      <c r="AK79" s="4">
        <v>501.07</v>
      </c>
      <c r="AL79" s="4">
        <v>14.23</v>
      </c>
      <c r="AM79" s="4">
        <v>130.0</v>
      </c>
      <c r="AN79" s="4">
        <v>24.32</v>
      </c>
      <c r="AO79" s="4">
        <v>512.19</v>
      </c>
      <c r="AP79" s="4">
        <v>15.8</v>
      </c>
      <c r="AQ79" s="4">
        <v>3.07</v>
      </c>
      <c r="AR79" s="4">
        <v>0.838</v>
      </c>
      <c r="AS79" s="4">
        <v>0.149</v>
      </c>
      <c r="AT79" s="4">
        <v>0.052</v>
      </c>
      <c r="AU79" s="4">
        <v>4.648</v>
      </c>
      <c r="AV79" s="4">
        <v>0.362</v>
      </c>
      <c r="AW79" s="4"/>
      <c r="AX79" s="4">
        <v>6.1</v>
      </c>
      <c r="AY79" s="4">
        <v>110.24</v>
      </c>
      <c r="AZ79" s="4">
        <v>450720.0</v>
      </c>
      <c r="BA79" s="4">
        <v>25040.0</v>
      </c>
      <c r="BB79" s="4"/>
      <c r="BC79" s="4"/>
      <c r="BD79" s="4">
        <v>261670.0</v>
      </c>
      <c r="BE79" s="4">
        <f t="shared" si="30"/>
        <v>5</v>
      </c>
      <c r="BF79" s="4">
        <f t="shared" si="121"/>
        <v>5</v>
      </c>
      <c r="BG79" s="4">
        <f t="shared" ref="BG79:BH79" si="274">0.5*50</f>
        <v>25</v>
      </c>
      <c r="BH79" s="4">
        <f t="shared" si="274"/>
        <v>25</v>
      </c>
      <c r="BI79" s="4">
        <f t="shared" si="7"/>
        <v>5</v>
      </c>
      <c r="BJ79" s="4">
        <f t="shared" si="264"/>
        <v>25</v>
      </c>
      <c r="BK79" s="4">
        <v>5.0</v>
      </c>
      <c r="BL79" s="4">
        <f t="shared" si="206"/>
        <v>5</v>
      </c>
      <c r="BM79" s="4">
        <f t="shared" si="217"/>
        <v>25</v>
      </c>
      <c r="BN79" s="4">
        <v>8.0</v>
      </c>
      <c r="BO79" s="4">
        <f t="shared" si="212"/>
        <v>0.25</v>
      </c>
      <c r="BP79" s="4">
        <f t="shared" si="257"/>
        <v>0.5</v>
      </c>
      <c r="BQ79" s="4">
        <f t="shared" si="11"/>
        <v>2.5</v>
      </c>
      <c r="BR79" s="4">
        <f t="shared" si="12"/>
        <v>0.25</v>
      </c>
      <c r="BS79" s="4">
        <f t="shared" si="265"/>
        <v>50</v>
      </c>
      <c r="BT79" s="4">
        <v>1337.0</v>
      </c>
      <c r="BU79" s="4">
        <f t="shared" si="140"/>
        <v>0.5</v>
      </c>
      <c r="BV79" s="4">
        <f t="shared" ref="BV79:BV81" si="277">0.5*10</f>
        <v>5</v>
      </c>
      <c r="BW79" s="4">
        <v>254.0</v>
      </c>
      <c r="BX79" s="4">
        <v>6.0</v>
      </c>
      <c r="BY79" s="4">
        <f t="shared" ref="BY79:BY83" si="278">0.5*10</f>
        <v>5</v>
      </c>
      <c r="BZ79" s="4">
        <f t="shared" ref="BZ79:BZ83" si="279">0.5*50</f>
        <v>25</v>
      </c>
      <c r="CA79" s="4">
        <v>9.0</v>
      </c>
      <c r="CB79" s="4">
        <v>2.7</v>
      </c>
      <c r="CC79" s="4">
        <v>47.0</v>
      </c>
      <c r="CD79" s="4">
        <f t="shared" si="88"/>
        <v>2.5</v>
      </c>
      <c r="CE79" s="4">
        <f t="shared" si="136"/>
        <v>0.25</v>
      </c>
      <c r="CF79" s="4">
        <v>9827.0</v>
      </c>
      <c r="CG79" s="4">
        <v>1388.0</v>
      </c>
      <c r="CH79" s="4">
        <f>0.5*1</f>
        <v>0.5</v>
      </c>
      <c r="CI79" s="4"/>
      <c r="CJ79" s="4"/>
      <c r="CK79" s="4">
        <f t="shared" ref="CK79:CL79" si="275">0.5*0.001</f>
        <v>0.0005</v>
      </c>
      <c r="CL79" s="4">
        <f t="shared" si="275"/>
        <v>0.0005</v>
      </c>
      <c r="CM79" s="4">
        <f t="shared" si="243"/>
        <v>0.25</v>
      </c>
      <c r="CN79" s="4"/>
      <c r="CO79" s="4"/>
      <c r="CP79" s="4">
        <v>113.0</v>
      </c>
      <c r="CQ79" s="4">
        <v>3.45</v>
      </c>
      <c r="CR79" s="4"/>
      <c r="CS79" s="4">
        <v>175.86</v>
      </c>
      <c r="CT79" s="4">
        <v>9.31</v>
      </c>
      <c r="CU79" s="4"/>
      <c r="CV79" s="4"/>
      <c r="CW79" s="4">
        <v>33886.21</v>
      </c>
      <c r="CX79" s="4">
        <v>875.86</v>
      </c>
      <c r="CY79" s="4"/>
      <c r="CZ79" s="4">
        <v>3.45</v>
      </c>
      <c r="DA79" s="4"/>
    </row>
    <row r="80">
      <c r="A80" s="4" t="s">
        <v>257</v>
      </c>
      <c r="B80" s="4" t="s">
        <v>258</v>
      </c>
      <c r="C80" s="5" t="s">
        <v>477</v>
      </c>
      <c r="D80" s="5" t="s">
        <v>481</v>
      </c>
      <c r="E80" s="4" t="s">
        <v>427</v>
      </c>
      <c r="F80" s="4" t="s">
        <v>110</v>
      </c>
      <c r="G80" s="4" t="s">
        <v>111</v>
      </c>
      <c r="H80" s="4" t="s">
        <v>260</v>
      </c>
      <c r="I80" s="4" t="s">
        <v>261</v>
      </c>
      <c r="J80" s="4" t="s">
        <v>482</v>
      </c>
      <c r="K80" s="4" t="s">
        <v>483</v>
      </c>
      <c r="L80" s="4">
        <v>-25.2654</v>
      </c>
      <c r="M80" s="4">
        <v>-57.7292</v>
      </c>
      <c r="N80" s="4"/>
      <c r="O80" s="4"/>
      <c r="P80" s="4"/>
      <c r="Q80" s="4"/>
      <c r="R80" s="4">
        <v>7.28</v>
      </c>
      <c r="S80" s="4"/>
      <c r="T80" s="4">
        <v>3260.0</v>
      </c>
      <c r="U80" s="4"/>
      <c r="V80" s="4">
        <v>25.2</v>
      </c>
      <c r="W80" s="4">
        <v>5.52</v>
      </c>
      <c r="X80" s="4">
        <v>67.3</v>
      </c>
      <c r="Y80" s="4">
        <v>29.2</v>
      </c>
      <c r="Z80" s="4">
        <v>2182.3</v>
      </c>
      <c r="AA80" s="4">
        <v>2154.0</v>
      </c>
      <c r="AB80" s="4">
        <v>28.3</v>
      </c>
      <c r="AC80" s="4">
        <v>100.0</v>
      </c>
      <c r="AD80" s="4">
        <v>510.0</v>
      </c>
      <c r="AE80" s="4">
        <v>0.0</v>
      </c>
      <c r="AF80" s="4">
        <v>147.0</v>
      </c>
      <c r="AG80" s="4">
        <v>465.0</v>
      </c>
      <c r="AH80" s="4">
        <v>1102.0</v>
      </c>
      <c r="AI80" s="4">
        <v>126.0</v>
      </c>
      <c r="AJ80" s="4">
        <v>46.21</v>
      </c>
      <c r="AK80" s="4">
        <v>515.58</v>
      </c>
      <c r="AL80" s="4">
        <v>16.03</v>
      </c>
      <c r="AM80" s="4">
        <v>128.0</v>
      </c>
      <c r="AN80" s="4">
        <v>46.21</v>
      </c>
      <c r="AO80" s="4">
        <v>535.96</v>
      </c>
      <c r="AP80" s="4">
        <v>16.69</v>
      </c>
      <c r="AQ80" s="4">
        <v>1.33</v>
      </c>
      <c r="AR80" s="4">
        <v>0.273</v>
      </c>
      <c r="AS80" s="4">
        <v>0.206</v>
      </c>
      <c r="AT80" s="4">
        <v>0.165</v>
      </c>
      <c r="AU80" s="4">
        <v>2.289</v>
      </c>
      <c r="AV80" s="4">
        <v>0.26</v>
      </c>
      <c r="AW80" s="4"/>
      <c r="AX80" s="4">
        <v>5.1</v>
      </c>
      <c r="AY80" s="4">
        <v>76.1</v>
      </c>
      <c r="AZ80" s="4">
        <v>84000.0</v>
      </c>
      <c r="BA80" s="4">
        <v>5400.0</v>
      </c>
      <c r="BB80" s="4"/>
      <c r="BC80" s="4"/>
      <c r="BD80" s="4">
        <v>112200.0</v>
      </c>
      <c r="BE80" s="4">
        <f t="shared" si="30"/>
        <v>5</v>
      </c>
      <c r="BF80" s="4">
        <f t="shared" si="121"/>
        <v>5</v>
      </c>
      <c r="BG80" s="4">
        <f t="shared" ref="BG80:BH80" si="276">0.5*50</f>
        <v>25</v>
      </c>
      <c r="BH80" s="4">
        <f t="shared" si="276"/>
        <v>25</v>
      </c>
      <c r="BI80" s="4">
        <f t="shared" si="7"/>
        <v>5</v>
      </c>
      <c r="BJ80" s="4">
        <v>73.0</v>
      </c>
      <c r="BK80" s="4">
        <v>2.0</v>
      </c>
      <c r="BL80" s="4">
        <f t="shared" si="206"/>
        <v>5</v>
      </c>
      <c r="BM80" s="4">
        <f t="shared" si="217"/>
        <v>25</v>
      </c>
      <c r="BN80" s="4">
        <v>6.0</v>
      </c>
      <c r="BO80" s="4">
        <f t="shared" si="212"/>
        <v>0.25</v>
      </c>
      <c r="BP80" s="4">
        <f t="shared" si="257"/>
        <v>0.5</v>
      </c>
      <c r="BQ80" s="4">
        <f t="shared" si="11"/>
        <v>2.5</v>
      </c>
      <c r="BR80" s="4">
        <f t="shared" si="12"/>
        <v>0.25</v>
      </c>
      <c r="BS80" s="4">
        <v>168.0</v>
      </c>
      <c r="BT80" s="4">
        <v>1907.0</v>
      </c>
      <c r="BU80" s="4">
        <f t="shared" si="140"/>
        <v>0.5</v>
      </c>
      <c r="BV80" s="4">
        <f t="shared" si="277"/>
        <v>5</v>
      </c>
      <c r="BW80" s="4">
        <v>115.0</v>
      </c>
      <c r="BX80" s="4">
        <v>2.0</v>
      </c>
      <c r="BY80" s="4">
        <f t="shared" si="278"/>
        <v>5</v>
      </c>
      <c r="BZ80" s="4">
        <f t="shared" si="279"/>
        <v>25</v>
      </c>
      <c r="CA80" s="4">
        <v>7.0</v>
      </c>
      <c r="CB80" s="4">
        <f t="shared" ref="CB80:CB83" si="282">0.5*0.5</f>
        <v>0.25</v>
      </c>
      <c r="CC80" s="4">
        <f t="shared" ref="CC80:CC83" si="283">0.5*1</f>
        <v>0.5</v>
      </c>
      <c r="CD80" s="4">
        <f t="shared" si="88"/>
        <v>2.5</v>
      </c>
      <c r="CE80" s="4">
        <f t="shared" si="136"/>
        <v>0.25</v>
      </c>
      <c r="CF80" s="4">
        <v>1053.0</v>
      </c>
      <c r="CG80" s="4">
        <v>2099.0</v>
      </c>
      <c r="CH80" s="4">
        <v>1.0</v>
      </c>
      <c r="CI80" s="4"/>
      <c r="CJ80" s="4"/>
      <c r="CK80" s="4">
        <f t="shared" ref="CK80:CL80" si="280">0.5*0.001</f>
        <v>0.0005</v>
      </c>
      <c r="CL80" s="4">
        <f t="shared" si="280"/>
        <v>0.0005</v>
      </c>
      <c r="CM80" s="4">
        <f t="shared" si="243"/>
        <v>0.25</v>
      </c>
      <c r="CN80" s="4">
        <v>35.34</v>
      </c>
      <c r="CO80" s="4"/>
      <c r="CP80" s="4"/>
      <c r="CQ80" s="4">
        <v>35.34</v>
      </c>
      <c r="CR80" s="4"/>
      <c r="CS80" s="4">
        <v>6784.45</v>
      </c>
      <c r="CT80" s="4"/>
      <c r="CU80" s="4"/>
      <c r="CV80" s="4"/>
      <c r="CW80" s="4">
        <v>31272.08</v>
      </c>
      <c r="CX80" s="4">
        <v>1484.1</v>
      </c>
      <c r="CY80" s="4"/>
      <c r="CZ80" s="4">
        <v>0.0</v>
      </c>
      <c r="DA80" s="4"/>
    </row>
    <row r="81">
      <c r="A81" s="4" t="s">
        <v>283</v>
      </c>
      <c r="B81" s="4" t="s">
        <v>284</v>
      </c>
      <c r="C81" s="5" t="s">
        <v>477</v>
      </c>
      <c r="D81" s="5" t="s">
        <v>484</v>
      </c>
      <c r="E81" s="4" t="s">
        <v>427</v>
      </c>
      <c r="F81" s="4" t="s">
        <v>110</v>
      </c>
      <c r="G81" s="4" t="s">
        <v>111</v>
      </c>
      <c r="H81" s="4" t="s">
        <v>149</v>
      </c>
      <c r="I81" s="4" t="s">
        <v>286</v>
      </c>
      <c r="J81" s="4" t="s">
        <v>485</v>
      </c>
      <c r="K81" s="4" t="s">
        <v>486</v>
      </c>
      <c r="L81" s="4">
        <v>-25.2641</v>
      </c>
      <c r="M81" s="4">
        <v>-57.724</v>
      </c>
      <c r="N81" s="4"/>
      <c r="O81" s="4"/>
      <c r="P81" s="4"/>
      <c r="Q81" s="4"/>
      <c r="R81" s="4">
        <v>6.81</v>
      </c>
      <c r="S81" s="4"/>
      <c r="T81" s="4">
        <v>1071.0</v>
      </c>
      <c r="U81" s="4"/>
      <c r="V81" s="4">
        <v>27.1</v>
      </c>
      <c r="W81" s="4">
        <v>2.02</v>
      </c>
      <c r="X81" s="4">
        <v>24.0</v>
      </c>
      <c r="Y81" s="4">
        <v>24.25</v>
      </c>
      <c r="Z81" s="4">
        <v>625.7</v>
      </c>
      <c r="AA81" s="4">
        <v>618.0</v>
      </c>
      <c r="AB81" s="4">
        <v>7.7</v>
      </c>
      <c r="AC81" s="4">
        <v>150.0</v>
      </c>
      <c r="AD81" s="4">
        <v>110.0</v>
      </c>
      <c r="AE81" s="4">
        <v>0.0</v>
      </c>
      <c r="AF81" s="4">
        <v>53.9</v>
      </c>
      <c r="AG81" s="4">
        <v>245.0</v>
      </c>
      <c r="AH81" s="4">
        <v>28.19</v>
      </c>
      <c r="AI81" s="4">
        <v>20.8</v>
      </c>
      <c r="AJ81" s="4">
        <v>7.78</v>
      </c>
      <c r="AK81" s="4">
        <v>164.91</v>
      </c>
      <c r="AL81" s="4">
        <v>6.1</v>
      </c>
      <c r="AM81" s="4">
        <v>30.0</v>
      </c>
      <c r="AN81" s="4">
        <v>8.51</v>
      </c>
      <c r="AO81" s="4">
        <v>166.05</v>
      </c>
      <c r="AP81" s="4">
        <v>6.23</v>
      </c>
      <c r="AQ81" s="4">
        <v>1.88</v>
      </c>
      <c r="AR81" s="4">
        <v>0.571</v>
      </c>
      <c r="AS81" s="4">
        <v>0.075</v>
      </c>
      <c r="AT81" s="4">
        <v>0.02</v>
      </c>
      <c r="AU81" s="4">
        <v>0.469</v>
      </c>
      <c r="AV81" s="4">
        <v>0.126</v>
      </c>
      <c r="AW81" s="4"/>
      <c r="AX81" s="4">
        <v>7.2</v>
      </c>
      <c r="AY81" s="4">
        <v>73.66</v>
      </c>
      <c r="AZ81" s="4">
        <v>70760.0</v>
      </c>
      <c r="BA81" s="4">
        <v>48800.0</v>
      </c>
      <c r="BB81" s="4"/>
      <c r="BC81" s="4"/>
      <c r="BD81" s="4">
        <v>174460.0</v>
      </c>
      <c r="BE81" s="4">
        <f t="shared" si="30"/>
        <v>5</v>
      </c>
      <c r="BF81" s="4">
        <f t="shared" si="121"/>
        <v>5</v>
      </c>
      <c r="BG81" s="4">
        <f t="shared" ref="BG81:BH81" si="281">0.5*50</f>
        <v>25</v>
      </c>
      <c r="BH81" s="4">
        <f t="shared" si="281"/>
        <v>25</v>
      </c>
      <c r="BI81" s="4">
        <f t="shared" si="7"/>
        <v>5</v>
      </c>
      <c r="BJ81" s="4">
        <v>353.0</v>
      </c>
      <c r="BK81" s="4">
        <v>2.0</v>
      </c>
      <c r="BL81" s="4">
        <f t="shared" si="206"/>
        <v>5</v>
      </c>
      <c r="BM81" s="4">
        <f t="shared" si="217"/>
        <v>25</v>
      </c>
      <c r="BN81" s="4">
        <v>5.0</v>
      </c>
      <c r="BO81" s="4">
        <f t="shared" si="212"/>
        <v>0.25</v>
      </c>
      <c r="BP81" s="4">
        <f t="shared" si="257"/>
        <v>0.5</v>
      </c>
      <c r="BQ81" s="4">
        <f t="shared" si="11"/>
        <v>2.5</v>
      </c>
      <c r="BR81" s="4">
        <f t="shared" si="12"/>
        <v>0.25</v>
      </c>
      <c r="BS81" s="4">
        <v>928.0</v>
      </c>
      <c r="BT81" s="4">
        <v>240.0</v>
      </c>
      <c r="BU81" s="4">
        <f t="shared" si="140"/>
        <v>0.5</v>
      </c>
      <c r="BV81" s="4">
        <f t="shared" si="277"/>
        <v>5</v>
      </c>
      <c r="BW81" s="4">
        <v>361.0</v>
      </c>
      <c r="BX81" s="4">
        <v>2.0</v>
      </c>
      <c r="BY81" s="4">
        <f t="shared" si="278"/>
        <v>5</v>
      </c>
      <c r="BZ81" s="4">
        <f t="shared" si="279"/>
        <v>25</v>
      </c>
      <c r="CA81" s="4">
        <v>6.0</v>
      </c>
      <c r="CB81" s="4">
        <f t="shared" si="282"/>
        <v>0.25</v>
      </c>
      <c r="CC81" s="4">
        <f t="shared" si="283"/>
        <v>0.5</v>
      </c>
      <c r="CD81" s="4">
        <f t="shared" si="88"/>
        <v>2.5</v>
      </c>
      <c r="CE81" s="4">
        <f t="shared" si="136"/>
        <v>0.25</v>
      </c>
      <c r="CF81" s="4">
        <v>1127.0</v>
      </c>
      <c r="CG81" s="4">
        <v>320.0</v>
      </c>
      <c r="CH81" s="4">
        <v>1.0</v>
      </c>
      <c r="CI81" s="4"/>
      <c r="CJ81" s="4"/>
      <c r="CK81" s="4">
        <f t="shared" ref="CK81:CK83" si="285">0.5*0.001</f>
        <v>0.0005</v>
      </c>
      <c r="CL81" s="4">
        <v>0.001</v>
      </c>
      <c r="CM81" s="4">
        <f t="shared" si="243"/>
        <v>0.25</v>
      </c>
      <c r="CN81" s="4">
        <v>129.87</v>
      </c>
      <c r="CO81" s="4"/>
      <c r="CP81" s="4"/>
      <c r="CQ81" s="4">
        <v>129.87</v>
      </c>
      <c r="CR81" s="4"/>
      <c r="CS81" s="4">
        <v>10389.61</v>
      </c>
      <c r="CT81" s="4"/>
      <c r="CU81" s="4"/>
      <c r="CV81" s="4"/>
      <c r="CW81" s="4">
        <v>25844.16</v>
      </c>
      <c r="CX81" s="4">
        <v>1038.96</v>
      </c>
      <c r="CY81" s="4"/>
      <c r="CZ81" s="4">
        <v>0.0</v>
      </c>
      <c r="DA81" s="4"/>
    </row>
    <row r="82">
      <c r="A82" s="4" t="s">
        <v>244</v>
      </c>
      <c r="B82" s="4" t="s">
        <v>245</v>
      </c>
      <c r="C82" s="5" t="s">
        <v>487</v>
      </c>
      <c r="D82" s="5" t="s">
        <v>488</v>
      </c>
      <c r="E82" s="4" t="s">
        <v>427</v>
      </c>
      <c r="F82" s="4" t="s">
        <v>110</v>
      </c>
      <c r="G82" s="4" t="s">
        <v>111</v>
      </c>
      <c r="H82" s="4" t="s">
        <v>149</v>
      </c>
      <c r="I82" s="4" t="s">
        <v>249</v>
      </c>
      <c r="J82" s="4" t="s">
        <v>489</v>
      </c>
      <c r="K82" s="4" t="s">
        <v>490</v>
      </c>
      <c r="L82" s="4">
        <v>-24.748</v>
      </c>
      <c r="M82" s="4">
        <v>-58.833</v>
      </c>
      <c r="N82" s="4"/>
      <c r="O82" s="4"/>
      <c r="P82" s="4"/>
      <c r="Q82" s="4"/>
      <c r="R82" s="4">
        <v>8.48</v>
      </c>
      <c r="S82" s="4"/>
      <c r="T82" s="4">
        <v>40250.0</v>
      </c>
      <c r="U82" s="4"/>
      <c r="V82" s="4">
        <v>26.1</v>
      </c>
      <c r="W82" s="4">
        <v>8.41</v>
      </c>
      <c r="X82" s="4">
        <v>100.0</v>
      </c>
      <c r="Y82" s="4">
        <v>3.12</v>
      </c>
      <c r="Z82" s="4">
        <v>33370.0</v>
      </c>
      <c r="AA82" s="4">
        <v>33345.4</v>
      </c>
      <c r="AB82" s="4">
        <v>24.6</v>
      </c>
      <c r="AC82" s="4">
        <v>45.0</v>
      </c>
      <c r="AD82" s="4">
        <v>4100.0</v>
      </c>
      <c r="AE82" s="4">
        <v>112.7</v>
      </c>
      <c r="AF82" s="4">
        <v>524.3</v>
      </c>
      <c r="AG82" s="4">
        <v>9846.0</v>
      </c>
      <c r="AH82" s="4">
        <v>7336.0</v>
      </c>
      <c r="AI82" s="4">
        <v>760.0</v>
      </c>
      <c r="AJ82" s="4">
        <v>413.4</v>
      </c>
      <c r="AK82" s="4">
        <v>9549.15</v>
      </c>
      <c r="AL82" s="4">
        <v>13.74</v>
      </c>
      <c r="AM82" s="4">
        <v>880.0</v>
      </c>
      <c r="AN82" s="4">
        <v>462.1</v>
      </c>
      <c r="AO82" s="4">
        <v>10076.9</v>
      </c>
      <c r="AP82" s="4">
        <v>15.88</v>
      </c>
      <c r="AQ82" s="4">
        <v>2.52</v>
      </c>
      <c r="AR82" s="4">
        <v>0.678</v>
      </c>
      <c r="AS82" s="4">
        <v>0.053</v>
      </c>
      <c r="AT82" s="4">
        <v>0.008</v>
      </c>
      <c r="AU82" s="4">
        <v>1.934</v>
      </c>
      <c r="AV82" s="4">
        <v>0.12</v>
      </c>
      <c r="AW82" s="4"/>
      <c r="AX82" s="4">
        <v>177.0</v>
      </c>
      <c r="AY82" s="4">
        <v>919.09</v>
      </c>
      <c r="AZ82" s="4">
        <v>37920.0</v>
      </c>
      <c r="BA82" s="4">
        <v>2530.0</v>
      </c>
      <c r="BB82" s="4"/>
      <c r="BC82" s="4"/>
      <c r="BD82" s="4">
        <v>111230.0</v>
      </c>
      <c r="BE82" s="4">
        <f t="shared" si="30"/>
        <v>5</v>
      </c>
      <c r="BF82" s="4">
        <f t="shared" si="121"/>
        <v>5</v>
      </c>
      <c r="BG82" s="4">
        <f t="shared" ref="BG82:BH82" si="284">0.5*50</f>
        <v>25</v>
      </c>
      <c r="BH82" s="4">
        <f t="shared" si="284"/>
        <v>25</v>
      </c>
      <c r="BI82" s="4">
        <v>30.0</v>
      </c>
      <c r="BJ82" s="4">
        <f>0.5*50</f>
        <v>25</v>
      </c>
      <c r="BK82" s="4">
        <v>2.0</v>
      </c>
      <c r="BL82" s="4">
        <f t="shared" si="206"/>
        <v>5</v>
      </c>
      <c r="BM82" s="4">
        <f t="shared" si="217"/>
        <v>25</v>
      </c>
      <c r="BN82" s="4">
        <v>15.0</v>
      </c>
      <c r="BO82" s="4">
        <f t="shared" si="212"/>
        <v>0.25</v>
      </c>
      <c r="BP82" s="4">
        <f t="shared" si="257"/>
        <v>0.5</v>
      </c>
      <c r="BQ82" s="4">
        <f t="shared" si="11"/>
        <v>2.5</v>
      </c>
      <c r="BR82" s="4">
        <f t="shared" si="12"/>
        <v>0.25</v>
      </c>
      <c r="BS82" s="4">
        <f>0.5*100</f>
        <v>50</v>
      </c>
      <c r="BT82" s="4">
        <v>8532.0</v>
      </c>
      <c r="BU82" s="4">
        <v>2.0</v>
      </c>
      <c r="BV82" s="4">
        <v>40.0</v>
      </c>
      <c r="BW82" s="4">
        <f>0.5*50</f>
        <v>25</v>
      </c>
      <c r="BX82" s="4">
        <v>12.0</v>
      </c>
      <c r="BY82" s="4">
        <f t="shared" si="278"/>
        <v>5</v>
      </c>
      <c r="BZ82" s="4">
        <f t="shared" si="279"/>
        <v>25</v>
      </c>
      <c r="CA82" s="4">
        <v>19.0</v>
      </c>
      <c r="CB82" s="4">
        <f t="shared" si="282"/>
        <v>0.25</v>
      </c>
      <c r="CC82" s="4">
        <f t="shared" si="283"/>
        <v>0.5</v>
      </c>
      <c r="CD82" s="4">
        <f t="shared" si="88"/>
        <v>2.5</v>
      </c>
      <c r="CE82" s="4">
        <f t="shared" si="136"/>
        <v>0.25</v>
      </c>
      <c r="CF82" s="4">
        <f>0.5*100</f>
        <v>50</v>
      </c>
      <c r="CG82" s="4">
        <v>10131.0</v>
      </c>
      <c r="CH82" s="4">
        <v>4.0</v>
      </c>
      <c r="CI82" s="4"/>
      <c r="CJ82" s="4"/>
      <c r="CK82" s="4">
        <f t="shared" si="285"/>
        <v>0.0005</v>
      </c>
      <c r="CL82" s="4">
        <f t="shared" ref="CL82:CL83" si="287">0.5*0.001</f>
        <v>0.0005</v>
      </c>
      <c r="CM82" s="4">
        <f t="shared" si="243"/>
        <v>0.25</v>
      </c>
      <c r="CN82" s="4">
        <v>81.3</v>
      </c>
      <c r="CO82" s="4"/>
      <c r="CP82" s="4"/>
      <c r="CQ82" s="4">
        <v>162.6</v>
      </c>
      <c r="CR82" s="4"/>
      <c r="CS82" s="4">
        <v>65000.0</v>
      </c>
      <c r="CT82" s="4"/>
      <c r="CU82" s="4"/>
      <c r="CV82" s="4">
        <v>406.5</v>
      </c>
      <c r="CW82" s="4"/>
      <c r="CX82" s="4"/>
      <c r="CY82" s="4"/>
      <c r="CZ82" s="4">
        <v>406.5</v>
      </c>
      <c r="DA82" s="4"/>
    </row>
    <row r="83">
      <c r="A83" s="4" t="s">
        <v>289</v>
      </c>
      <c r="B83" s="4" t="s">
        <v>290</v>
      </c>
      <c r="C83" s="5" t="s">
        <v>487</v>
      </c>
      <c r="D83" s="5" t="s">
        <v>240</v>
      </c>
      <c r="E83" s="4" t="s">
        <v>427</v>
      </c>
      <c r="F83" s="4" t="s">
        <v>110</v>
      </c>
      <c r="G83" s="4" t="s">
        <v>111</v>
      </c>
      <c r="H83" s="4" t="s">
        <v>291</v>
      </c>
      <c r="J83" s="4" t="s">
        <v>491</v>
      </c>
      <c r="K83" s="4" t="s">
        <v>492</v>
      </c>
      <c r="L83" s="4">
        <v>-25.1073</v>
      </c>
      <c r="M83" s="4">
        <v>-57.5469</v>
      </c>
      <c r="N83" s="4"/>
      <c r="O83" s="4"/>
      <c r="P83" s="4"/>
      <c r="Q83" s="4"/>
      <c r="R83" s="4">
        <v>6.5</v>
      </c>
      <c r="S83" s="4"/>
      <c r="T83" s="4">
        <v>169.1</v>
      </c>
      <c r="U83" s="4"/>
      <c r="V83" s="4">
        <v>25.5</v>
      </c>
      <c r="W83" s="4">
        <v>2.04</v>
      </c>
      <c r="X83" s="4">
        <v>22.5</v>
      </c>
      <c r="Y83" s="4">
        <v>23.95</v>
      </c>
      <c r="Z83" s="4">
        <v>136.0</v>
      </c>
      <c r="AA83" s="4">
        <v>123.6</v>
      </c>
      <c r="AB83" s="4">
        <v>12.4</v>
      </c>
      <c r="AC83" s="4">
        <v>175.0</v>
      </c>
      <c r="AD83" s="4">
        <v>22.0</v>
      </c>
      <c r="AE83" s="4">
        <v>0.0</v>
      </c>
      <c r="AF83" s="4">
        <v>30.0</v>
      </c>
      <c r="AG83" s="4">
        <v>25.74</v>
      </c>
      <c r="AH83" s="4">
        <v>5.41</v>
      </c>
      <c r="AI83" s="4">
        <v>7.2</v>
      </c>
      <c r="AJ83" s="4">
        <v>0.24</v>
      </c>
      <c r="AK83" s="4">
        <v>18.49</v>
      </c>
      <c r="AL83" s="4">
        <v>6.05</v>
      </c>
      <c r="AM83" s="4">
        <v>7.6</v>
      </c>
      <c r="AN83" s="4">
        <v>0.73</v>
      </c>
      <c r="AO83" s="4">
        <v>20.26</v>
      </c>
      <c r="AP83" s="4">
        <v>6.31</v>
      </c>
      <c r="AQ83" s="4">
        <v>1.28</v>
      </c>
      <c r="AR83" s="4">
        <v>0.326</v>
      </c>
      <c r="AS83" s="4">
        <v>0.483</v>
      </c>
      <c r="AT83" s="4">
        <v>0.03</v>
      </c>
      <c r="AU83" s="4">
        <v>0.336</v>
      </c>
      <c r="AV83" s="4">
        <v>1.16</v>
      </c>
      <c r="AW83" s="4"/>
      <c r="AX83" s="4">
        <v>16.2</v>
      </c>
      <c r="AY83" s="4">
        <v>83.38</v>
      </c>
      <c r="AZ83" s="4">
        <v>27600.0</v>
      </c>
      <c r="BA83" s="4">
        <v>10200.0</v>
      </c>
      <c r="BB83" s="4"/>
      <c r="BC83" s="4"/>
      <c r="BD83" s="4">
        <v>83420.0</v>
      </c>
      <c r="BE83" s="4">
        <f t="shared" si="30"/>
        <v>5</v>
      </c>
      <c r="BF83" s="4">
        <f t="shared" si="121"/>
        <v>5</v>
      </c>
      <c r="BG83" s="4">
        <f t="shared" ref="BG83:BH83" si="286">0.5*50</f>
        <v>25</v>
      </c>
      <c r="BH83" s="4">
        <f t="shared" si="286"/>
        <v>25</v>
      </c>
      <c r="BI83" s="4">
        <f>0.5*10</f>
        <v>5</v>
      </c>
      <c r="BJ83" s="4">
        <v>102.0</v>
      </c>
      <c r="BK83" s="4">
        <v>5.0</v>
      </c>
      <c r="BL83" s="4">
        <f t="shared" si="206"/>
        <v>5</v>
      </c>
      <c r="BM83" s="4">
        <f t="shared" si="217"/>
        <v>25</v>
      </c>
      <c r="BN83" s="4">
        <v>3.0</v>
      </c>
      <c r="BO83" s="4">
        <f t="shared" si="212"/>
        <v>0.25</v>
      </c>
      <c r="BP83" s="4">
        <f t="shared" si="257"/>
        <v>0.5</v>
      </c>
      <c r="BQ83" s="4">
        <f t="shared" si="11"/>
        <v>2.5</v>
      </c>
      <c r="BR83" s="4">
        <f t="shared" si="12"/>
        <v>0.25</v>
      </c>
      <c r="BS83" s="4">
        <v>993.0</v>
      </c>
      <c r="BT83" s="4">
        <f>0.5*50</f>
        <v>25</v>
      </c>
      <c r="BU83" s="4">
        <f>0.5*1</f>
        <v>0.5</v>
      </c>
      <c r="BV83" s="4">
        <f>0.5*10</f>
        <v>5</v>
      </c>
      <c r="BW83" s="4">
        <v>111.0</v>
      </c>
      <c r="BX83" s="4">
        <v>6.0</v>
      </c>
      <c r="BY83" s="4">
        <f t="shared" si="278"/>
        <v>5</v>
      </c>
      <c r="BZ83" s="4">
        <f t="shared" si="279"/>
        <v>25</v>
      </c>
      <c r="CA83" s="4">
        <v>4.0</v>
      </c>
      <c r="CB83" s="4">
        <f t="shared" si="282"/>
        <v>0.25</v>
      </c>
      <c r="CC83" s="4">
        <f t="shared" si="283"/>
        <v>0.5</v>
      </c>
      <c r="CD83" s="4">
        <f t="shared" si="88"/>
        <v>2.5</v>
      </c>
      <c r="CE83" s="4">
        <f t="shared" si="136"/>
        <v>0.25</v>
      </c>
      <c r="CF83" s="4">
        <v>2117.0</v>
      </c>
      <c r="CG83" s="4">
        <v>122.0</v>
      </c>
      <c r="CH83" s="4">
        <f>0.5*1</f>
        <v>0.5</v>
      </c>
      <c r="CI83" s="4"/>
      <c r="CJ83" s="4"/>
      <c r="CK83" s="4">
        <f t="shared" si="285"/>
        <v>0.0005</v>
      </c>
      <c r="CL83" s="4">
        <f t="shared" si="287"/>
        <v>0.0005</v>
      </c>
      <c r="CM83" s="4">
        <f t="shared" si="243"/>
        <v>0.25</v>
      </c>
      <c r="CN83" s="4"/>
      <c r="CO83" s="4"/>
      <c r="CP83" s="4"/>
      <c r="CQ83" s="4">
        <v>80.65</v>
      </c>
      <c r="CR83" s="4"/>
      <c r="CS83" s="4">
        <v>9838.71</v>
      </c>
      <c r="CT83" s="4"/>
      <c r="CU83" s="4"/>
      <c r="CV83" s="4"/>
      <c r="CW83" s="4">
        <v>90645.16</v>
      </c>
      <c r="CX83" s="4">
        <v>725.81</v>
      </c>
      <c r="CY83" s="4"/>
      <c r="CZ83" s="4">
        <v>80.65</v>
      </c>
      <c r="DA83" s="4"/>
    </row>
    <row r="84">
      <c r="A84" s="4" t="s">
        <v>238</v>
      </c>
      <c r="B84" s="4" t="s">
        <v>239</v>
      </c>
      <c r="C84" s="5" t="s">
        <v>493</v>
      </c>
      <c r="D84" s="5" t="s">
        <v>198</v>
      </c>
      <c r="E84" s="4" t="s">
        <v>494</v>
      </c>
      <c r="F84" s="4" t="s">
        <v>110</v>
      </c>
      <c r="G84" s="4" t="s">
        <v>111</v>
      </c>
      <c r="H84" s="4" t="s">
        <v>149</v>
      </c>
      <c r="I84" s="4" t="s">
        <v>241</v>
      </c>
      <c r="J84" s="4" t="s">
        <v>495</v>
      </c>
      <c r="K84" s="4" t="s">
        <v>496</v>
      </c>
      <c r="L84" s="4">
        <v>-22.3781</v>
      </c>
      <c r="M84" s="4">
        <v>-62.5189</v>
      </c>
      <c r="N84" s="4">
        <v>0.66</v>
      </c>
      <c r="O84" s="4">
        <v>29.0</v>
      </c>
      <c r="P84" s="4">
        <v>701.0</v>
      </c>
      <c r="Q84" s="4">
        <v>167.6</v>
      </c>
      <c r="R84" s="4">
        <v>7.88</v>
      </c>
      <c r="S84" s="4">
        <v>-58.28</v>
      </c>
      <c r="T84" s="4">
        <v>1426.0</v>
      </c>
      <c r="U84" s="4">
        <v>0.7</v>
      </c>
      <c r="V84" s="4">
        <v>30.2</v>
      </c>
      <c r="W84" s="4">
        <v>6.21</v>
      </c>
      <c r="X84" s="4">
        <v>86.0</v>
      </c>
      <c r="Y84" s="4">
        <f t="shared" ref="Y84:Y87" si="288">1.5*1100</f>
        <v>1650</v>
      </c>
      <c r="Z84" s="4">
        <v>6425.0</v>
      </c>
      <c r="AA84" s="4">
        <v>1715.0</v>
      </c>
      <c r="AB84" s="4">
        <v>4680.0</v>
      </c>
      <c r="AC84" s="4"/>
      <c r="AD84" s="4"/>
      <c r="AE84" s="4">
        <v>23.05</v>
      </c>
      <c r="AF84" s="4">
        <v>110.3</v>
      </c>
      <c r="AG84" s="4">
        <v>211.9</v>
      </c>
      <c r="AH84" s="4">
        <v>242.3</v>
      </c>
      <c r="AI84" s="4">
        <v>90.7</v>
      </c>
      <c r="AJ84" s="4">
        <v>38.4</v>
      </c>
      <c r="AK84" s="4">
        <v>129.0</v>
      </c>
      <c r="AL84" s="4">
        <v>7.6</v>
      </c>
      <c r="AM84" s="4">
        <v>102.3</v>
      </c>
      <c r="AN84" s="4">
        <v>48.1</v>
      </c>
      <c r="AO84" s="4">
        <v>137.0</v>
      </c>
      <c r="AP84" s="4">
        <v>10.7</v>
      </c>
      <c r="AQ84" s="4"/>
      <c r="AR84" s="4"/>
      <c r="AS84" s="4"/>
      <c r="AT84" s="4"/>
      <c r="AU84" s="4">
        <v>13.0</v>
      </c>
      <c r="AV84" s="4"/>
      <c r="AW84" s="4"/>
      <c r="AX84" s="4">
        <v>21.3</v>
      </c>
      <c r="AY84" s="4">
        <v>104.0</v>
      </c>
      <c r="AZ84" s="4"/>
      <c r="BA84" s="4"/>
      <c r="BB84" s="4"/>
      <c r="BC84" s="4"/>
      <c r="BD84" s="4"/>
      <c r="BE84" s="4">
        <f t="shared" si="30"/>
        <v>5</v>
      </c>
      <c r="BF84" s="4">
        <f t="shared" si="121"/>
        <v>5</v>
      </c>
      <c r="BI84" s="4">
        <f t="shared" ref="BI84:BI93" si="289">0.5*2</f>
        <v>1</v>
      </c>
      <c r="BJ84" s="4">
        <v>50.0</v>
      </c>
      <c r="BK84" s="4">
        <f t="shared" ref="BK84:BK93" si="290">0.5*10</f>
        <v>5</v>
      </c>
      <c r="BL84" s="4">
        <f t="shared" ref="BL84:BL87" si="291">0.5*2</f>
        <v>1</v>
      </c>
      <c r="BM84" s="4">
        <f t="shared" ref="BM84:BM87" si="292">0.5*20</f>
        <v>10</v>
      </c>
      <c r="BN84" s="4">
        <f t="shared" ref="BN84:BN88" si="293">0.5*10</f>
        <v>5</v>
      </c>
      <c r="BO84" s="4">
        <f t="shared" ref="BO84:BO86" si="294">0.5*0.2</f>
        <v>0.1</v>
      </c>
      <c r="BP84" s="4">
        <f t="shared" si="257"/>
        <v>0.5</v>
      </c>
      <c r="BQ84" s="4">
        <f t="shared" ref="BQ84:BQ93" si="295">0.5*1</f>
        <v>0.5</v>
      </c>
      <c r="BS84" s="4">
        <f t="shared" ref="BS84:BS87" si="296">0.5*100</f>
        <v>50</v>
      </c>
      <c r="BT84" s="4">
        <f t="shared" ref="BT84:BT85" si="297">0.5*200</f>
        <v>100</v>
      </c>
      <c r="BU84" s="4">
        <f t="shared" ref="BU84:BU93" si="298">0.5*10</f>
        <v>5</v>
      </c>
      <c r="BV84" s="4">
        <f t="shared" ref="BV84:BV86" si="299">0.5*2</f>
        <v>1</v>
      </c>
      <c r="BW84" s="4">
        <v>280.0</v>
      </c>
      <c r="BX84" s="4">
        <f t="shared" ref="BX84:BX93" si="300">0.5*10</f>
        <v>5</v>
      </c>
      <c r="BY84" s="4">
        <v>5.0</v>
      </c>
      <c r="BZ84" s="4">
        <f t="shared" ref="BZ84:BZ86" si="301">0.5*20</f>
        <v>10</v>
      </c>
      <c r="CA84" s="4">
        <f t="shared" ref="CA84:CA88" si="302">0.5*10</f>
        <v>5</v>
      </c>
      <c r="CB84" s="4">
        <f t="shared" ref="CB84:CB85" si="303">0.5*0.2</f>
        <v>0.1</v>
      </c>
      <c r="CC84" s="4">
        <v>10.0</v>
      </c>
      <c r="CD84" s="4">
        <f t="shared" ref="CD84:CD89" si="304">0.5*1</f>
        <v>0.5</v>
      </c>
      <c r="CF84" s="4">
        <v>11400.0</v>
      </c>
      <c r="CG84" s="4">
        <f t="shared" ref="CG84:CG85" si="305">0.5*200</f>
        <v>100</v>
      </c>
      <c r="CH84" s="4">
        <f t="shared" ref="CH84:CH93" si="306">0.5*10</f>
        <v>5</v>
      </c>
      <c r="CI84" s="4"/>
      <c r="CJ84" s="4"/>
      <c r="CK84" s="4">
        <f t="shared" ref="CK84:CK85" si="307">0.5*1</f>
        <v>0.5</v>
      </c>
      <c r="CL84" s="4"/>
      <c r="CM84" s="4"/>
      <c r="CN84" s="4"/>
      <c r="CO84" s="4"/>
      <c r="CP84" s="4">
        <v>0.51</v>
      </c>
      <c r="CQ84" s="4"/>
      <c r="CR84" s="4"/>
      <c r="CS84" s="4"/>
      <c r="CT84" s="4"/>
      <c r="CU84" s="4">
        <v>1.07</v>
      </c>
      <c r="CV84" s="4"/>
      <c r="CW84" s="4">
        <v>2435.9</v>
      </c>
      <c r="CX84" s="4">
        <v>49.15</v>
      </c>
      <c r="CY84" s="4"/>
      <c r="CZ84" s="4"/>
      <c r="DA84" s="4"/>
    </row>
    <row r="85">
      <c r="A85" s="4" t="s">
        <v>232</v>
      </c>
      <c r="B85" s="4" t="s">
        <v>233</v>
      </c>
      <c r="C85" s="5" t="s">
        <v>497</v>
      </c>
      <c r="D85" s="5" t="s">
        <v>498</v>
      </c>
      <c r="E85" s="4" t="s">
        <v>494</v>
      </c>
      <c r="F85" s="4" t="s">
        <v>110</v>
      </c>
      <c r="G85" s="4" t="s">
        <v>111</v>
      </c>
      <c r="H85" s="4" t="s">
        <v>149</v>
      </c>
      <c r="I85" s="4" t="s">
        <v>229</v>
      </c>
      <c r="J85" s="4" t="s">
        <v>499</v>
      </c>
      <c r="K85" s="4" t="s">
        <v>500</v>
      </c>
      <c r="L85" s="4">
        <v>-21.2589</v>
      </c>
      <c r="M85" s="4">
        <v>-63.5116</v>
      </c>
      <c r="N85" s="4"/>
      <c r="O85" s="4">
        <v>61.0</v>
      </c>
      <c r="P85" s="4">
        <v>1016.0</v>
      </c>
      <c r="Q85" s="4">
        <v>187.8</v>
      </c>
      <c r="R85" s="4">
        <v>7.99</v>
      </c>
      <c r="S85" s="4">
        <v>-64.49</v>
      </c>
      <c r="T85" s="4">
        <v>985.0</v>
      </c>
      <c r="U85" s="4">
        <v>0.4</v>
      </c>
      <c r="V85" s="4">
        <v>30.1</v>
      </c>
      <c r="W85" s="4">
        <v>6.97</v>
      </c>
      <c r="X85" s="4">
        <v>98.0</v>
      </c>
      <c r="Y85" s="4">
        <f t="shared" si="288"/>
        <v>1650</v>
      </c>
      <c r="Z85" s="4">
        <v>4734.0</v>
      </c>
      <c r="AA85" s="4">
        <v>995.0</v>
      </c>
      <c r="AB85" s="4">
        <v>3690.0</v>
      </c>
      <c r="AC85" s="4"/>
      <c r="AD85" s="4"/>
      <c r="AE85" s="4">
        <v>20.2</v>
      </c>
      <c r="AF85" s="4">
        <v>104.9</v>
      </c>
      <c r="AG85" s="4">
        <v>143.8</v>
      </c>
      <c r="AH85" s="4">
        <v>125.9</v>
      </c>
      <c r="AI85" s="4">
        <v>65.1</v>
      </c>
      <c r="AJ85" s="4">
        <v>24.5</v>
      </c>
      <c r="AK85" s="4">
        <v>90.5</v>
      </c>
      <c r="AL85" s="4">
        <v>6.68</v>
      </c>
      <c r="AM85" s="4">
        <v>93.2</v>
      </c>
      <c r="AN85" s="4">
        <v>31.0</v>
      </c>
      <c r="AO85" s="4">
        <v>95.4</v>
      </c>
      <c r="AP85" s="4">
        <v>9.4</v>
      </c>
      <c r="AQ85" s="4"/>
      <c r="AR85" s="4"/>
      <c r="AS85" s="4"/>
      <c r="AT85" s="4"/>
      <c r="AU85" s="4">
        <v>12.6</v>
      </c>
      <c r="AV85" s="4"/>
      <c r="AW85" s="4"/>
      <c r="AX85" s="4">
        <v>37.8</v>
      </c>
      <c r="AY85" s="4">
        <v>224.0</v>
      </c>
      <c r="AZ85" s="4"/>
      <c r="BA85" s="4"/>
      <c r="BB85" s="4"/>
      <c r="BC85" s="4"/>
      <c r="BD85" s="4"/>
      <c r="BE85" s="4">
        <f t="shared" si="30"/>
        <v>5</v>
      </c>
      <c r="BF85" s="4">
        <f t="shared" si="121"/>
        <v>5</v>
      </c>
      <c r="BI85" s="4">
        <f t="shared" si="289"/>
        <v>1</v>
      </c>
      <c r="BJ85" s="4">
        <v>50.0</v>
      </c>
      <c r="BK85" s="4">
        <f t="shared" si="290"/>
        <v>5</v>
      </c>
      <c r="BL85" s="4">
        <f t="shared" si="291"/>
        <v>1</v>
      </c>
      <c r="BM85" s="4">
        <f t="shared" si="292"/>
        <v>10</v>
      </c>
      <c r="BN85" s="4">
        <f t="shared" si="293"/>
        <v>5</v>
      </c>
      <c r="BO85" s="4">
        <f t="shared" si="294"/>
        <v>0.1</v>
      </c>
      <c r="BP85" s="4">
        <f t="shared" si="257"/>
        <v>0.5</v>
      </c>
      <c r="BQ85" s="4">
        <f t="shared" si="295"/>
        <v>0.5</v>
      </c>
      <c r="BS85" s="4">
        <f t="shared" si="296"/>
        <v>50</v>
      </c>
      <c r="BT85" s="4">
        <f t="shared" si="297"/>
        <v>100</v>
      </c>
      <c r="BU85" s="4">
        <f t="shared" si="298"/>
        <v>5</v>
      </c>
      <c r="BV85" s="4">
        <f t="shared" si="299"/>
        <v>1</v>
      </c>
      <c r="BW85" s="4">
        <v>220.0</v>
      </c>
      <c r="BX85" s="4">
        <f t="shared" si="300"/>
        <v>5</v>
      </c>
      <c r="BY85" s="4">
        <f t="shared" ref="BY85:BY86" si="308">0.5*2</f>
        <v>1</v>
      </c>
      <c r="BZ85" s="4">
        <f t="shared" si="301"/>
        <v>10</v>
      </c>
      <c r="CA85" s="4">
        <f t="shared" si="302"/>
        <v>5</v>
      </c>
      <c r="CB85" s="4">
        <f t="shared" si="303"/>
        <v>0.1</v>
      </c>
      <c r="CC85" s="4">
        <v>5.0</v>
      </c>
      <c r="CD85" s="4">
        <f t="shared" si="304"/>
        <v>0.5</v>
      </c>
      <c r="CF85" s="4">
        <v>8010.0</v>
      </c>
      <c r="CG85" s="4">
        <f t="shared" si="305"/>
        <v>100</v>
      </c>
      <c r="CH85" s="4">
        <f t="shared" si="306"/>
        <v>5</v>
      </c>
      <c r="CI85" s="4"/>
      <c r="CJ85" s="4"/>
      <c r="CK85" s="4">
        <f t="shared" si="307"/>
        <v>0.5</v>
      </c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>
        <v>2170.73</v>
      </c>
      <c r="CX85" s="4">
        <v>46.07</v>
      </c>
      <c r="CY85" s="4"/>
      <c r="CZ85" s="4"/>
      <c r="DA85" s="4"/>
    </row>
    <row r="86">
      <c r="A86" s="4" t="s">
        <v>213</v>
      </c>
      <c r="B86" s="4" t="s">
        <v>214</v>
      </c>
      <c r="C86" s="5" t="s">
        <v>501</v>
      </c>
      <c r="D86" s="5" t="s">
        <v>502</v>
      </c>
      <c r="E86" s="4" t="s">
        <v>494</v>
      </c>
      <c r="F86" s="4" t="s">
        <v>110</v>
      </c>
      <c r="G86" s="4" t="s">
        <v>111</v>
      </c>
      <c r="H86" s="4" t="s">
        <v>125</v>
      </c>
      <c r="I86" s="4" t="s">
        <v>112</v>
      </c>
      <c r="J86" s="4" t="s">
        <v>503</v>
      </c>
      <c r="K86" s="4" t="s">
        <v>504</v>
      </c>
      <c r="L86" s="4">
        <v>-21.239</v>
      </c>
      <c r="M86" s="4">
        <v>-65.2094</v>
      </c>
      <c r="N86" s="4">
        <v>0.697</v>
      </c>
      <c r="O86" s="4">
        <v>7.0</v>
      </c>
      <c r="P86" s="4">
        <v>701.0</v>
      </c>
      <c r="Q86" s="4">
        <v>144.7</v>
      </c>
      <c r="R86" s="4">
        <v>8.22</v>
      </c>
      <c r="S86" s="4">
        <v>-76.55</v>
      </c>
      <c r="T86" s="4">
        <v>1426.0</v>
      </c>
      <c r="U86" s="4">
        <v>0.7</v>
      </c>
      <c r="V86" s="4">
        <v>24.9</v>
      </c>
      <c r="W86" s="4">
        <v>5.84</v>
      </c>
      <c r="X86" s="4">
        <v>94.3</v>
      </c>
      <c r="Y86" s="4">
        <f t="shared" si="288"/>
        <v>1650</v>
      </c>
      <c r="Z86" s="4">
        <v>3944.0</v>
      </c>
      <c r="AA86" s="4">
        <v>1112.0</v>
      </c>
      <c r="AB86" s="4">
        <v>2832.0</v>
      </c>
      <c r="AC86" s="4"/>
      <c r="AD86" s="4">
        <v>657.2</v>
      </c>
      <c r="AE86" s="4">
        <v>10.0</v>
      </c>
      <c r="AF86" s="4">
        <v>185.0</v>
      </c>
      <c r="AG86" s="4">
        <v>70.47</v>
      </c>
      <c r="AH86" s="4">
        <v>448.2</v>
      </c>
      <c r="AI86" s="4">
        <v>101.0</v>
      </c>
      <c r="AJ86" s="4">
        <v>68.2</v>
      </c>
      <c r="AK86" s="4">
        <v>109.98</v>
      </c>
      <c r="AL86" s="4">
        <v>8.11</v>
      </c>
      <c r="AM86" s="4">
        <v>102.85</v>
      </c>
      <c r="AN86" s="4">
        <v>97.2</v>
      </c>
      <c r="AO86" s="4">
        <v>225.4</v>
      </c>
      <c r="AP86" s="4">
        <v>16.73</v>
      </c>
      <c r="AQ86" s="4"/>
      <c r="AR86" s="4"/>
      <c r="AS86" s="4"/>
      <c r="AT86" s="4"/>
      <c r="AU86" s="4">
        <v>2.1</v>
      </c>
      <c r="AV86" s="4"/>
      <c r="AW86" s="4"/>
      <c r="AX86" s="4">
        <f t="shared" ref="AX86:AX88" si="309">0.5*5</f>
        <v>2.5</v>
      </c>
      <c r="AY86" s="4">
        <f>0.5*2</f>
        <v>1</v>
      </c>
      <c r="AZ86" s="4"/>
      <c r="BA86" s="4"/>
      <c r="BB86" s="4"/>
      <c r="BC86" s="4"/>
      <c r="BD86" s="4"/>
      <c r="BE86" s="4">
        <f t="shared" si="30"/>
        <v>5</v>
      </c>
      <c r="BF86" s="4">
        <f t="shared" si="121"/>
        <v>5</v>
      </c>
      <c r="BG86" s="4"/>
      <c r="BH86" s="4"/>
      <c r="BI86" s="4">
        <f t="shared" si="289"/>
        <v>1</v>
      </c>
      <c r="BJ86" s="4">
        <v>120.0</v>
      </c>
      <c r="BK86" s="4">
        <f t="shared" si="290"/>
        <v>5</v>
      </c>
      <c r="BL86" s="4">
        <f t="shared" si="291"/>
        <v>1</v>
      </c>
      <c r="BM86" s="4">
        <f t="shared" si="292"/>
        <v>10</v>
      </c>
      <c r="BN86" s="4">
        <f t="shared" si="293"/>
        <v>5</v>
      </c>
      <c r="BO86" s="4">
        <f t="shared" si="294"/>
        <v>0.1</v>
      </c>
      <c r="BP86" s="4">
        <f t="shared" si="257"/>
        <v>0.5</v>
      </c>
      <c r="BQ86" s="4">
        <f t="shared" si="295"/>
        <v>0.5</v>
      </c>
      <c r="BR86" s="4"/>
      <c r="BS86" s="4">
        <f t="shared" si="296"/>
        <v>50</v>
      </c>
      <c r="BT86" s="4">
        <v>2200.0</v>
      </c>
      <c r="BU86" s="4">
        <f t="shared" si="298"/>
        <v>5</v>
      </c>
      <c r="BV86" s="4">
        <f t="shared" si="299"/>
        <v>1</v>
      </c>
      <c r="BW86" s="4">
        <v>160.0</v>
      </c>
      <c r="BX86" s="4">
        <f t="shared" si="300"/>
        <v>5</v>
      </c>
      <c r="BY86" s="4">
        <f t="shared" si="308"/>
        <v>1</v>
      </c>
      <c r="BZ86" s="4">
        <f t="shared" si="301"/>
        <v>10</v>
      </c>
      <c r="CA86" s="4">
        <f t="shared" si="302"/>
        <v>5</v>
      </c>
      <c r="CB86" s="4"/>
      <c r="CC86" s="4">
        <v>6.0</v>
      </c>
      <c r="CD86" s="4">
        <f t="shared" si="304"/>
        <v>0.5</v>
      </c>
      <c r="CE86" s="4"/>
      <c r="CF86" s="4">
        <v>58900.0</v>
      </c>
      <c r="CG86" s="4">
        <v>2740.0</v>
      </c>
      <c r="CH86" s="4">
        <f t="shared" si="306"/>
        <v>5</v>
      </c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>
        <v>190.68</v>
      </c>
      <c r="CT86" s="4"/>
      <c r="CU86" s="4"/>
      <c r="CV86" s="4"/>
      <c r="CW86" s="4">
        <v>20798.02</v>
      </c>
      <c r="CX86" s="4">
        <v>14.12</v>
      </c>
      <c r="CY86" s="4"/>
      <c r="CZ86" s="4"/>
      <c r="DA86" s="4"/>
    </row>
    <row r="87">
      <c r="A87" s="4" t="s">
        <v>207</v>
      </c>
      <c r="B87" s="4" t="s">
        <v>208</v>
      </c>
      <c r="C87" s="5" t="s">
        <v>501</v>
      </c>
      <c r="D87" s="5" t="s">
        <v>198</v>
      </c>
      <c r="E87" s="4" t="s">
        <v>494</v>
      </c>
      <c r="F87" s="4" t="s">
        <v>110</v>
      </c>
      <c r="G87" s="4" t="s">
        <v>111</v>
      </c>
      <c r="H87" s="4" t="s">
        <v>141</v>
      </c>
      <c r="I87" s="4" t="s">
        <v>138</v>
      </c>
      <c r="J87" s="4" t="s">
        <v>505</v>
      </c>
      <c r="K87" s="4" t="s">
        <v>506</v>
      </c>
      <c r="L87" s="4">
        <v>-20.7422</v>
      </c>
      <c r="M87" s="4">
        <v>-65.2405</v>
      </c>
      <c r="N87" s="4">
        <v>0.95</v>
      </c>
      <c r="O87" s="4">
        <v>16.0</v>
      </c>
      <c r="P87" s="4">
        <v>771.0</v>
      </c>
      <c r="Q87" s="4">
        <v>143.3</v>
      </c>
      <c r="R87" s="4">
        <v>7.82</v>
      </c>
      <c r="S87" s="4">
        <v>-53.04</v>
      </c>
      <c r="T87" s="4">
        <v>1296.0</v>
      </c>
      <c r="U87" s="4">
        <v>0.6</v>
      </c>
      <c r="V87" s="4">
        <v>21.9</v>
      </c>
      <c r="W87" s="4">
        <v>6.09</v>
      </c>
      <c r="X87" s="4">
        <v>92.45</v>
      </c>
      <c r="Y87" s="4">
        <f t="shared" si="288"/>
        <v>1650</v>
      </c>
      <c r="Z87" s="4">
        <v>20313.0</v>
      </c>
      <c r="AA87" s="4">
        <v>1188.0</v>
      </c>
      <c r="AB87" s="4">
        <v>19125.0</v>
      </c>
      <c r="AC87" s="4"/>
      <c r="AD87" s="4">
        <v>836.8</v>
      </c>
      <c r="AE87" s="4">
        <f t="shared" ref="AE87:AE89" si="310">0.5*0.1</f>
        <v>0.05</v>
      </c>
      <c r="AF87" s="4">
        <v>115.0</v>
      </c>
      <c r="AG87" s="4">
        <v>40.05</v>
      </c>
      <c r="AH87" s="4">
        <v>533.0</v>
      </c>
      <c r="AI87" s="4">
        <v>69.55</v>
      </c>
      <c r="AJ87" s="4">
        <v>138.6</v>
      </c>
      <c r="AK87" s="4">
        <v>74.79</v>
      </c>
      <c r="AL87" s="4">
        <v>8.25</v>
      </c>
      <c r="AM87" s="4">
        <v>70.92</v>
      </c>
      <c r="AN87" s="4">
        <v>160.2</v>
      </c>
      <c r="AO87" s="4">
        <v>129.64</v>
      </c>
      <c r="AP87" s="4">
        <v>14.17</v>
      </c>
      <c r="AQ87" s="4"/>
      <c r="AR87" s="4"/>
      <c r="AS87" s="4"/>
      <c r="AT87" s="4"/>
      <c r="AU87" s="4">
        <v>0.7</v>
      </c>
      <c r="AV87" s="4"/>
      <c r="AW87" s="4"/>
      <c r="AX87" s="4">
        <f t="shared" si="309"/>
        <v>2.5</v>
      </c>
      <c r="AY87" s="4">
        <v>24.0</v>
      </c>
      <c r="AZ87" s="4"/>
      <c r="BA87" s="4"/>
      <c r="BB87" s="4"/>
      <c r="BC87" s="4"/>
      <c r="BD87" s="4"/>
      <c r="BE87" s="4">
        <f t="shared" si="30"/>
        <v>5</v>
      </c>
      <c r="BF87" s="4">
        <f t="shared" si="121"/>
        <v>5</v>
      </c>
      <c r="BG87" s="4"/>
      <c r="BH87" s="4"/>
      <c r="BI87" s="4">
        <f t="shared" si="289"/>
        <v>1</v>
      </c>
      <c r="BJ87" s="4">
        <f>0.5*50</f>
        <v>25</v>
      </c>
      <c r="BK87" s="4">
        <f t="shared" si="290"/>
        <v>5</v>
      </c>
      <c r="BL87" s="4">
        <f t="shared" si="291"/>
        <v>1</v>
      </c>
      <c r="BM87" s="4">
        <f t="shared" si="292"/>
        <v>10</v>
      </c>
      <c r="BN87" s="4">
        <f t="shared" si="293"/>
        <v>5</v>
      </c>
      <c r="BO87" s="4">
        <v>0.4</v>
      </c>
      <c r="BP87" s="4">
        <f t="shared" si="257"/>
        <v>0.5</v>
      </c>
      <c r="BQ87" s="4">
        <f t="shared" si="295"/>
        <v>0.5</v>
      </c>
      <c r="BR87" s="4"/>
      <c r="BS87" s="4">
        <f t="shared" si="296"/>
        <v>50</v>
      </c>
      <c r="BT87" s="4">
        <v>1120.0</v>
      </c>
      <c r="BU87" s="4">
        <f t="shared" si="298"/>
        <v>5</v>
      </c>
      <c r="BV87" s="4">
        <v>15.0</v>
      </c>
      <c r="BW87" s="4">
        <v>2370.0</v>
      </c>
      <c r="BX87" s="4">
        <f t="shared" si="300"/>
        <v>5</v>
      </c>
      <c r="BY87" s="4">
        <v>25.0</v>
      </c>
      <c r="BZ87" s="4">
        <v>180.0</v>
      </c>
      <c r="CA87" s="4">
        <f t="shared" si="302"/>
        <v>5</v>
      </c>
      <c r="CB87" s="4">
        <v>0.4</v>
      </c>
      <c r="CC87" s="4">
        <v>68.0</v>
      </c>
      <c r="CD87" s="4">
        <f t="shared" si="304"/>
        <v>0.5</v>
      </c>
      <c r="CE87" s="4"/>
      <c r="CF87" s="4">
        <v>46200.0</v>
      </c>
      <c r="CG87" s="4">
        <v>1230.0</v>
      </c>
      <c r="CH87" s="4">
        <f t="shared" si="306"/>
        <v>5</v>
      </c>
      <c r="CI87" s="4"/>
      <c r="CJ87" s="4"/>
      <c r="CK87" s="4"/>
      <c r="CL87" s="4"/>
      <c r="CM87" s="4"/>
      <c r="CN87" s="4"/>
      <c r="CO87" s="4">
        <v>9.41</v>
      </c>
      <c r="CP87" s="4">
        <v>3.12</v>
      </c>
      <c r="CQ87" s="4"/>
      <c r="CR87" s="4"/>
      <c r="CS87" s="4">
        <v>5.75</v>
      </c>
      <c r="CT87" s="4">
        <v>0.0</v>
      </c>
      <c r="CU87" s="4">
        <v>1.31</v>
      </c>
      <c r="CV87" s="4">
        <v>0.78</v>
      </c>
      <c r="CW87" s="4">
        <v>2415.69</v>
      </c>
      <c r="CX87" s="4">
        <v>123.92</v>
      </c>
      <c r="CY87" s="4"/>
      <c r="CZ87" s="4"/>
      <c r="DA87" s="4"/>
    </row>
    <row r="88">
      <c r="A88" s="4" t="s">
        <v>153</v>
      </c>
      <c r="B88" s="4" t="s">
        <v>154</v>
      </c>
      <c r="C88" s="5" t="s">
        <v>507</v>
      </c>
      <c r="D88" s="5" t="s">
        <v>370</v>
      </c>
      <c r="E88" s="4" t="s">
        <v>494</v>
      </c>
      <c r="F88" s="4" t="s">
        <v>110</v>
      </c>
      <c r="G88" s="4" t="s">
        <v>111</v>
      </c>
      <c r="H88" s="4" t="s">
        <v>157</v>
      </c>
      <c r="I88" s="4" t="s">
        <v>150</v>
      </c>
      <c r="J88" s="4" t="s">
        <v>508</v>
      </c>
      <c r="K88" s="4" t="s">
        <v>509</v>
      </c>
      <c r="L88" s="4">
        <v>-19.3213</v>
      </c>
      <c r="M88" s="4">
        <v>-65.5518</v>
      </c>
      <c r="N88" s="4"/>
      <c r="O88" s="4"/>
      <c r="P88" s="4">
        <v>1436.0</v>
      </c>
      <c r="Q88" s="4">
        <v>132.9</v>
      </c>
      <c r="R88" s="4">
        <v>3.38</v>
      </c>
      <c r="S88" s="4">
        <v>193.85</v>
      </c>
      <c r="T88" s="4">
        <v>695.5</v>
      </c>
      <c r="U88" s="4">
        <v>0.3</v>
      </c>
      <c r="V88" s="4">
        <v>15.6</v>
      </c>
      <c r="W88" s="4">
        <v>6.34</v>
      </c>
      <c r="X88" s="4">
        <v>98.85</v>
      </c>
      <c r="Y88" s="4">
        <v>155.3</v>
      </c>
      <c r="Z88" s="4">
        <v>492.0</v>
      </c>
      <c r="AA88" s="4">
        <v>422.0</v>
      </c>
      <c r="AB88" s="4">
        <v>70.0</v>
      </c>
      <c r="AC88" s="4"/>
      <c r="AD88" s="4">
        <v>209.6</v>
      </c>
      <c r="AE88" s="4">
        <f t="shared" si="310"/>
        <v>0.05</v>
      </c>
      <c r="AF88" s="4">
        <f>0.5*0.1</f>
        <v>0.05</v>
      </c>
      <c r="AG88" s="4">
        <v>8.25</v>
      </c>
      <c r="AH88" s="4">
        <v>247.9</v>
      </c>
      <c r="AI88" s="4">
        <v>17.84</v>
      </c>
      <c r="AJ88" s="4">
        <v>23.2</v>
      </c>
      <c r="AK88" s="4">
        <v>1.71</v>
      </c>
      <c r="AL88" s="4">
        <v>1.35</v>
      </c>
      <c r="AM88" s="4">
        <v>18.67</v>
      </c>
      <c r="AN88" s="4">
        <v>39.6</v>
      </c>
      <c r="AO88" s="4">
        <v>3.48</v>
      </c>
      <c r="AP88" s="4">
        <v>3.36</v>
      </c>
      <c r="AQ88" s="4"/>
      <c r="AR88" s="4"/>
      <c r="AS88" s="4"/>
      <c r="AT88" s="4"/>
      <c r="AU88" s="4">
        <v>1.9</v>
      </c>
      <c r="AV88" s="4"/>
      <c r="AW88" s="4"/>
      <c r="AX88" s="4">
        <f t="shared" si="309"/>
        <v>2.5</v>
      </c>
      <c r="AY88" s="4">
        <f>0.5*2</f>
        <v>1</v>
      </c>
      <c r="AZ88" s="4"/>
      <c r="BA88" s="4"/>
      <c r="BB88" s="4"/>
      <c r="BC88" s="4"/>
      <c r="BD88" s="4"/>
      <c r="BE88" s="4">
        <f t="shared" si="30"/>
        <v>5</v>
      </c>
      <c r="BF88" s="4">
        <f t="shared" si="121"/>
        <v>5</v>
      </c>
      <c r="BG88" s="4"/>
      <c r="BH88" s="4"/>
      <c r="BI88" s="4">
        <f t="shared" si="289"/>
        <v>1</v>
      </c>
      <c r="BJ88" s="4">
        <v>7460.0</v>
      </c>
      <c r="BK88" s="4">
        <f t="shared" si="290"/>
        <v>5</v>
      </c>
      <c r="BL88" s="4">
        <v>549.0</v>
      </c>
      <c r="BM88" s="4">
        <v>1940.0</v>
      </c>
      <c r="BN88" s="4">
        <f t="shared" si="293"/>
        <v>5</v>
      </c>
      <c r="BO88" s="4">
        <v>7.0</v>
      </c>
      <c r="BP88" s="4">
        <f t="shared" si="257"/>
        <v>0.5</v>
      </c>
      <c r="BQ88" s="4">
        <f t="shared" si="295"/>
        <v>0.5</v>
      </c>
      <c r="BR88" s="4"/>
      <c r="BS88" s="4">
        <v>5980.0</v>
      </c>
      <c r="BT88" s="4">
        <f>0.5*200</f>
        <v>100</v>
      </c>
      <c r="BU88" s="4">
        <f t="shared" si="298"/>
        <v>5</v>
      </c>
      <c r="BV88" s="4">
        <v>6.0</v>
      </c>
      <c r="BW88" s="4">
        <v>8770.0</v>
      </c>
      <c r="BX88" s="4">
        <f t="shared" si="300"/>
        <v>5</v>
      </c>
      <c r="BY88" s="4">
        <v>720.0</v>
      </c>
      <c r="BZ88" s="4">
        <v>2050.0</v>
      </c>
      <c r="CA88" s="4">
        <f t="shared" si="302"/>
        <v>5</v>
      </c>
      <c r="CB88" s="4">
        <v>8.5</v>
      </c>
      <c r="CC88" s="4">
        <v>6.0</v>
      </c>
      <c r="CD88" s="4">
        <f t="shared" si="304"/>
        <v>0.5</v>
      </c>
      <c r="CE88" s="4"/>
      <c r="CF88" s="4">
        <v>27100.0</v>
      </c>
      <c r="CG88" s="4">
        <f>0.5*200</f>
        <v>100</v>
      </c>
      <c r="CH88" s="4">
        <f t="shared" si="306"/>
        <v>5</v>
      </c>
      <c r="CI88" s="4"/>
      <c r="CJ88" s="4"/>
      <c r="CK88" s="4"/>
      <c r="CL88" s="4"/>
      <c r="CM88" s="4"/>
      <c r="CN88" s="4"/>
      <c r="CO88" s="4">
        <v>1571.43</v>
      </c>
      <c r="CP88" s="4">
        <v>66.43</v>
      </c>
      <c r="CQ88" s="4"/>
      <c r="CR88" s="4"/>
      <c r="CS88" s="4"/>
      <c r="CT88" s="4">
        <v>21.43</v>
      </c>
      <c r="CU88" s="4">
        <v>2442.86</v>
      </c>
      <c r="CV88" s="4">
        <v>85.71</v>
      </c>
      <c r="CW88" s="4">
        <v>301714.29</v>
      </c>
      <c r="CX88" s="4">
        <v>18714.29</v>
      </c>
      <c r="CY88" s="4"/>
      <c r="CZ88" s="4"/>
      <c r="DA88" s="4"/>
    </row>
    <row r="89">
      <c r="A89" s="4" t="s">
        <v>178</v>
      </c>
      <c r="B89" s="4" t="s">
        <v>179</v>
      </c>
      <c r="C89" s="5" t="s">
        <v>507</v>
      </c>
      <c r="D89" s="5" t="s">
        <v>510</v>
      </c>
      <c r="E89" s="4" t="s">
        <v>494</v>
      </c>
      <c r="F89" s="4" t="s">
        <v>110</v>
      </c>
      <c r="G89" s="4" t="s">
        <v>111</v>
      </c>
      <c r="H89" s="4" t="s">
        <v>178</v>
      </c>
      <c r="I89" s="4" t="s">
        <v>150</v>
      </c>
      <c r="J89" s="4" t="s">
        <v>511</v>
      </c>
      <c r="K89" s="4" t="s">
        <v>512</v>
      </c>
      <c r="L89" s="4">
        <v>-19.4719</v>
      </c>
      <c r="M89" s="4">
        <v>-65.7943</v>
      </c>
      <c r="N89" s="4">
        <v>0.431</v>
      </c>
      <c r="O89" s="4">
        <v>0.0</v>
      </c>
      <c r="P89" s="4">
        <v>640.0</v>
      </c>
      <c r="Q89" s="4">
        <v>116.0</v>
      </c>
      <c r="R89" s="4">
        <v>7.84</v>
      </c>
      <c r="S89" s="4">
        <v>-52.75</v>
      </c>
      <c r="T89" s="4">
        <v>1562.0</v>
      </c>
      <c r="U89" s="4">
        <v>0.8</v>
      </c>
      <c r="V89" s="4">
        <v>12.4</v>
      </c>
      <c r="W89" s="4">
        <v>5.91</v>
      </c>
      <c r="X89" s="4">
        <v>82.7</v>
      </c>
      <c r="Y89" s="4">
        <v>339.5</v>
      </c>
      <c r="Z89" s="4">
        <v>1511.0</v>
      </c>
      <c r="AA89" s="4">
        <v>1128.0</v>
      </c>
      <c r="AB89" s="4">
        <v>383.0</v>
      </c>
      <c r="AC89" s="4"/>
      <c r="AD89" s="4">
        <v>500.0</v>
      </c>
      <c r="AE89" s="4">
        <f t="shared" si="310"/>
        <v>0.05</v>
      </c>
      <c r="AF89" s="4">
        <v>157.5</v>
      </c>
      <c r="AG89" s="4">
        <v>102.44</v>
      </c>
      <c r="AH89" s="4">
        <v>432.3</v>
      </c>
      <c r="AI89" s="4">
        <v>115.5</v>
      </c>
      <c r="AJ89" s="4">
        <v>21.3</v>
      </c>
      <c r="AK89" s="4">
        <v>112.67</v>
      </c>
      <c r="AL89" s="4">
        <v>19.34</v>
      </c>
      <c r="AM89" s="4">
        <v>116.3</v>
      </c>
      <c r="AN89" s="4">
        <v>47.3</v>
      </c>
      <c r="AO89" s="4">
        <v>250.01</v>
      </c>
      <c r="AP89" s="4">
        <v>49.06</v>
      </c>
      <c r="AQ89" s="4"/>
      <c r="AR89" s="4"/>
      <c r="AS89" s="4"/>
      <c r="AT89" s="4"/>
      <c r="AU89" s="4">
        <v>2.3</v>
      </c>
      <c r="AV89" s="4"/>
      <c r="AW89" s="4"/>
      <c r="AX89" s="4">
        <v>49.0</v>
      </c>
      <c r="AY89" s="4">
        <v>63.0</v>
      </c>
      <c r="AZ89" s="4"/>
      <c r="BA89" s="4"/>
      <c r="BB89" s="4"/>
      <c r="BC89" s="4"/>
      <c r="BD89" s="4"/>
      <c r="BE89" s="4">
        <f t="shared" si="30"/>
        <v>5</v>
      </c>
      <c r="BF89" s="4">
        <f t="shared" si="121"/>
        <v>5</v>
      </c>
      <c r="BG89" s="4"/>
      <c r="BH89" s="4"/>
      <c r="BI89" s="4">
        <f t="shared" si="289"/>
        <v>1</v>
      </c>
      <c r="BJ89" s="4">
        <v>2230.0</v>
      </c>
      <c r="BK89" s="4">
        <f t="shared" si="290"/>
        <v>5</v>
      </c>
      <c r="BL89" s="4">
        <v>46.0</v>
      </c>
      <c r="BM89" s="4">
        <v>2170.0</v>
      </c>
      <c r="BN89" s="4">
        <v>44.0</v>
      </c>
      <c r="BO89" s="4">
        <v>7.0</v>
      </c>
      <c r="BP89" s="4">
        <f t="shared" si="257"/>
        <v>0.5</v>
      </c>
      <c r="BQ89" s="4">
        <f t="shared" si="295"/>
        <v>0.5</v>
      </c>
      <c r="BR89" s="4"/>
      <c r="BS89" s="4">
        <f t="shared" ref="BS89:BS90" si="311">0.5*100</f>
        <v>50</v>
      </c>
      <c r="BT89" s="4">
        <v>340.0</v>
      </c>
      <c r="BU89" s="4">
        <f t="shared" si="298"/>
        <v>5</v>
      </c>
      <c r="BV89" s="4">
        <f t="shared" ref="BV89:BV93" si="312">0.5*2</f>
        <v>1</v>
      </c>
      <c r="BW89" s="4">
        <v>3570.0</v>
      </c>
      <c r="BX89" s="4">
        <f t="shared" si="300"/>
        <v>5</v>
      </c>
      <c r="BY89" s="4">
        <v>233.0</v>
      </c>
      <c r="BZ89" s="4">
        <v>17300.0</v>
      </c>
      <c r="CA89" s="4">
        <v>150.0</v>
      </c>
      <c r="CB89" s="4">
        <v>41.0</v>
      </c>
      <c r="CC89" s="4">
        <v>141.0</v>
      </c>
      <c r="CD89" s="4">
        <f t="shared" si="304"/>
        <v>0.5</v>
      </c>
      <c r="CE89" s="4"/>
      <c r="CF89" s="4">
        <v>33800.0</v>
      </c>
      <c r="CG89" s="4">
        <v>430.0</v>
      </c>
      <c r="CH89" s="4">
        <f t="shared" si="306"/>
        <v>5</v>
      </c>
      <c r="CI89" s="4"/>
      <c r="CJ89" s="4"/>
      <c r="CK89" s="4"/>
      <c r="CL89" s="4"/>
      <c r="CM89" s="4"/>
      <c r="CN89" s="4"/>
      <c r="CO89" s="4">
        <v>39503.92</v>
      </c>
      <c r="CP89" s="4">
        <v>317.65</v>
      </c>
      <c r="CQ89" s="4">
        <v>276.76</v>
      </c>
      <c r="CR89" s="4"/>
      <c r="CS89" s="4">
        <v>234.99</v>
      </c>
      <c r="CT89" s="4">
        <v>88.77</v>
      </c>
      <c r="CU89" s="4">
        <v>488.25</v>
      </c>
      <c r="CV89" s="4"/>
      <c r="CW89" s="4">
        <v>88250.65</v>
      </c>
      <c r="CX89" s="4">
        <v>3498.69</v>
      </c>
      <c r="CY89" s="4"/>
      <c r="CZ89" s="4"/>
      <c r="DA89" s="4"/>
    </row>
    <row r="90">
      <c r="A90" s="4" t="s">
        <v>195</v>
      </c>
      <c r="B90" s="4" t="s">
        <v>196</v>
      </c>
      <c r="C90" s="5" t="s">
        <v>513</v>
      </c>
      <c r="D90" s="5" t="s">
        <v>514</v>
      </c>
      <c r="E90" s="4" t="s">
        <v>494</v>
      </c>
      <c r="F90" s="4" t="s">
        <v>110</v>
      </c>
      <c r="G90" s="4" t="s">
        <v>111</v>
      </c>
      <c r="H90" s="4" t="s">
        <v>199</v>
      </c>
      <c r="J90" s="4" t="s">
        <v>515</v>
      </c>
      <c r="K90" s="4" t="s">
        <v>516</v>
      </c>
      <c r="L90" s="4">
        <v>-19.1371</v>
      </c>
      <c r="M90" s="4">
        <v>-65.5684</v>
      </c>
      <c r="N90" s="4"/>
      <c r="O90" s="4"/>
      <c r="P90" s="4">
        <v>2045.0</v>
      </c>
      <c r="Q90" s="4"/>
      <c r="R90" s="4">
        <v>8.52</v>
      </c>
      <c r="S90" s="4">
        <v>-92.89</v>
      </c>
      <c r="T90" s="4">
        <v>485.0</v>
      </c>
      <c r="U90" s="4">
        <v>0.5</v>
      </c>
      <c r="V90" s="4">
        <v>22.5</v>
      </c>
      <c r="W90" s="4">
        <v>6.02</v>
      </c>
      <c r="X90" s="4">
        <v>99.45</v>
      </c>
      <c r="Y90" s="4">
        <v>17.17</v>
      </c>
      <c r="Z90" s="4">
        <v>380.0</v>
      </c>
      <c r="AA90" s="4">
        <v>364.0</v>
      </c>
      <c r="AB90" s="4">
        <v>16.0</v>
      </c>
      <c r="AC90" s="4"/>
      <c r="AD90" s="4">
        <v>234.0</v>
      </c>
      <c r="AE90" s="4">
        <v>10.0</v>
      </c>
      <c r="AF90" s="4">
        <v>140.0</v>
      </c>
      <c r="AG90" s="4">
        <v>5.16</v>
      </c>
      <c r="AH90" s="4">
        <v>115.5</v>
      </c>
      <c r="AI90" s="4">
        <v>31.8</v>
      </c>
      <c r="AJ90" s="4">
        <v>33.3</v>
      </c>
      <c r="AK90" s="4">
        <v>7.61</v>
      </c>
      <c r="AL90" s="4">
        <v>3.7</v>
      </c>
      <c r="AM90" s="4">
        <v>35.22</v>
      </c>
      <c r="AN90" s="4">
        <v>62.88</v>
      </c>
      <c r="AO90" s="4">
        <v>14.6</v>
      </c>
      <c r="AP90" s="4">
        <v>8.15</v>
      </c>
      <c r="AQ90" s="4"/>
      <c r="AR90" s="4"/>
      <c r="AS90" s="4"/>
      <c r="AT90" s="4"/>
      <c r="AU90" s="4">
        <v>0.2</v>
      </c>
      <c r="AV90" s="4"/>
      <c r="AW90" s="4"/>
      <c r="AX90" s="4">
        <f t="shared" ref="AX90:AX91" si="314">0.5*5</f>
        <v>2.5</v>
      </c>
      <c r="AY90" s="4">
        <f t="shared" ref="AY90:AY91" si="315">0.5*2</f>
        <v>1</v>
      </c>
      <c r="AZ90" s="4"/>
      <c r="BA90" s="4"/>
      <c r="BB90" s="4"/>
      <c r="BC90" s="4"/>
      <c r="BD90" s="4"/>
      <c r="BE90" s="4">
        <f t="shared" si="30"/>
        <v>5</v>
      </c>
      <c r="BF90" s="4">
        <f t="shared" si="121"/>
        <v>5</v>
      </c>
      <c r="BG90" s="4"/>
      <c r="BH90" s="4"/>
      <c r="BI90" s="4">
        <f t="shared" si="289"/>
        <v>1</v>
      </c>
      <c r="BJ90" s="4">
        <v>170.0</v>
      </c>
      <c r="BK90" s="4">
        <f t="shared" si="290"/>
        <v>5</v>
      </c>
      <c r="BL90" s="4">
        <f t="shared" ref="BL90:BL93" si="316">0.5*2</f>
        <v>1</v>
      </c>
      <c r="BM90" s="4">
        <f t="shared" ref="BM90:BM93" si="317">0.5*20</f>
        <v>10</v>
      </c>
      <c r="BN90" s="4">
        <f t="shared" ref="BN90:BN92" si="318">0.5*10</f>
        <v>5</v>
      </c>
      <c r="BO90" s="4">
        <f t="shared" ref="BO90:BO93" si="319">0.5*0.2</f>
        <v>0.1</v>
      </c>
      <c r="BP90" s="4">
        <f t="shared" si="257"/>
        <v>0.5</v>
      </c>
      <c r="BQ90" s="4">
        <f t="shared" si="295"/>
        <v>0.5</v>
      </c>
      <c r="BR90" s="4"/>
      <c r="BS90" s="4">
        <f t="shared" si="311"/>
        <v>50</v>
      </c>
      <c r="BT90" s="4">
        <f>0.5*200</f>
        <v>100</v>
      </c>
      <c r="BU90" s="4">
        <f t="shared" si="298"/>
        <v>5</v>
      </c>
      <c r="BV90" s="4">
        <f t="shared" si="312"/>
        <v>1</v>
      </c>
      <c r="BW90" s="4">
        <v>200.0</v>
      </c>
      <c r="BX90" s="4">
        <f t="shared" si="300"/>
        <v>5</v>
      </c>
      <c r="BY90" s="4">
        <v>48.0</v>
      </c>
      <c r="BZ90" s="4">
        <f t="shared" ref="BZ90:BZ92" si="320">0.5*20</f>
        <v>10</v>
      </c>
      <c r="CA90" s="4">
        <v>103.0</v>
      </c>
      <c r="CB90" s="4">
        <f t="shared" ref="CB90:CB92" si="321">0.5*0.2</f>
        <v>0.1</v>
      </c>
      <c r="CC90" s="4">
        <f t="shared" ref="CC90:CD90" si="313">0.5*1</f>
        <v>0.5</v>
      </c>
      <c r="CD90" s="4">
        <f t="shared" si="313"/>
        <v>0.5</v>
      </c>
      <c r="CE90" s="4"/>
      <c r="CF90" s="4">
        <v>900.0</v>
      </c>
      <c r="CG90" s="4">
        <f>0.5*200</f>
        <v>100</v>
      </c>
      <c r="CH90" s="4">
        <f t="shared" si="306"/>
        <v>5</v>
      </c>
      <c r="CI90" s="4"/>
      <c r="CJ90" s="4"/>
      <c r="CK90" s="4"/>
      <c r="CL90" s="4"/>
      <c r="CM90" s="4"/>
      <c r="CN90" s="4"/>
      <c r="CO90" s="4"/>
      <c r="CP90" s="4"/>
      <c r="CQ90" s="4">
        <v>6437.5</v>
      </c>
      <c r="CR90" s="4"/>
      <c r="CS90" s="4"/>
      <c r="CT90" s="4"/>
      <c r="CU90" s="4">
        <v>3000.0</v>
      </c>
      <c r="CV90" s="4"/>
      <c r="CW90" s="4">
        <v>56250.0</v>
      </c>
      <c r="CX90" s="4">
        <v>1875.0</v>
      </c>
      <c r="CY90" s="4"/>
      <c r="CZ90" s="4"/>
      <c r="DA90" s="4"/>
    </row>
    <row r="91">
      <c r="A91" s="4" t="s">
        <v>202</v>
      </c>
      <c r="B91" s="4" t="s">
        <v>203</v>
      </c>
      <c r="C91" s="5" t="s">
        <v>513</v>
      </c>
      <c r="D91" s="5" t="s">
        <v>326</v>
      </c>
      <c r="E91" s="4" t="s">
        <v>494</v>
      </c>
      <c r="F91" s="4" t="s">
        <v>110</v>
      </c>
      <c r="G91" s="4" t="s">
        <v>111</v>
      </c>
      <c r="H91" s="4" t="s">
        <v>149</v>
      </c>
      <c r="J91" s="4" t="s">
        <v>517</v>
      </c>
      <c r="K91" s="4" t="s">
        <v>518</v>
      </c>
      <c r="L91" s="4">
        <v>-19.1322</v>
      </c>
      <c r="M91" s="4">
        <v>-65.5722</v>
      </c>
      <c r="N91" s="4"/>
      <c r="O91" s="4"/>
      <c r="P91" s="4">
        <v>912.0</v>
      </c>
      <c r="Q91" s="4">
        <v>175.3</v>
      </c>
      <c r="R91" s="4">
        <v>8.74</v>
      </c>
      <c r="S91" s="4">
        <v>-105.56</v>
      </c>
      <c r="T91" s="4">
        <v>1096.0</v>
      </c>
      <c r="U91" s="4">
        <v>0.5</v>
      </c>
      <c r="V91" s="4">
        <v>24.0</v>
      </c>
      <c r="W91" s="4">
        <v>7.18</v>
      </c>
      <c r="X91" s="4">
        <v>119.8</v>
      </c>
      <c r="Y91" s="4">
        <v>67.0</v>
      </c>
      <c r="Z91" s="4">
        <v>492.0</v>
      </c>
      <c r="AA91" s="4">
        <v>716.0</v>
      </c>
      <c r="AB91" s="4">
        <v>70.0</v>
      </c>
      <c r="AC91" s="4"/>
      <c r="AD91" s="4">
        <v>232.0</v>
      </c>
      <c r="AE91" s="4">
        <v>15.0</v>
      </c>
      <c r="AF91" s="4">
        <v>155.0</v>
      </c>
      <c r="AG91" s="4">
        <v>161.74</v>
      </c>
      <c r="AH91" s="4">
        <v>149.1</v>
      </c>
      <c r="AI91" s="4">
        <v>48.47</v>
      </c>
      <c r="AJ91" s="4">
        <v>26.6</v>
      </c>
      <c r="AK91" s="4">
        <v>137.86</v>
      </c>
      <c r="AL91" s="4">
        <v>9.57</v>
      </c>
      <c r="AM91" s="4">
        <v>49.97</v>
      </c>
      <c r="AN91" s="4">
        <v>66.7</v>
      </c>
      <c r="AO91" s="4">
        <v>349.95</v>
      </c>
      <c r="AP91" s="4">
        <v>31.28</v>
      </c>
      <c r="AQ91" s="4"/>
      <c r="AR91" s="4"/>
      <c r="AS91" s="4"/>
      <c r="AT91" s="4"/>
      <c r="AU91" s="4">
        <v>1.7</v>
      </c>
      <c r="AV91" s="4"/>
      <c r="AW91" s="4"/>
      <c r="AX91" s="4">
        <f t="shared" si="314"/>
        <v>2.5</v>
      </c>
      <c r="AY91" s="4">
        <f t="shared" si="315"/>
        <v>1</v>
      </c>
      <c r="AZ91" s="4"/>
      <c r="BA91" s="4"/>
      <c r="BB91" s="4"/>
      <c r="BC91" s="4"/>
      <c r="BD91" s="4"/>
      <c r="BE91" s="4">
        <f t="shared" si="30"/>
        <v>5</v>
      </c>
      <c r="BF91" s="4">
        <f t="shared" si="121"/>
        <v>5</v>
      </c>
      <c r="BG91" s="4"/>
      <c r="BH91" s="4"/>
      <c r="BI91" s="4">
        <f t="shared" si="289"/>
        <v>1</v>
      </c>
      <c r="BJ91" s="4">
        <v>380.0</v>
      </c>
      <c r="BK91" s="4">
        <f t="shared" si="290"/>
        <v>5</v>
      </c>
      <c r="BL91" s="4">
        <f t="shared" si="316"/>
        <v>1</v>
      </c>
      <c r="BM91" s="4">
        <f t="shared" si="317"/>
        <v>10</v>
      </c>
      <c r="BN91" s="4">
        <f t="shared" si="318"/>
        <v>5</v>
      </c>
      <c r="BO91" s="4">
        <f t="shared" si="319"/>
        <v>0.1</v>
      </c>
      <c r="BP91" s="4">
        <f t="shared" si="257"/>
        <v>0.5</v>
      </c>
      <c r="BQ91" s="4">
        <f t="shared" si="295"/>
        <v>0.5</v>
      </c>
      <c r="BR91" s="4"/>
      <c r="BS91" s="4">
        <v>1470.0</v>
      </c>
      <c r="BT91" s="4">
        <v>1800.0</v>
      </c>
      <c r="BU91" s="4">
        <f t="shared" si="298"/>
        <v>5</v>
      </c>
      <c r="BV91" s="4">
        <f t="shared" si="312"/>
        <v>1</v>
      </c>
      <c r="BW91" s="4">
        <v>470.0</v>
      </c>
      <c r="BX91" s="4">
        <f t="shared" si="300"/>
        <v>5</v>
      </c>
      <c r="BY91" s="4">
        <f t="shared" ref="BY91:BY92" si="323">0.5*2</f>
        <v>1</v>
      </c>
      <c r="BZ91" s="4">
        <f t="shared" si="320"/>
        <v>10</v>
      </c>
      <c r="CA91" s="4">
        <v>12.0</v>
      </c>
      <c r="CB91" s="4">
        <f t="shared" si="321"/>
        <v>0.1</v>
      </c>
      <c r="CC91" s="4">
        <f t="shared" ref="CC91:CD91" si="322">0.5*1</f>
        <v>0.5</v>
      </c>
      <c r="CD91" s="4">
        <f t="shared" si="322"/>
        <v>0.5</v>
      </c>
      <c r="CE91" s="4"/>
      <c r="CF91" s="4">
        <v>1480.0</v>
      </c>
      <c r="CG91" s="4">
        <v>2120.0</v>
      </c>
      <c r="CH91" s="4">
        <f t="shared" si="306"/>
        <v>5</v>
      </c>
      <c r="CI91" s="4"/>
      <c r="CJ91" s="4"/>
      <c r="CK91" s="4"/>
      <c r="CL91" s="4"/>
      <c r="CM91" s="4"/>
      <c r="CN91" s="4"/>
      <c r="CO91" s="4"/>
      <c r="CP91" s="4"/>
      <c r="CQ91" s="4">
        <v>171.43</v>
      </c>
      <c r="CR91" s="4"/>
      <c r="CS91" s="4">
        <v>4571.43</v>
      </c>
      <c r="CT91" s="4"/>
      <c r="CU91" s="4"/>
      <c r="CV91" s="4"/>
      <c r="CW91" s="4">
        <v>142.86</v>
      </c>
      <c r="CX91" s="4">
        <v>1285.71</v>
      </c>
      <c r="CY91" s="4"/>
      <c r="CZ91" s="4"/>
      <c r="DA91" s="4"/>
    </row>
    <row r="92">
      <c r="A92" s="4" t="s">
        <v>166</v>
      </c>
      <c r="B92" s="4" t="s">
        <v>167</v>
      </c>
      <c r="C92" s="5" t="s">
        <v>519</v>
      </c>
      <c r="D92" s="5" t="s">
        <v>520</v>
      </c>
      <c r="E92" s="4" t="s">
        <v>494</v>
      </c>
      <c r="F92" s="4" t="s">
        <v>110</v>
      </c>
      <c r="G92" s="4" t="s">
        <v>111</v>
      </c>
      <c r="H92" s="4" t="s">
        <v>149</v>
      </c>
      <c r="I92" s="4" t="s">
        <v>163</v>
      </c>
      <c r="J92" s="4" t="s">
        <v>521</v>
      </c>
      <c r="K92" s="4" t="s">
        <v>522</v>
      </c>
      <c r="L92" s="4">
        <v>-19.4074</v>
      </c>
      <c r="M92" s="4">
        <v>-64.8637</v>
      </c>
      <c r="N92" s="4">
        <v>0.366</v>
      </c>
      <c r="O92" s="4">
        <v>6.0</v>
      </c>
      <c r="P92" s="4">
        <v>1342.0</v>
      </c>
      <c r="Q92" s="4">
        <v>190.2</v>
      </c>
      <c r="R92" s="4">
        <v>8.84</v>
      </c>
      <c r="S92" s="4">
        <v>-114.0</v>
      </c>
      <c r="T92" s="4">
        <v>745.5</v>
      </c>
      <c r="U92" s="4">
        <v>0.6</v>
      </c>
      <c r="V92" s="4">
        <v>23.8</v>
      </c>
      <c r="W92" s="4">
        <v>7.81</v>
      </c>
      <c r="X92" s="4">
        <v>118.7</v>
      </c>
      <c r="Y92" s="4">
        <v>50.7</v>
      </c>
      <c r="Z92" s="4">
        <v>1511.0</v>
      </c>
      <c r="AA92" s="4">
        <v>1128.0</v>
      </c>
      <c r="AB92" s="4">
        <v>383.0</v>
      </c>
      <c r="AC92" s="4"/>
      <c r="AD92" s="4">
        <v>306.0</v>
      </c>
      <c r="AE92" s="4">
        <v>12.5</v>
      </c>
      <c r="AF92" s="4">
        <v>137.5</v>
      </c>
      <c r="AG92" s="4">
        <v>212.62</v>
      </c>
      <c r="AH92" s="4">
        <v>239.9</v>
      </c>
      <c r="AI92" s="4">
        <v>51.79</v>
      </c>
      <c r="AJ92" s="4">
        <v>44.4</v>
      </c>
      <c r="AK92" s="4">
        <v>182.0</v>
      </c>
      <c r="AL92" s="4">
        <v>14.17</v>
      </c>
      <c r="AM92" s="4">
        <v>58.86</v>
      </c>
      <c r="AN92" s="4">
        <v>73.2</v>
      </c>
      <c r="AO92" s="4">
        <v>292.2</v>
      </c>
      <c r="AP92" s="4">
        <v>14.17</v>
      </c>
      <c r="AQ92" s="4"/>
      <c r="AR92" s="4"/>
      <c r="AS92" s="4"/>
      <c r="AT92" s="4"/>
      <c r="AU92" s="4">
        <v>1.5</v>
      </c>
      <c r="AV92" s="4"/>
      <c r="AW92" s="4"/>
      <c r="AX92" s="4">
        <v>19.0</v>
      </c>
      <c r="AY92" s="4">
        <v>63.0</v>
      </c>
      <c r="AZ92" s="4"/>
      <c r="BA92" s="4"/>
      <c r="BB92" s="4"/>
      <c r="BC92" s="4"/>
      <c r="BD92" s="4"/>
      <c r="BE92" s="4">
        <f t="shared" si="30"/>
        <v>5</v>
      </c>
      <c r="BF92" s="4">
        <f t="shared" si="121"/>
        <v>5</v>
      </c>
      <c r="BG92" s="4"/>
      <c r="BH92" s="4"/>
      <c r="BI92" s="4">
        <f t="shared" si="289"/>
        <v>1</v>
      </c>
      <c r="BJ92" s="4">
        <v>60.0</v>
      </c>
      <c r="BK92" s="4">
        <f t="shared" si="290"/>
        <v>5</v>
      </c>
      <c r="BL92" s="4">
        <f t="shared" si="316"/>
        <v>1</v>
      </c>
      <c r="BM92" s="4">
        <f t="shared" si="317"/>
        <v>10</v>
      </c>
      <c r="BN92" s="4">
        <f t="shared" si="318"/>
        <v>5</v>
      </c>
      <c r="BO92" s="4">
        <f t="shared" si="319"/>
        <v>0.1</v>
      </c>
      <c r="BP92" s="4">
        <f t="shared" si="257"/>
        <v>0.5</v>
      </c>
      <c r="BQ92" s="4">
        <f t="shared" si="295"/>
        <v>0.5</v>
      </c>
      <c r="BR92" s="4"/>
      <c r="BS92" s="4">
        <f t="shared" ref="BS92:BS93" si="324">0.5*100</f>
        <v>50</v>
      </c>
      <c r="BT92" s="4">
        <v>900.0</v>
      </c>
      <c r="BU92" s="4">
        <f t="shared" si="298"/>
        <v>5</v>
      </c>
      <c r="BV92" s="4">
        <f t="shared" si="312"/>
        <v>1</v>
      </c>
      <c r="BW92" s="4">
        <v>120.0</v>
      </c>
      <c r="BX92" s="4">
        <f t="shared" si="300"/>
        <v>5</v>
      </c>
      <c r="BY92" s="4">
        <f t="shared" si="323"/>
        <v>1</v>
      </c>
      <c r="BZ92" s="4">
        <f t="shared" si="320"/>
        <v>10</v>
      </c>
      <c r="CA92" s="4">
        <v>12.0</v>
      </c>
      <c r="CB92" s="4">
        <f t="shared" si="321"/>
        <v>0.1</v>
      </c>
      <c r="CC92" s="4">
        <v>2.0</v>
      </c>
      <c r="CD92" s="4">
        <f t="shared" ref="CD92:CD93" si="325">0.5*1</f>
        <v>0.5</v>
      </c>
      <c r="CE92" s="4"/>
      <c r="CF92" s="4">
        <v>1090.0</v>
      </c>
      <c r="CG92" s="4">
        <v>1120.0</v>
      </c>
      <c r="CH92" s="4">
        <f t="shared" si="306"/>
        <v>5</v>
      </c>
      <c r="CI92" s="4"/>
      <c r="CJ92" s="4"/>
      <c r="CK92" s="4"/>
      <c r="CL92" s="4"/>
      <c r="CM92" s="4"/>
      <c r="CN92" s="4"/>
      <c r="CO92" s="4"/>
      <c r="CP92" s="4"/>
      <c r="CQ92" s="4">
        <v>31.33</v>
      </c>
      <c r="CR92" s="4"/>
      <c r="CS92" s="4">
        <v>574.41</v>
      </c>
      <c r="CT92" s="4"/>
      <c r="CU92" s="4"/>
      <c r="CV92" s="4"/>
      <c r="CW92" s="4">
        <v>2845.95</v>
      </c>
      <c r="CX92" s="4">
        <v>156.66</v>
      </c>
      <c r="CY92" s="4"/>
      <c r="CZ92" s="4"/>
      <c r="DA92" s="4"/>
    </row>
    <row r="93">
      <c r="A93" s="4" t="s">
        <v>172</v>
      </c>
      <c r="B93" s="4" t="s">
        <v>173</v>
      </c>
      <c r="C93" s="5" t="s">
        <v>523</v>
      </c>
      <c r="D93" s="5" t="s">
        <v>524</v>
      </c>
      <c r="E93" s="4" t="s">
        <v>494</v>
      </c>
      <c r="F93" s="4" t="s">
        <v>110</v>
      </c>
      <c r="G93" s="4" t="s">
        <v>111</v>
      </c>
      <c r="H93" s="4" t="s">
        <v>149</v>
      </c>
      <c r="I93" s="4" t="s">
        <v>150</v>
      </c>
      <c r="J93" s="4" t="s">
        <v>525</v>
      </c>
      <c r="K93" s="4" t="s">
        <v>526</v>
      </c>
      <c r="L93" s="4">
        <v>-19.131</v>
      </c>
      <c r="M93" s="4">
        <v>-65.4508</v>
      </c>
      <c r="N93" s="4">
        <v>0.946</v>
      </c>
      <c r="O93" s="4">
        <v>7.0</v>
      </c>
      <c r="P93" s="4">
        <v>754.0</v>
      </c>
      <c r="Q93" s="4">
        <v>176.1</v>
      </c>
      <c r="R93" s="4">
        <v>8.76</v>
      </c>
      <c r="S93" s="4">
        <v>-110.0</v>
      </c>
      <c r="T93" s="4">
        <v>1328.0</v>
      </c>
      <c r="U93" s="4">
        <v>0.3</v>
      </c>
      <c r="V93" s="4">
        <v>24.2</v>
      </c>
      <c r="W93" s="4">
        <v>7.17</v>
      </c>
      <c r="X93" s="4">
        <v>116.9</v>
      </c>
      <c r="Y93" s="4">
        <v>118.0</v>
      </c>
      <c r="Z93" s="4">
        <v>380.0</v>
      </c>
      <c r="AA93" s="4">
        <v>364.0</v>
      </c>
      <c r="AB93" s="4">
        <v>16.0</v>
      </c>
      <c r="AC93" s="4"/>
      <c r="AD93" s="4">
        <v>302.0</v>
      </c>
      <c r="AE93" s="4">
        <v>12.5</v>
      </c>
      <c r="AF93" s="4">
        <v>165.0</v>
      </c>
      <c r="AG93" s="4">
        <v>227.05</v>
      </c>
      <c r="AH93" s="4">
        <v>191.0</v>
      </c>
      <c r="AI93" s="4">
        <v>65.4</v>
      </c>
      <c r="AJ93" s="4">
        <v>32.9</v>
      </c>
      <c r="AK93" s="4">
        <v>175.54</v>
      </c>
      <c r="AL93" s="4">
        <v>8.58</v>
      </c>
      <c r="AM93" s="4">
        <v>69.24</v>
      </c>
      <c r="AN93" s="4">
        <v>87.4</v>
      </c>
      <c r="AO93" s="4">
        <v>499.62</v>
      </c>
      <c r="AP93" s="4">
        <v>32.11</v>
      </c>
      <c r="AQ93" s="4"/>
      <c r="AR93" s="4"/>
      <c r="AS93" s="4"/>
      <c r="AT93" s="4"/>
      <c r="AU93" s="4">
        <v>1.2</v>
      </c>
      <c r="AV93" s="4"/>
      <c r="AW93" s="4"/>
      <c r="AX93" s="4">
        <f>0.5*5</f>
        <v>2.5</v>
      </c>
      <c r="AY93" s="4">
        <f>0.5*2</f>
        <v>1</v>
      </c>
      <c r="AZ93" s="4"/>
      <c r="BA93" s="4"/>
      <c r="BB93" s="4"/>
      <c r="BC93" s="4"/>
      <c r="BD93" s="4"/>
      <c r="BE93" s="4">
        <f t="shared" si="30"/>
        <v>5</v>
      </c>
      <c r="BF93" s="4">
        <f t="shared" si="121"/>
        <v>5</v>
      </c>
      <c r="BG93" s="4"/>
      <c r="BH93" s="4"/>
      <c r="BI93" s="4">
        <f t="shared" si="289"/>
        <v>1</v>
      </c>
      <c r="BJ93" s="4">
        <v>350.0</v>
      </c>
      <c r="BK93" s="4">
        <f t="shared" si="290"/>
        <v>5</v>
      </c>
      <c r="BL93" s="4">
        <f t="shared" si="316"/>
        <v>1</v>
      </c>
      <c r="BM93" s="4">
        <f t="shared" si="317"/>
        <v>10</v>
      </c>
      <c r="BN93" s="4">
        <v>12.0</v>
      </c>
      <c r="BO93" s="4">
        <f t="shared" si="319"/>
        <v>0.1</v>
      </c>
      <c r="BP93" s="4">
        <f t="shared" si="257"/>
        <v>0.5</v>
      </c>
      <c r="BQ93" s="4">
        <f t="shared" si="295"/>
        <v>0.5</v>
      </c>
      <c r="BR93" s="4"/>
      <c r="BS93" s="4">
        <f t="shared" si="324"/>
        <v>50</v>
      </c>
      <c r="BT93" s="4">
        <v>1500.0</v>
      </c>
      <c r="BU93" s="4">
        <f t="shared" si="298"/>
        <v>5</v>
      </c>
      <c r="BV93" s="4">
        <f t="shared" si="312"/>
        <v>1</v>
      </c>
      <c r="BW93" s="4">
        <v>510.0</v>
      </c>
      <c r="BX93" s="4">
        <f t="shared" si="300"/>
        <v>5</v>
      </c>
      <c r="BY93" s="4">
        <v>2.0</v>
      </c>
      <c r="BZ93" s="4">
        <v>160.0</v>
      </c>
      <c r="CA93" s="4">
        <v>19.0</v>
      </c>
      <c r="CB93" s="4">
        <v>0.2</v>
      </c>
      <c r="CC93" s="4">
        <v>3.0</v>
      </c>
      <c r="CD93" s="4">
        <f t="shared" si="325"/>
        <v>0.5</v>
      </c>
      <c r="CE93" s="4"/>
      <c r="CF93" s="4">
        <v>3400.0</v>
      </c>
      <c r="CG93" s="4">
        <v>1900.0</v>
      </c>
      <c r="CH93" s="4">
        <f t="shared" si="306"/>
        <v>5</v>
      </c>
      <c r="CI93" s="4"/>
      <c r="CJ93" s="4"/>
      <c r="CK93" s="4"/>
      <c r="CL93" s="4"/>
      <c r="CM93" s="4"/>
      <c r="CN93" s="4"/>
      <c r="CO93" s="4">
        <v>10000.0</v>
      </c>
      <c r="CP93" s="4"/>
      <c r="CQ93" s="4">
        <v>437.5</v>
      </c>
      <c r="CR93" s="4"/>
      <c r="CS93" s="4">
        <v>25000.0</v>
      </c>
      <c r="CT93" s="4">
        <v>12.5</v>
      </c>
      <c r="CU93" s="4">
        <v>125.0</v>
      </c>
      <c r="CV93" s="4"/>
      <c r="CW93" s="4">
        <v>212500.0</v>
      </c>
      <c r="CX93" s="4">
        <v>10000.0</v>
      </c>
      <c r="CY93" s="4"/>
      <c r="CZ93" s="4"/>
      <c r="DA93" s="4"/>
    </row>
    <row r="94">
      <c r="C94" s="7"/>
      <c r="D94" s="7"/>
    </row>
    <row r="95">
      <c r="C95" s="7"/>
      <c r="D95" s="7"/>
    </row>
  </sheetData>
  <drawing r:id="rId1"/>
</worksheet>
</file>