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water\clean\"/>
    </mc:Choice>
  </mc:AlternateContent>
  <xr:revisionPtr revIDLastSave="0" documentId="13_ncr:1_{F88AE865-889B-41AE-9529-C1997DE3FB22}" xr6:coauthVersionLast="47" xr6:coauthVersionMax="47" xr10:uidLastSave="{00000000-0000-0000-0000-000000000000}"/>
  <bookViews>
    <workbookView xWindow="-90" yWindow="0" windowWidth="11460" windowHeight="14410" xr2:uid="{00000000-000D-0000-FFFF-FFFF00000000}"/>
  </bookViews>
  <sheets>
    <sheet name="water_2016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03" i="1" l="1"/>
  <c r="CH103" i="1"/>
  <c r="BU103" i="1"/>
  <c r="BP103" i="1"/>
  <c r="BM103" i="1"/>
  <c r="BL103" i="1"/>
  <c r="BK103" i="1"/>
  <c r="BJ103" i="1"/>
  <c r="BG103" i="1"/>
  <c r="Y103" i="1"/>
  <c r="CJ102" i="1"/>
  <c r="CH102" i="1"/>
  <c r="BU102" i="1"/>
  <c r="BQ102" i="1"/>
  <c r="BP102" i="1"/>
  <c r="BO102" i="1"/>
  <c r="BL102" i="1"/>
  <c r="BK102" i="1"/>
  <c r="BG102" i="1"/>
  <c r="BE102" i="1"/>
  <c r="AW102" i="1"/>
  <c r="Y102" i="1"/>
  <c r="CH101" i="1"/>
  <c r="BU101" i="1"/>
  <c r="BH101" i="1"/>
  <c r="AF101" i="1"/>
  <c r="AE101" i="1"/>
  <c r="CH100" i="1"/>
  <c r="BV100" i="1"/>
  <c r="BU100" i="1"/>
  <c r="BI100" i="1"/>
  <c r="BH100" i="1"/>
  <c r="BG100" i="1"/>
  <c r="BF100" i="1"/>
  <c r="BE100" i="1"/>
  <c r="AX100" i="1"/>
  <c r="AW100" i="1"/>
  <c r="AF100" i="1"/>
  <c r="AE100" i="1"/>
  <c r="CH99" i="1"/>
  <c r="BQ99" i="1"/>
  <c r="BP99" i="1"/>
  <c r="BI99" i="1"/>
  <c r="BH99" i="1"/>
  <c r="BE99" i="1"/>
  <c r="AE99" i="1"/>
  <c r="CH98" i="1"/>
  <c r="BU98" i="1"/>
  <c r="BQ98" i="1"/>
  <c r="BO98" i="1"/>
  <c r="BK98" i="1"/>
  <c r="BG98" i="1"/>
  <c r="BE98" i="1"/>
  <c r="AW98" i="1"/>
  <c r="AE98" i="1"/>
  <c r="Y98" i="1"/>
  <c r="CH97" i="1"/>
  <c r="CD97" i="1"/>
  <c r="CB97" i="1"/>
  <c r="BU97" i="1"/>
  <c r="BQ97" i="1"/>
  <c r="BP97" i="1"/>
  <c r="BO97" i="1"/>
  <c r="BM97" i="1"/>
  <c r="BL97" i="1"/>
  <c r="BK97" i="1"/>
  <c r="BI97" i="1"/>
  <c r="BG97" i="1"/>
  <c r="BE97" i="1"/>
  <c r="AW97" i="1"/>
  <c r="AE97" i="1"/>
  <c r="Y97" i="1"/>
  <c r="CH96" i="1"/>
  <c r="CD96" i="1"/>
  <c r="CB96" i="1"/>
  <c r="BU96" i="1"/>
  <c r="BQ96" i="1"/>
  <c r="BP96" i="1"/>
  <c r="BO96" i="1"/>
  <c r="BM96" i="1"/>
  <c r="BL96" i="1"/>
  <c r="BI96" i="1"/>
  <c r="BH96" i="1"/>
  <c r="BG96" i="1"/>
  <c r="BE96" i="1"/>
  <c r="AE96" i="1"/>
  <c r="CH95" i="1"/>
  <c r="CD95" i="1"/>
  <c r="CB95" i="1"/>
  <c r="BU95" i="1"/>
  <c r="BQ95" i="1"/>
  <c r="BP95" i="1"/>
  <c r="BO95" i="1"/>
  <c r="BM95" i="1"/>
  <c r="BL95" i="1"/>
  <c r="BI95" i="1"/>
  <c r="BH95" i="1"/>
  <c r="BG95" i="1"/>
  <c r="BF95" i="1"/>
  <c r="BE95" i="1"/>
  <c r="CJ94" i="1"/>
  <c r="CH94" i="1"/>
  <c r="CE94" i="1"/>
  <c r="CD94" i="1"/>
  <c r="CA94" i="1"/>
  <c r="BV94" i="1"/>
  <c r="BU94" i="1"/>
  <c r="BR94" i="1"/>
  <c r="BQ94" i="1"/>
  <c r="BP94" i="1"/>
  <c r="BN94" i="1"/>
  <c r="BI94" i="1"/>
  <c r="BH94" i="1"/>
  <c r="BG94" i="1"/>
  <c r="BF94" i="1"/>
  <c r="BE94" i="1"/>
  <c r="AX94" i="1"/>
  <c r="AW94" i="1"/>
  <c r="AF94" i="1"/>
  <c r="AE94" i="1"/>
  <c r="CH93" i="1"/>
  <c r="BV93" i="1"/>
  <c r="BU93" i="1"/>
  <c r="BR93" i="1"/>
  <c r="BQ93" i="1"/>
  <c r="BP93" i="1"/>
  <c r="BH93" i="1"/>
  <c r="BF93" i="1"/>
  <c r="BE93" i="1"/>
  <c r="AE93" i="1"/>
  <c r="CJ92" i="1"/>
  <c r="CH92" i="1"/>
  <c r="CE92" i="1"/>
  <c r="CD92" i="1"/>
  <c r="BV92" i="1"/>
  <c r="BU92" i="1"/>
  <c r="BR92" i="1"/>
  <c r="BQ92" i="1"/>
  <c r="BP92" i="1"/>
  <c r="BH92" i="1"/>
  <c r="BG92" i="1"/>
  <c r="BF92" i="1"/>
  <c r="BE92" i="1"/>
  <c r="AE92" i="1"/>
  <c r="CJ91" i="1"/>
  <c r="CH91" i="1"/>
  <c r="CE91" i="1"/>
  <c r="CD91" i="1"/>
  <c r="CC91" i="1"/>
  <c r="CB91" i="1"/>
  <c r="CA91" i="1"/>
  <c r="BV91" i="1"/>
  <c r="BU91" i="1"/>
  <c r="BR91" i="1"/>
  <c r="BQ91" i="1"/>
  <c r="BP91" i="1"/>
  <c r="BO91" i="1"/>
  <c r="BN91" i="1"/>
  <c r="BH91" i="1"/>
  <c r="BG91" i="1"/>
  <c r="BF91" i="1"/>
  <c r="BE91" i="1"/>
  <c r="AW91" i="1"/>
  <c r="CJ90" i="1"/>
  <c r="CH90" i="1"/>
  <c r="CE90" i="1"/>
  <c r="CD90" i="1"/>
  <c r="CB90" i="1"/>
  <c r="CA90" i="1"/>
  <c r="BU90" i="1"/>
  <c r="BR90" i="1"/>
  <c r="BQ90" i="1"/>
  <c r="BP90" i="1"/>
  <c r="BO90" i="1"/>
  <c r="BI90" i="1"/>
  <c r="BH90" i="1"/>
  <c r="BG90" i="1"/>
  <c r="BF90" i="1"/>
  <c r="BE90" i="1"/>
  <c r="AX90" i="1"/>
  <c r="AW90" i="1"/>
  <c r="CH89" i="1"/>
  <c r="CE89" i="1"/>
  <c r="CD89" i="1"/>
  <c r="CB89" i="1"/>
  <c r="CA89" i="1"/>
  <c r="BV89" i="1"/>
  <c r="BU89" i="1"/>
  <c r="BR89" i="1"/>
  <c r="BQ89" i="1"/>
  <c r="BP89" i="1"/>
  <c r="BO89" i="1"/>
  <c r="BI89" i="1"/>
  <c r="BH89" i="1"/>
  <c r="BG89" i="1"/>
  <c r="BF89" i="1"/>
  <c r="BE89" i="1"/>
  <c r="AX89" i="1"/>
  <c r="AW89" i="1"/>
  <c r="CJ88" i="1"/>
  <c r="CH88" i="1"/>
  <c r="CE88" i="1"/>
  <c r="CD88" i="1"/>
  <c r="CC88" i="1"/>
  <c r="CB88" i="1"/>
  <c r="CA88" i="1"/>
  <c r="BV88" i="1"/>
  <c r="BU88" i="1"/>
  <c r="BR88" i="1"/>
  <c r="BQ88" i="1"/>
  <c r="BP88" i="1"/>
  <c r="BO88" i="1"/>
  <c r="BH88" i="1"/>
  <c r="BG88" i="1"/>
  <c r="BF88" i="1"/>
  <c r="BE88" i="1"/>
  <c r="AW88" i="1"/>
  <c r="CH87" i="1"/>
  <c r="CD87" i="1"/>
  <c r="CB87" i="1"/>
  <c r="CA87" i="1"/>
  <c r="BU87" i="1"/>
  <c r="BR87" i="1"/>
  <c r="BQ87" i="1"/>
  <c r="BP87" i="1"/>
  <c r="BO87" i="1"/>
  <c r="BH87" i="1"/>
  <c r="BG87" i="1"/>
  <c r="BF87" i="1"/>
  <c r="BE87" i="1"/>
  <c r="AW87" i="1"/>
  <c r="AT87" i="1"/>
  <c r="AS87" i="1"/>
  <c r="AC87" i="1"/>
  <c r="CL86" i="1"/>
  <c r="CK86" i="1"/>
  <c r="CI86" i="1"/>
  <c r="CH86" i="1"/>
  <c r="CE86" i="1"/>
  <c r="CD86" i="1"/>
  <c r="CB86" i="1"/>
  <c r="BY86" i="1"/>
  <c r="BX86" i="1"/>
  <c r="BU86" i="1"/>
  <c r="BR86" i="1"/>
  <c r="BQ86" i="1"/>
  <c r="BP86" i="1"/>
  <c r="BO86" i="1"/>
  <c r="BH86" i="1"/>
  <c r="BG86" i="1"/>
  <c r="BF86" i="1"/>
  <c r="BE86" i="1"/>
  <c r="AX86" i="1"/>
  <c r="AW86" i="1"/>
  <c r="CL85" i="1"/>
  <c r="CK85" i="1"/>
  <c r="CJ85" i="1"/>
  <c r="CI85" i="1"/>
  <c r="CH85" i="1"/>
  <c r="CE85" i="1"/>
  <c r="CD85" i="1"/>
  <c r="CC85" i="1"/>
  <c r="CB85" i="1"/>
  <c r="CA85" i="1"/>
  <c r="BX85" i="1"/>
  <c r="BV85" i="1"/>
  <c r="BU85" i="1"/>
  <c r="BR85" i="1"/>
  <c r="BQ85" i="1"/>
  <c r="BP85" i="1"/>
  <c r="BN85" i="1"/>
  <c r="BH85" i="1"/>
  <c r="BG85" i="1"/>
  <c r="BF85" i="1"/>
  <c r="BE85" i="1"/>
  <c r="AX85" i="1"/>
  <c r="AW85" i="1"/>
  <c r="AU85" i="1"/>
  <c r="AT85" i="1"/>
  <c r="AF85" i="1"/>
  <c r="AE85" i="1"/>
  <c r="AC85" i="1"/>
  <c r="CK84" i="1"/>
  <c r="CI84" i="1"/>
  <c r="CH84" i="1"/>
  <c r="CE84" i="1"/>
  <c r="BX84" i="1"/>
  <c r="BU84" i="1"/>
  <c r="BR84" i="1"/>
  <c r="BQ84" i="1"/>
  <c r="BO84" i="1"/>
  <c r="BH84" i="1"/>
  <c r="BG84" i="1"/>
  <c r="BF84" i="1"/>
  <c r="BE84" i="1"/>
  <c r="AX84" i="1"/>
  <c r="AW84" i="1"/>
  <c r="CL83" i="1"/>
  <c r="CK83" i="1"/>
  <c r="CJ83" i="1"/>
  <c r="CI83" i="1"/>
  <c r="CH83" i="1"/>
  <c r="CE83" i="1"/>
  <c r="CD83" i="1"/>
  <c r="CC83" i="1"/>
  <c r="CB83" i="1"/>
  <c r="CA83" i="1"/>
  <c r="BZ83" i="1"/>
  <c r="BY83" i="1"/>
  <c r="BX83" i="1"/>
  <c r="BU83" i="1"/>
  <c r="BR83" i="1"/>
  <c r="BQ83" i="1"/>
  <c r="BP83" i="1"/>
  <c r="BO83" i="1"/>
  <c r="BN83" i="1"/>
  <c r="BM83" i="1"/>
  <c r="BL83" i="1"/>
  <c r="BH83" i="1"/>
  <c r="BG83" i="1"/>
  <c r="BF83" i="1"/>
  <c r="BE83" i="1"/>
  <c r="AX83" i="1"/>
  <c r="AW83" i="1"/>
  <c r="AT83" i="1"/>
  <c r="CI82" i="1"/>
  <c r="CH82" i="1"/>
  <c r="CE82" i="1"/>
  <c r="BX82" i="1"/>
  <c r="BU82" i="1"/>
  <c r="BR82" i="1"/>
  <c r="BQ82" i="1"/>
  <c r="BH82" i="1"/>
  <c r="BG82" i="1"/>
  <c r="BF82" i="1"/>
  <c r="BE82" i="1"/>
  <c r="AT82" i="1"/>
  <c r="AE82" i="1"/>
  <c r="CK81" i="1"/>
  <c r="CI81" i="1"/>
  <c r="CH81" i="1"/>
  <c r="CE81" i="1"/>
  <c r="BU81" i="1"/>
  <c r="BR81" i="1"/>
  <c r="BQ81" i="1"/>
  <c r="BH81" i="1"/>
  <c r="BG81" i="1"/>
  <c r="BE81" i="1"/>
  <c r="AT81" i="1"/>
  <c r="AE81" i="1"/>
  <c r="CL80" i="1"/>
  <c r="CK80" i="1"/>
  <c r="CJ80" i="1"/>
  <c r="CI80" i="1"/>
  <c r="CH80" i="1"/>
  <c r="CE80" i="1"/>
  <c r="CD80" i="1"/>
  <c r="CC80" i="1"/>
  <c r="CB80" i="1"/>
  <c r="CA80" i="1"/>
  <c r="BY80" i="1"/>
  <c r="BX80" i="1"/>
  <c r="BW80" i="1"/>
  <c r="BU80" i="1"/>
  <c r="BR80" i="1"/>
  <c r="BQ80" i="1"/>
  <c r="BP80" i="1"/>
  <c r="BL80" i="1"/>
  <c r="BK80" i="1"/>
  <c r="BI80" i="1"/>
  <c r="BH80" i="1"/>
  <c r="BG80" i="1"/>
  <c r="BF80" i="1"/>
  <c r="BE80" i="1"/>
  <c r="AX80" i="1"/>
  <c r="AW80" i="1"/>
  <c r="AT80" i="1"/>
  <c r="AE80" i="1"/>
  <c r="AB80" i="1"/>
  <c r="CL79" i="1"/>
  <c r="CK79" i="1"/>
  <c r="CI79" i="1"/>
  <c r="CH79" i="1"/>
  <c r="CE79" i="1"/>
  <c r="CD79" i="1"/>
  <c r="CB79" i="1"/>
  <c r="CA79" i="1"/>
  <c r="BY79" i="1"/>
  <c r="BU79" i="1"/>
  <c r="BR79" i="1"/>
  <c r="BQ79" i="1"/>
  <c r="BP79" i="1"/>
  <c r="BO79" i="1"/>
  <c r="BL79" i="1"/>
  <c r="BI79" i="1"/>
  <c r="BH79" i="1"/>
  <c r="BG79" i="1"/>
  <c r="BF79" i="1"/>
  <c r="BE79" i="1"/>
  <c r="AX79" i="1"/>
  <c r="AW79" i="1"/>
  <c r="AT79" i="1"/>
  <c r="CL78" i="1"/>
  <c r="CK78" i="1"/>
  <c r="CI78" i="1"/>
  <c r="CH78" i="1"/>
  <c r="CE78" i="1"/>
  <c r="CD78" i="1"/>
  <c r="CC78" i="1"/>
  <c r="CB78" i="1"/>
  <c r="CA78" i="1"/>
  <c r="BZ78" i="1"/>
  <c r="BY78" i="1"/>
  <c r="BX78" i="1"/>
  <c r="BU78" i="1"/>
  <c r="BR78" i="1"/>
  <c r="BQ78" i="1"/>
  <c r="BP78" i="1"/>
  <c r="BO78" i="1"/>
  <c r="BM78" i="1"/>
  <c r="BL78" i="1"/>
  <c r="BK78" i="1"/>
  <c r="BH78" i="1"/>
  <c r="BG78" i="1"/>
  <c r="BF78" i="1"/>
  <c r="BE78" i="1"/>
  <c r="AX78" i="1"/>
  <c r="AW78" i="1"/>
  <c r="AT78" i="1"/>
  <c r="CK77" i="1"/>
  <c r="CI77" i="1"/>
  <c r="CH77" i="1"/>
  <c r="CE77" i="1"/>
  <c r="CD77" i="1"/>
  <c r="CC77" i="1"/>
  <c r="CB77" i="1"/>
  <c r="CA77" i="1"/>
  <c r="BZ77" i="1"/>
  <c r="BY77" i="1"/>
  <c r="BX77" i="1"/>
  <c r="BU77" i="1"/>
  <c r="BR77" i="1"/>
  <c r="BQ77" i="1"/>
  <c r="BO77" i="1"/>
  <c r="BN77" i="1"/>
  <c r="BL77" i="1"/>
  <c r="BH77" i="1"/>
  <c r="BG77" i="1"/>
  <c r="BF77" i="1"/>
  <c r="BE77" i="1"/>
  <c r="AW77" i="1"/>
  <c r="AE77" i="1"/>
  <c r="CL76" i="1"/>
  <c r="CK76" i="1"/>
  <c r="CI76" i="1"/>
  <c r="CH76" i="1"/>
  <c r="CE76" i="1"/>
  <c r="CD76" i="1"/>
  <c r="CC76" i="1"/>
  <c r="CB76" i="1"/>
  <c r="CA76" i="1"/>
  <c r="BZ76" i="1"/>
  <c r="BY76" i="1"/>
  <c r="BX76" i="1"/>
  <c r="BV76" i="1"/>
  <c r="BU76" i="1"/>
  <c r="BR76" i="1"/>
  <c r="BQ76" i="1"/>
  <c r="BP76" i="1"/>
  <c r="BO76" i="1"/>
  <c r="BM76" i="1"/>
  <c r="BL76" i="1"/>
  <c r="BH76" i="1"/>
  <c r="BG76" i="1"/>
  <c r="BF76" i="1"/>
  <c r="BE76" i="1"/>
  <c r="AX76" i="1"/>
  <c r="AW76" i="1"/>
  <c r="AT76" i="1"/>
  <c r="CL75" i="1"/>
  <c r="CK75" i="1"/>
  <c r="CI75" i="1"/>
  <c r="CH75" i="1"/>
  <c r="CE75" i="1"/>
  <c r="CD75" i="1"/>
  <c r="CC75" i="1"/>
  <c r="CB75" i="1"/>
  <c r="CA75" i="1"/>
  <c r="BZ75" i="1"/>
  <c r="BY75" i="1"/>
  <c r="BV75" i="1"/>
  <c r="BU75" i="1"/>
  <c r="BR75" i="1"/>
  <c r="BQ75" i="1"/>
  <c r="BP75" i="1"/>
  <c r="BO75" i="1"/>
  <c r="BM75" i="1"/>
  <c r="BL75" i="1"/>
  <c r="BH75" i="1"/>
  <c r="BG75" i="1"/>
  <c r="BF75" i="1"/>
  <c r="BE75" i="1"/>
  <c r="CL74" i="1"/>
  <c r="CK74" i="1"/>
  <c r="CI74" i="1"/>
  <c r="CH74" i="1"/>
  <c r="CE74" i="1"/>
  <c r="CD74" i="1"/>
  <c r="CC74" i="1"/>
  <c r="CB74" i="1"/>
  <c r="CA74" i="1"/>
  <c r="BZ74" i="1"/>
  <c r="BY74" i="1"/>
  <c r="BX74" i="1"/>
  <c r="BV74" i="1"/>
  <c r="BU74" i="1"/>
  <c r="BR74" i="1"/>
  <c r="BQ74" i="1"/>
  <c r="BP74" i="1"/>
  <c r="BO74" i="1"/>
  <c r="BM74" i="1"/>
  <c r="BL74" i="1"/>
  <c r="BH74" i="1"/>
  <c r="BG74" i="1"/>
  <c r="BF74" i="1"/>
  <c r="BE74" i="1"/>
  <c r="AU74" i="1"/>
  <c r="AT74" i="1"/>
  <c r="CK73" i="1"/>
  <c r="CH73" i="1"/>
  <c r="CE73" i="1"/>
  <c r="CD73" i="1"/>
  <c r="CB73" i="1"/>
  <c r="CA73" i="1"/>
  <c r="BY73" i="1"/>
  <c r="BX73" i="1"/>
  <c r="BU73" i="1"/>
  <c r="BR73" i="1"/>
  <c r="BQ73" i="1"/>
  <c r="BO73" i="1"/>
  <c r="BH73" i="1"/>
  <c r="BG73" i="1"/>
  <c r="BF73" i="1"/>
  <c r="BE73" i="1"/>
  <c r="CL72" i="1"/>
  <c r="CK72" i="1"/>
  <c r="CI72" i="1"/>
  <c r="CH72" i="1"/>
  <c r="CE72" i="1"/>
  <c r="CD72" i="1"/>
  <c r="CC72" i="1"/>
  <c r="CB72" i="1"/>
  <c r="CA72" i="1"/>
  <c r="BZ72" i="1"/>
  <c r="BY72" i="1"/>
  <c r="BX72" i="1"/>
  <c r="BW72" i="1"/>
  <c r="BV72" i="1"/>
  <c r="BR72" i="1"/>
  <c r="BQ72" i="1"/>
  <c r="BP72" i="1"/>
  <c r="BO72" i="1"/>
  <c r="BL72" i="1"/>
  <c r="BK72" i="1"/>
  <c r="BH72" i="1"/>
  <c r="BF72" i="1"/>
  <c r="BE72" i="1"/>
  <c r="AT72" i="1"/>
  <c r="AB72" i="1"/>
  <c r="CE71" i="1"/>
  <c r="CD71" i="1"/>
  <c r="CB71" i="1"/>
  <c r="BR71" i="1"/>
  <c r="BQ71" i="1"/>
  <c r="BP71" i="1"/>
  <c r="BO71" i="1"/>
  <c r="BH71" i="1"/>
  <c r="BG71" i="1"/>
  <c r="BF71" i="1"/>
  <c r="BE71" i="1"/>
  <c r="AT71" i="1"/>
  <c r="CH70" i="1"/>
  <c r="CD70" i="1"/>
  <c r="CC70" i="1"/>
  <c r="CB70" i="1"/>
  <c r="CA70" i="1"/>
  <c r="BZ70" i="1"/>
  <c r="BY70" i="1"/>
  <c r="BX70" i="1"/>
  <c r="BR70" i="1"/>
  <c r="BQ70" i="1"/>
  <c r="BP70" i="1"/>
  <c r="BO70" i="1"/>
  <c r="BH70" i="1"/>
  <c r="BG70" i="1"/>
  <c r="BF70" i="1"/>
  <c r="BE70" i="1"/>
  <c r="BC70" i="1"/>
  <c r="AW70" i="1"/>
  <c r="AT70" i="1"/>
  <c r="AS70" i="1"/>
  <c r="CL69" i="1"/>
  <c r="CK69" i="1"/>
  <c r="CH69" i="1"/>
  <c r="CE69" i="1"/>
  <c r="CD69" i="1"/>
  <c r="CC69" i="1"/>
  <c r="CB69" i="1"/>
  <c r="CA69" i="1"/>
  <c r="BZ69" i="1"/>
  <c r="BY69" i="1"/>
  <c r="BX69" i="1"/>
  <c r="BV69" i="1"/>
  <c r="BU69" i="1"/>
  <c r="BR69" i="1"/>
  <c r="BQ69" i="1"/>
  <c r="BP69" i="1"/>
  <c r="BO69" i="1"/>
  <c r="BN69" i="1"/>
  <c r="BM69" i="1"/>
  <c r="BL69" i="1"/>
  <c r="BH69" i="1"/>
  <c r="BG69" i="1"/>
  <c r="BF69" i="1"/>
  <c r="BE69" i="1"/>
  <c r="BC69" i="1"/>
  <c r="AT69" i="1"/>
  <c r="AS69" i="1"/>
  <c r="CL68" i="1"/>
  <c r="CK68" i="1"/>
  <c r="CH68" i="1"/>
  <c r="CD68" i="1"/>
  <c r="CB68" i="1"/>
  <c r="BU68" i="1"/>
  <c r="BR68" i="1"/>
  <c r="BQ68" i="1"/>
  <c r="BP68" i="1"/>
  <c r="BO68" i="1"/>
  <c r="BM68" i="1"/>
  <c r="BJ68" i="1"/>
  <c r="BH68" i="1"/>
  <c r="BG68" i="1"/>
  <c r="BF68" i="1"/>
  <c r="BE68" i="1"/>
  <c r="AC68" i="1"/>
  <c r="CL67" i="1"/>
  <c r="CK67" i="1"/>
  <c r="CH67" i="1"/>
  <c r="CE67" i="1"/>
  <c r="CD67" i="1"/>
  <c r="CB67" i="1"/>
  <c r="BU67" i="1"/>
  <c r="BR67" i="1"/>
  <c r="BQ67" i="1"/>
  <c r="BP67" i="1"/>
  <c r="BO67" i="1"/>
  <c r="BM67" i="1"/>
  <c r="BH67" i="1"/>
  <c r="BG67" i="1"/>
  <c r="BF67" i="1"/>
  <c r="BE67" i="1"/>
  <c r="AX67" i="1"/>
  <c r="AS67" i="1"/>
  <c r="AR67" i="1"/>
  <c r="CL66" i="1"/>
  <c r="CK66" i="1"/>
  <c r="CH66" i="1"/>
  <c r="CD66" i="1"/>
  <c r="CB66" i="1"/>
  <c r="BU66" i="1"/>
  <c r="BR66" i="1"/>
  <c r="BQ66" i="1"/>
  <c r="BP66" i="1"/>
  <c r="BO66" i="1"/>
  <c r="BM66" i="1"/>
  <c r="BH66" i="1"/>
  <c r="BG66" i="1"/>
  <c r="BF66" i="1"/>
  <c r="BE66" i="1"/>
  <c r="AX66" i="1"/>
  <c r="Y66" i="1"/>
  <c r="CJ65" i="1"/>
  <c r="CI65" i="1"/>
  <c r="CH65" i="1"/>
  <c r="CD65" i="1"/>
  <c r="CB65" i="1"/>
  <c r="BU65" i="1"/>
  <c r="BR65" i="1"/>
  <c r="BQ65" i="1"/>
  <c r="BP65" i="1"/>
  <c r="BO65" i="1"/>
  <c r="BM65" i="1"/>
  <c r="BJ65" i="1"/>
  <c r="BH65" i="1"/>
  <c r="BG65" i="1"/>
  <c r="BE65" i="1"/>
  <c r="Y65" i="1"/>
  <c r="CJ64" i="1"/>
  <c r="CI64" i="1"/>
  <c r="CH64" i="1"/>
  <c r="CD64" i="1"/>
  <c r="CB64" i="1"/>
  <c r="BU64" i="1"/>
  <c r="BR64" i="1"/>
  <c r="BQ64" i="1"/>
  <c r="BP64" i="1"/>
  <c r="BO64" i="1"/>
  <c r="BN64" i="1"/>
  <c r="BL64" i="1"/>
  <c r="BK64" i="1"/>
  <c r="BI64" i="1"/>
  <c r="BH64" i="1"/>
  <c r="BG64" i="1"/>
  <c r="BF64" i="1"/>
  <c r="BE64" i="1"/>
  <c r="Y64" i="1"/>
  <c r="CJ63" i="1"/>
  <c r="CI63" i="1"/>
  <c r="CH63" i="1"/>
  <c r="CE63" i="1"/>
  <c r="CD63" i="1"/>
  <c r="CB63" i="1"/>
  <c r="CA63" i="1"/>
  <c r="BY63" i="1"/>
  <c r="BX63" i="1"/>
  <c r="BU63" i="1"/>
  <c r="BR63" i="1"/>
  <c r="BQ63" i="1"/>
  <c r="BP63" i="1"/>
  <c r="BO63" i="1"/>
  <c r="BM63" i="1"/>
  <c r="BL63" i="1"/>
  <c r="BJ63" i="1"/>
  <c r="BH63" i="1"/>
  <c r="BG63" i="1"/>
  <c r="BF63" i="1"/>
  <c r="CL62" i="1"/>
  <c r="CK62" i="1"/>
  <c r="CJ62" i="1"/>
  <c r="CH62" i="1"/>
  <c r="CE62" i="1"/>
  <c r="CD62" i="1"/>
  <c r="CC62" i="1"/>
  <c r="CB62" i="1"/>
  <c r="CA62" i="1"/>
  <c r="BY62" i="1"/>
  <c r="BX62" i="1"/>
  <c r="BV62" i="1"/>
  <c r="BU62" i="1"/>
  <c r="BR62" i="1"/>
  <c r="BQ62" i="1"/>
  <c r="BP62" i="1"/>
  <c r="BO62" i="1"/>
  <c r="BM62" i="1"/>
  <c r="BL62" i="1"/>
  <c r="BH62" i="1"/>
  <c r="BG62" i="1"/>
  <c r="BF62" i="1"/>
  <c r="BE62" i="1"/>
  <c r="CL61" i="1"/>
  <c r="CK61" i="1"/>
  <c r="CJ61" i="1"/>
  <c r="CH61" i="1"/>
  <c r="CE61" i="1"/>
  <c r="CD61" i="1"/>
  <c r="CB61" i="1"/>
  <c r="CA61" i="1"/>
  <c r="BY61" i="1"/>
  <c r="BX61" i="1"/>
  <c r="BU61" i="1"/>
  <c r="BR61" i="1"/>
  <c r="BQ61" i="1"/>
  <c r="BP61" i="1"/>
  <c r="BO61" i="1"/>
  <c r="BM61" i="1"/>
  <c r="BH61" i="1"/>
  <c r="BG61" i="1"/>
  <c r="BF61" i="1"/>
  <c r="BE61" i="1"/>
  <c r="AU61" i="1"/>
  <c r="CL60" i="1"/>
  <c r="CK60" i="1"/>
  <c r="CJ60" i="1"/>
  <c r="CH60" i="1"/>
  <c r="CE60" i="1"/>
  <c r="CD60" i="1"/>
  <c r="CC60" i="1"/>
  <c r="CB60" i="1"/>
  <c r="CA60" i="1"/>
  <c r="BZ60" i="1"/>
  <c r="BY60" i="1"/>
  <c r="BX60" i="1"/>
  <c r="BR60" i="1"/>
  <c r="BQ60" i="1"/>
  <c r="BP60" i="1"/>
  <c r="BO60" i="1"/>
  <c r="BH60" i="1"/>
  <c r="BG60" i="1"/>
  <c r="BF60" i="1"/>
  <c r="BE60" i="1"/>
  <c r="CL59" i="1"/>
  <c r="CK59" i="1"/>
  <c r="CJ59" i="1"/>
  <c r="CH59" i="1"/>
  <c r="CE59" i="1"/>
  <c r="CD59" i="1"/>
  <c r="CC59" i="1"/>
  <c r="CB59" i="1"/>
  <c r="CA59" i="1"/>
  <c r="BZ59" i="1"/>
  <c r="BY59" i="1"/>
  <c r="BX59" i="1"/>
  <c r="BV59" i="1"/>
  <c r="BU59" i="1"/>
  <c r="BR59" i="1"/>
  <c r="BQ59" i="1"/>
  <c r="BO59" i="1"/>
  <c r="BM59" i="1"/>
  <c r="BL59" i="1"/>
  <c r="BK59" i="1"/>
  <c r="BH59" i="1"/>
  <c r="BG59" i="1"/>
  <c r="BF59" i="1"/>
  <c r="BE59" i="1"/>
  <c r="CL58" i="1"/>
  <c r="CK58" i="1"/>
  <c r="CJ58" i="1"/>
  <c r="CH58" i="1"/>
  <c r="CE58" i="1"/>
  <c r="CD58" i="1"/>
  <c r="CC58" i="1"/>
  <c r="CB58" i="1"/>
  <c r="CA58" i="1"/>
  <c r="BZ58" i="1"/>
  <c r="BY58" i="1"/>
  <c r="BX58" i="1"/>
  <c r="BV58" i="1"/>
  <c r="BU58" i="1"/>
  <c r="BR58" i="1"/>
  <c r="BQ58" i="1"/>
  <c r="BO58" i="1"/>
  <c r="BM58" i="1"/>
  <c r="BL58" i="1"/>
  <c r="BK58" i="1"/>
  <c r="BH58" i="1"/>
  <c r="BG58" i="1"/>
  <c r="BF58" i="1"/>
  <c r="BE58" i="1"/>
  <c r="CL57" i="1"/>
  <c r="CJ57" i="1"/>
  <c r="CH57" i="1"/>
  <c r="CE57" i="1"/>
  <c r="CD57" i="1"/>
  <c r="CC57" i="1"/>
  <c r="CB57" i="1"/>
  <c r="CA57" i="1"/>
  <c r="BZ57" i="1"/>
  <c r="BY57" i="1"/>
  <c r="BX57" i="1"/>
  <c r="BV57" i="1"/>
  <c r="BU57" i="1"/>
  <c r="BR57" i="1"/>
  <c r="BQ57" i="1"/>
  <c r="BO57" i="1"/>
  <c r="BM57" i="1"/>
  <c r="BK57" i="1"/>
  <c r="BH57" i="1"/>
  <c r="BG57" i="1"/>
  <c r="BF57" i="1"/>
  <c r="BE57" i="1"/>
  <c r="CL56" i="1"/>
  <c r="CK56" i="1"/>
  <c r="CJ56" i="1"/>
  <c r="CE56" i="1"/>
  <c r="CD56" i="1"/>
  <c r="CC56" i="1"/>
  <c r="CB56" i="1"/>
  <c r="BZ56" i="1"/>
  <c r="BX56" i="1"/>
  <c r="BV56" i="1"/>
  <c r="BU56" i="1"/>
  <c r="BR56" i="1"/>
  <c r="BQ56" i="1"/>
  <c r="BO56" i="1"/>
  <c r="BK56" i="1"/>
  <c r="BH56" i="1"/>
  <c r="BG56" i="1"/>
  <c r="BF56" i="1"/>
  <c r="BE56" i="1"/>
  <c r="AU56" i="1"/>
  <c r="CD55" i="1"/>
  <c r="CC55" i="1"/>
  <c r="CB55" i="1"/>
  <c r="BZ55" i="1"/>
  <c r="BX55" i="1"/>
  <c r="BU55" i="1"/>
  <c r="BR55" i="1"/>
  <c r="BQ55" i="1"/>
  <c r="BP55" i="1"/>
  <c r="BO55" i="1"/>
  <c r="BN55" i="1"/>
  <c r="BK55" i="1"/>
  <c r="BJ55" i="1"/>
  <c r="BH55" i="1"/>
  <c r="BG55" i="1"/>
  <c r="BF55" i="1"/>
  <c r="BE55" i="1"/>
  <c r="AE55" i="1"/>
  <c r="CH54" i="1"/>
  <c r="CE54" i="1"/>
  <c r="BU54" i="1"/>
  <c r="BR54" i="1"/>
  <c r="BQ54" i="1"/>
  <c r="BP54" i="1"/>
  <c r="BO54" i="1"/>
  <c r="BH54" i="1"/>
  <c r="BG54" i="1"/>
  <c r="BE54" i="1"/>
  <c r="AX54" i="1"/>
  <c r="AW54" i="1"/>
  <c r="CH53" i="1"/>
  <c r="CD53" i="1"/>
  <c r="CB53" i="1"/>
  <c r="CA53" i="1"/>
  <c r="BY53" i="1"/>
  <c r="BX53" i="1"/>
  <c r="BU53" i="1"/>
  <c r="BR53" i="1"/>
  <c r="BQ53" i="1"/>
  <c r="BP53" i="1"/>
  <c r="BO53" i="1"/>
  <c r="BN53" i="1"/>
  <c r="BM53" i="1"/>
  <c r="BL53" i="1"/>
  <c r="BI53" i="1"/>
  <c r="BH53" i="1"/>
  <c r="BG53" i="1"/>
  <c r="BF53" i="1"/>
  <c r="BE53" i="1"/>
  <c r="AE53" i="1"/>
  <c r="CH52" i="1"/>
  <c r="CE52" i="1"/>
  <c r="BU52" i="1"/>
  <c r="BR52" i="1"/>
  <c r="BQ52" i="1"/>
  <c r="BP52" i="1"/>
  <c r="BI52" i="1"/>
  <c r="BH52" i="1"/>
  <c r="BG52" i="1"/>
  <c r="BE52" i="1"/>
  <c r="AW52" i="1"/>
  <c r="AF52" i="1"/>
  <c r="AE52" i="1"/>
  <c r="CH51" i="1"/>
  <c r="CD51" i="1"/>
  <c r="CC51" i="1"/>
  <c r="CA51" i="1"/>
  <c r="BU51" i="1"/>
  <c r="BR51" i="1"/>
  <c r="BQ51" i="1"/>
  <c r="BP51" i="1"/>
  <c r="BN51" i="1"/>
  <c r="BI51" i="1"/>
  <c r="BH51" i="1"/>
  <c r="BG51" i="1"/>
  <c r="BF51" i="1"/>
  <c r="BE51" i="1"/>
  <c r="AW51" i="1"/>
  <c r="AE51" i="1"/>
  <c r="Y51" i="1"/>
  <c r="CH50" i="1"/>
  <c r="CE50" i="1"/>
  <c r="BU50" i="1"/>
  <c r="BR50" i="1"/>
  <c r="BQ50" i="1"/>
  <c r="BP50" i="1"/>
  <c r="BO50" i="1"/>
  <c r="BM50" i="1"/>
  <c r="BL50" i="1"/>
  <c r="BI50" i="1"/>
  <c r="BH50" i="1"/>
  <c r="BG50" i="1"/>
  <c r="BE50" i="1"/>
  <c r="AE50" i="1"/>
  <c r="CH49" i="1"/>
  <c r="CD49" i="1"/>
  <c r="CB49" i="1"/>
  <c r="CA49" i="1"/>
  <c r="BY49" i="1"/>
  <c r="BX49" i="1"/>
  <c r="BU49" i="1"/>
  <c r="BR49" i="1"/>
  <c r="BQ49" i="1"/>
  <c r="BP49" i="1"/>
  <c r="BO49" i="1"/>
  <c r="BM49" i="1"/>
  <c r="BL49" i="1"/>
  <c r="BI49" i="1"/>
  <c r="BH49" i="1"/>
  <c r="BG49" i="1"/>
  <c r="BF49" i="1"/>
  <c r="BE49" i="1"/>
  <c r="AS49" i="1"/>
  <c r="Y49" i="1"/>
  <c r="CJ48" i="1"/>
  <c r="CH48" i="1"/>
  <c r="CD48" i="1"/>
  <c r="CB48" i="1"/>
  <c r="BU48" i="1"/>
  <c r="BR48" i="1"/>
  <c r="BQ48" i="1"/>
  <c r="BP48" i="1"/>
  <c r="BO48" i="1"/>
  <c r="BN48" i="1"/>
  <c r="BM48" i="1"/>
  <c r="BL48" i="1"/>
  <c r="BI48" i="1"/>
  <c r="BG48" i="1"/>
  <c r="BE48" i="1"/>
  <c r="AE48" i="1"/>
  <c r="Y48" i="1"/>
  <c r="CK46" i="1"/>
  <c r="CI46" i="1"/>
  <c r="CH46" i="1"/>
  <c r="CD46" i="1"/>
  <c r="BU46" i="1"/>
  <c r="BQ46" i="1"/>
  <c r="BN46" i="1"/>
  <c r="BH46" i="1"/>
  <c r="BG46" i="1"/>
  <c r="BF46" i="1"/>
  <c r="BE46" i="1"/>
  <c r="CK45" i="1"/>
  <c r="CI45" i="1"/>
  <c r="CH45" i="1"/>
  <c r="BU45" i="1"/>
  <c r="BQ45" i="1"/>
  <c r="BE45" i="1"/>
  <c r="Y45" i="1"/>
  <c r="CK44" i="1"/>
  <c r="CH44" i="1"/>
  <c r="BU44" i="1"/>
  <c r="BQ44" i="1"/>
  <c r="BO44" i="1"/>
  <c r="BE44" i="1"/>
  <c r="CK43" i="1"/>
  <c r="CH43" i="1"/>
  <c r="CD43" i="1"/>
  <c r="CB43" i="1"/>
  <c r="BU43" i="1"/>
  <c r="BQ43" i="1"/>
  <c r="BO43" i="1"/>
  <c r="BL43" i="1"/>
  <c r="BH43" i="1"/>
  <c r="BG43" i="1"/>
  <c r="BF43" i="1"/>
  <c r="BE43" i="1"/>
  <c r="AX43" i="1"/>
  <c r="AW43" i="1"/>
  <c r="CK42" i="1"/>
  <c r="CH42" i="1"/>
  <c r="CD42" i="1"/>
  <c r="CB42" i="1"/>
  <c r="BU42" i="1"/>
  <c r="BQ42" i="1"/>
  <c r="BO42" i="1"/>
  <c r="BL42" i="1"/>
  <c r="BH42" i="1"/>
  <c r="BG42" i="1"/>
  <c r="BF42" i="1"/>
  <c r="BE42" i="1"/>
  <c r="AW42" i="1"/>
  <c r="CH41" i="1"/>
  <c r="CD41" i="1"/>
  <c r="CB41" i="1"/>
  <c r="BU41" i="1"/>
  <c r="BQ41" i="1"/>
  <c r="BO41" i="1"/>
  <c r="BL41" i="1"/>
  <c r="BH41" i="1"/>
  <c r="BG41" i="1"/>
  <c r="BF41" i="1"/>
  <c r="BE41" i="1"/>
  <c r="AX41" i="1"/>
  <c r="AW41" i="1"/>
  <c r="CK40" i="1"/>
  <c r="CI40" i="1"/>
  <c r="CH40" i="1"/>
  <c r="CD40" i="1"/>
  <c r="CB40" i="1"/>
  <c r="BU40" i="1"/>
  <c r="BQ40" i="1"/>
  <c r="BO40" i="1"/>
  <c r="BL40" i="1"/>
  <c r="BK40" i="1"/>
  <c r="BH40" i="1"/>
  <c r="BG40" i="1"/>
  <c r="BF40" i="1"/>
  <c r="BE40" i="1"/>
  <c r="CH39" i="1"/>
  <c r="CD39" i="1"/>
  <c r="CB39" i="1"/>
  <c r="BU39" i="1"/>
  <c r="BQ39" i="1"/>
  <c r="BO39" i="1"/>
  <c r="BL39" i="1"/>
  <c r="BG39" i="1"/>
  <c r="BF39" i="1"/>
  <c r="BE39" i="1"/>
  <c r="AW39" i="1"/>
  <c r="CM38" i="1"/>
  <c r="CL38" i="1"/>
  <c r="CK38" i="1"/>
  <c r="CJ38" i="1"/>
  <c r="CH38" i="1"/>
  <c r="CD38" i="1"/>
  <c r="BX38" i="1"/>
  <c r="BV38" i="1"/>
  <c r="BU38" i="1"/>
  <c r="BQ38" i="1"/>
  <c r="BP38" i="1"/>
  <c r="BH38" i="1"/>
  <c r="BG38" i="1"/>
  <c r="BF38" i="1"/>
  <c r="BE38" i="1"/>
  <c r="AW38" i="1"/>
  <c r="CM37" i="1"/>
  <c r="CL37" i="1"/>
  <c r="CK37" i="1"/>
  <c r="CJ37" i="1"/>
  <c r="CH37" i="1"/>
  <c r="CD37" i="1"/>
  <c r="BX37" i="1"/>
  <c r="BV37" i="1"/>
  <c r="BU37" i="1"/>
  <c r="BQ37" i="1"/>
  <c r="BH37" i="1"/>
  <c r="BG37" i="1"/>
  <c r="BF37" i="1"/>
  <c r="BE37" i="1"/>
  <c r="AW37" i="1"/>
  <c r="AT37" i="1"/>
  <c r="AS37" i="1"/>
  <c r="AE37" i="1"/>
  <c r="CL36" i="1"/>
  <c r="CK36" i="1"/>
  <c r="CJ36" i="1"/>
  <c r="CH36" i="1"/>
  <c r="CD36" i="1"/>
  <c r="CC36" i="1"/>
  <c r="CB36" i="1"/>
  <c r="BY36" i="1"/>
  <c r="BX36" i="1"/>
  <c r="BV36" i="1"/>
  <c r="BU36" i="1"/>
  <c r="BQ36" i="1"/>
  <c r="BP36" i="1"/>
  <c r="BL36" i="1"/>
  <c r="BK36" i="1"/>
  <c r="BI36" i="1"/>
  <c r="BH36" i="1"/>
  <c r="BG36" i="1"/>
  <c r="BF36" i="1"/>
  <c r="BE36" i="1"/>
  <c r="AY36" i="1"/>
  <c r="AX36" i="1"/>
  <c r="AW36" i="1"/>
  <c r="AU36" i="1"/>
  <c r="AT36" i="1"/>
  <c r="AS36" i="1"/>
  <c r="AE36" i="1"/>
  <c r="AB36" i="1"/>
  <c r="CM35" i="1"/>
  <c r="CL35" i="1"/>
  <c r="CK35" i="1"/>
  <c r="CJ35" i="1"/>
  <c r="CH35" i="1"/>
  <c r="CD35" i="1"/>
  <c r="BX35" i="1"/>
  <c r="BU35" i="1"/>
  <c r="BQ35" i="1"/>
  <c r="BP35" i="1"/>
  <c r="BH35" i="1"/>
  <c r="BG35" i="1"/>
  <c r="BF35" i="1"/>
  <c r="BE35" i="1"/>
  <c r="AU35" i="1"/>
  <c r="AT35" i="1"/>
  <c r="CM34" i="1"/>
  <c r="CL34" i="1"/>
  <c r="CK34" i="1"/>
  <c r="CJ34" i="1"/>
  <c r="CH34" i="1"/>
  <c r="CD34" i="1"/>
  <c r="BX34" i="1"/>
  <c r="BU34" i="1"/>
  <c r="BQ34" i="1"/>
  <c r="BP34" i="1"/>
  <c r="BH34" i="1"/>
  <c r="BF34" i="1"/>
  <c r="BE34" i="1"/>
  <c r="CJ33" i="1"/>
  <c r="CH33" i="1"/>
  <c r="BX33" i="1"/>
  <c r="BU33" i="1"/>
  <c r="BQ33" i="1"/>
  <c r="BP33" i="1"/>
  <c r="BH33" i="1"/>
  <c r="BF33" i="1"/>
  <c r="BE33" i="1"/>
  <c r="AT33" i="1"/>
  <c r="AE33" i="1"/>
  <c r="CL32" i="1"/>
  <c r="CJ32" i="1"/>
  <c r="CH32" i="1"/>
  <c r="BX32" i="1"/>
  <c r="BU32" i="1"/>
  <c r="BQ32" i="1"/>
  <c r="BH32" i="1"/>
  <c r="BE32" i="1"/>
  <c r="AT32" i="1"/>
  <c r="AE32" i="1"/>
  <c r="CM31" i="1"/>
  <c r="CL31" i="1"/>
  <c r="CJ31" i="1"/>
  <c r="CH31" i="1"/>
  <c r="CD31" i="1"/>
  <c r="CB31" i="1"/>
  <c r="BX31" i="1"/>
  <c r="BV31" i="1"/>
  <c r="BU31" i="1"/>
  <c r="BQ31" i="1"/>
  <c r="BP31" i="1"/>
  <c r="BO31" i="1"/>
  <c r="BM31" i="1"/>
  <c r="BL31" i="1"/>
  <c r="BH31" i="1"/>
  <c r="BG31" i="1"/>
  <c r="BF31" i="1"/>
  <c r="BE31" i="1"/>
  <c r="AW31" i="1"/>
  <c r="AT31" i="1"/>
  <c r="CM30" i="1"/>
  <c r="CL30" i="1"/>
  <c r="CK30" i="1"/>
  <c r="CJ30" i="1"/>
  <c r="CH30" i="1"/>
  <c r="CD30" i="1"/>
  <c r="CB30" i="1"/>
  <c r="BY30" i="1"/>
  <c r="BU30" i="1"/>
  <c r="BQ30" i="1"/>
  <c r="BP30" i="1"/>
  <c r="BL30" i="1"/>
  <c r="BH30" i="1"/>
  <c r="BF30" i="1"/>
  <c r="BE30" i="1"/>
  <c r="AY30" i="1"/>
  <c r="AX30" i="1"/>
  <c r="AW30" i="1"/>
  <c r="AT30" i="1"/>
  <c r="CM29" i="1"/>
  <c r="CL29" i="1"/>
  <c r="CJ29" i="1"/>
  <c r="CH29" i="1"/>
  <c r="CD29" i="1"/>
  <c r="CB29" i="1"/>
  <c r="CA29" i="1"/>
  <c r="BY29" i="1"/>
  <c r="BX29" i="1"/>
  <c r="BV29" i="1"/>
  <c r="BU29" i="1"/>
  <c r="BQ29" i="1"/>
  <c r="BP29" i="1"/>
  <c r="BO29" i="1"/>
  <c r="BL29" i="1"/>
  <c r="BJ29" i="1"/>
  <c r="BH29" i="1"/>
  <c r="BG29" i="1"/>
  <c r="BF29" i="1"/>
  <c r="BE29" i="1"/>
  <c r="AT29" i="1"/>
  <c r="CM28" i="1"/>
  <c r="CL28" i="1"/>
  <c r="CJ28" i="1"/>
  <c r="CH28" i="1"/>
  <c r="CD28" i="1"/>
  <c r="CC28" i="1"/>
  <c r="CB28" i="1"/>
  <c r="BZ28" i="1"/>
  <c r="BY28" i="1"/>
  <c r="BX28" i="1"/>
  <c r="BV28" i="1"/>
  <c r="BU28" i="1"/>
  <c r="BQ28" i="1"/>
  <c r="BP28" i="1"/>
  <c r="BO28" i="1"/>
  <c r="BM28" i="1"/>
  <c r="BL28" i="1"/>
  <c r="BH28" i="1"/>
  <c r="BG28" i="1"/>
  <c r="BF28" i="1"/>
  <c r="BE28" i="1"/>
  <c r="CM27" i="1"/>
  <c r="CJ27" i="1"/>
  <c r="CH27" i="1"/>
  <c r="CD27" i="1"/>
  <c r="CB27" i="1"/>
  <c r="BX27" i="1"/>
  <c r="BQ27" i="1"/>
  <c r="BP27" i="1"/>
  <c r="BO27" i="1"/>
  <c r="BL27" i="1"/>
  <c r="BH27" i="1"/>
  <c r="BG27" i="1"/>
  <c r="BF27" i="1"/>
  <c r="BE27" i="1"/>
  <c r="AT27" i="1"/>
  <c r="CM26" i="1"/>
  <c r="CL26" i="1"/>
  <c r="CK26" i="1"/>
  <c r="CH26" i="1"/>
  <c r="CD26" i="1"/>
  <c r="CC26" i="1"/>
  <c r="CB26" i="1"/>
  <c r="BY26" i="1"/>
  <c r="BX26" i="1"/>
  <c r="BV26" i="1"/>
  <c r="BQ26" i="1"/>
  <c r="BP26" i="1"/>
  <c r="BH26" i="1"/>
  <c r="BF26" i="1"/>
  <c r="BE26" i="1"/>
  <c r="BC26" i="1"/>
  <c r="CM25" i="1"/>
  <c r="CL25" i="1"/>
  <c r="CH25" i="1"/>
  <c r="CD25" i="1"/>
  <c r="CB25" i="1"/>
  <c r="BY25" i="1"/>
  <c r="BX25" i="1"/>
  <c r="BU25" i="1"/>
  <c r="BQ25" i="1"/>
  <c r="BP25" i="1"/>
  <c r="BO25" i="1"/>
  <c r="BM25" i="1"/>
  <c r="BH25" i="1"/>
  <c r="BG25" i="1"/>
  <c r="BF25" i="1"/>
  <c r="BE25" i="1"/>
  <c r="AW25" i="1"/>
  <c r="AT25" i="1"/>
  <c r="AS25" i="1"/>
  <c r="CM24" i="1"/>
  <c r="CL24" i="1"/>
  <c r="CH24" i="1"/>
  <c r="CD24" i="1"/>
  <c r="CC24" i="1"/>
  <c r="CB24" i="1"/>
  <c r="CA24" i="1"/>
  <c r="BZ24" i="1"/>
  <c r="BY24" i="1"/>
  <c r="BX24" i="1"/>
  <c r="BV24" i="1"/>
  <c r="BU24" i="1"/>
  <c r="BQ24" i="1"/>
  <c r="BP24" i="1"/>
  <c r="BO24" i="1"/>
  <c r="BM24" i="1"/>
  <c r="BL24" i="1"/>
  <c r="BH24" i="1"/>
  <c r="BG24" i="1"/>
  <c r="BF24" i="1"/>
  <c r="BE24" i="1"/>
  <c r="BC24" i="1"/>
  <c r="AW24" i="1"/>
  <c r="AT24" i="1"/>
  <c r="AS24" i="1"/>
  <c r="CM23" i="1"/>
  <c r="CL23" i="1"/>
  <c r="CH23" i="1"/>
  <c r="CD23" i="1"/>
  <c r="CB23" i="1"/>
  <c r="BV23" i="1"/>
  <c r="BU23" i="1"/>
  <c r="BQ23" i="1"/>
  <c r="BP23" i="1"/>
  <c r="BO23" i="1"/>
  <c r="BM23" i="1"/>
  <c r="BJ23" i="1"/>
  <c r="BH23" i="1"/>
  <c r="BG23" i="1"/>
  <c r="BF23" i="1"/>
  <c r="BE23" i="1"/>
  <c r="AW23" i="1"/>
  <c r="AT23" i="1"/>
  <c r="CM22" i="1"/>
  <c r="CL22" i="1"/>
  <c r="CH22" i="1"/>
  <c r="CD22" i="1"/>
  <c r="CB22" i="1"/>
  <c r="BY22" i="1"/>
  <c r="BX22" i="1"/>
  <c r="BU22" i="1"/>
  <c r="BQ22" i="1"/>
  <c r="BP22" i="1"/>
  <c r="BO22" i="1"/>
  <c r="BM22" i="1"/>
  <c r="BH22" i="1"/>
  <c r="BG22" i="1"/>
  <c r="BF22" i="1"/>
  <c r="BE22" i="1"/>
  <c r="AS22" i="1"/>
  <c r="CM21" i="1"/>
  <c r="CL21" i="1"/>
  <c r="CH21" i="1"/>
  <c r="CD21" i="1"/>
  <c r="CB21" i="1"/>
  <c r="BY21" i="1"/>
  <c r="BX21" i="1"/>
  <c r="BU21" i="1"/>
  <c r="BQ21" i="1"/>
  <c r="BP21" i="1"/>
  <c r="BO21" i="1"/>
  <c r="BM21" i="1"/>
  <c r="BH21" i="1"/>
  <c r="BG21" i="1"/>
  <c r="BF21" i="1"/>
  <c r="BE21" i="1"/>
  <c r="AW21" i="1"/>
  <c r="AT21" i="1"/>
  <c r="CL20" i="1"/>
  <c r="CK20" i="1"/>
  <c r="CJ20" i="1"/>
  <c r="CH20" i="1"/>
  <c r="CD20" i="1"/>
  <c r="CC20" i="1"/>
  <c r="CB20" i="1"/>
  <c r="BZ20" i="1"/>
  <c r="BY20" i="1"/>
  <c r="BX20" i="1"/>
  <c r="BV20" i="1"/>
  <c r="BU20" i="1"/>
  <c r="BQ20" i="1"/>
  <c r="BP20" i="1"/>
  <c r="BO20" i="1"/>
  <c r="BL20" i="1"/>
  <c r="BH20" i="1"/>
  <c r="BG20" i="1"/>
  <c r="BF20" i="1"/>
  <c r="BE20" i="1"/>
  <c r="AT20" i="1"/>
  <c r="CL19" i="1"/>
  <c r="CK19" i="1"/>
  <c r="CJ19" i="1"/>
  <c r="CH19" i="1"/>
  <c r="CD19" i="1"/>
  <c r="CC19" i="1"/>
  <c r="CB19" i="1"/>
  <c r="BZ19" i="1"/>
  <c r="BY19" i="1"/>
  <c r="BX19" i="1"/>
  <c r="BV19" i="1"/>
  <c r="BU19" i="1"/>
  <c r="BQ19" i="1"/>
  <c r="BP19" i="1"/>
  <c r="BO19" i="1"/>
  <c r="BM19" i="1"/>
  <c r="BL19" i="1"/>
  <c r="BH19" i="1"/>
  <c r="BG19" i="1"/>
  <c r="BF19" i="1"/>
  <c r="BE19" i="1"/>
  <c r="AW19" i="1"/>
  <c r="AU19" i="1"/>
  <c r="AT19" i="1"/>
  <c r="CM18" i="1"/>
  <c r="CL18" i="1"/>
  <c r="CK18" i="1"/>
  <c r="CJ18" i="1"/>
  <c r="CH18" i="1"/>
  <c r="CD18" i="1"/>
  <c r="CC18" i="1"/>
  <c r="CB18" i="1"/>
  <c r="BY18" i="1"/>
  <c r="BX18" i="1"/>
  <c r="BV18" i="1"/>
  <c r="BU18" i="1"/>
  <c r="BQ18" i="1"/>
  <c r="BP18" i="1"/>
  <c r="BO18" i="1"/>
  <c r="BM18" i="1"/>
  <c r="BH18" i="1"/>
  <c r="BG18" i="1"/>
  <c r="BF18" i="1"/>
  <c r="BE18" i="1"/>
  <c r="CM17" i="1"/>
  <c r="CL17" i="1"/>
  <c r="CK17" i="1"/>
  <c r="CJ17" i="1"/>
  <c r="CH17" i="1"/>
  <c r="CD17" i="1"/>
  <c r="CC17" i="1"/>
  <c r="CB17" i="1"/>
  <c r="BZ17" i="1"/>
  <c r="BY17" i="1"/>
  <c r="BX17" i="1"/>
  <c r="BV17" i="1"/>
  <c r="BU17" i="1"/>
  <c r="BQ17" i="1"/>
  <c r="BP17" i="1"/>
  <c r="BO17" i="1"/>
  <c r="BM17" i="1"/>
  <c r="BL17" i="1"/>
  <c r="BH17" i="1"/>
  <c r="BG17" i="1"/>
  <c r="BF17" i="1"/>
  <c r="BE17" i="1"/>
  <c r="CM16" i="1"/>
  <c r="CK16" i="1"/>
  <c r="CJ16" i="1"/>
  <c r="CH16" i="1"/>
  <c r="CD16" i="1"/>
  <c r="CC16" i="1"/>
  <c r="CB16" i="1"/>
  <c r="BZ16" i="1"/>
  <c r="BY16" i="1"/>
  <c r="BX16" i="1"/>
  <c r="BV16" i="1"/>
  <c r="BU16" i="1"/>
  <c r="BQ16" i="1"/>
  <c r="BP16" i="1"/>
  <c r="BO16" i="1"/>
  <c r="BL16" i="1"/>
  <c r="BH16" i="1"/>
  <c r="BG16" i="1"/>
  <c r="BF16" i="1"/>
  <c r="BE16" i="1"/>
  <c r="AU16" i="1"/>
  <c r="AT16" i="1"/>
  <c r="AQ16" i="1"/>
  <c r="CL15" i="1"/>
  <c r="CK15" i="1"/>
  <c r="CD15" i="1"/>
  <c r="CB15" i="1"/>
  <c r="BX15" i="1"/>
  <c r="BQ15" i="1"/>
  <c r="BP15" i="1"/>
  <c r="BO15" i="1"/>
  <c r="BL15" i="1"/>
  <c r="BH15" i="1"/>
  <c r="BG15" i="1"/>
  <c r="BF15" i="1"/>
  <c r="BE15" i="1"/>
  <c r="AU15" i="1"/>
  <c r="AS15" i="1"/>
  <c r="CL14" i="1"/>
  <c r="CK14" i="1"/>
  <c r="CH14" i="1"/>
  <c r="CD14" i="1"/>
  <c r="CC14" i="1"/>
  <c r="CB14" i="1"/>
  <c r="BZ14" i="1"/>
  <c r="BY14" i="1"/>
  <c r="BX14" i="1"/>
  <c r="BV14" i="1"/>
  <c r="BQ14" i="1"/>
  <c r="BP14" i="1"/>
  <c r="BO14" i="1"/>
  <c r="BH14" i="1"/>
  <c r="BG14" i="1"/>
  <c r="BF14" i="1"/>
  <c r="BE14" i="1"/>
  <c r="AU14" i="1"/>
  <c r="CM13" i="1"/>
  <c r="CL13" i="1"/>
  <c r="CK13" i="1"/>
  <c r="CH13" i="1"/>
  <c r="CD13" i="1"/>
  <c r="CC13" i="1"/>
  <c r="CB13" i="1"/>
  <c r="BZ13" i="1"/>
  <c r="BY13" i="1"/>
  <c r="BX13" i="1"/>
  <c r="BV13" i="1"/>
  <c r="BU13" i="1"/>
  <c r="BQ13" i="1"/>
  <c r="BP13" i="1"/>
  <c r="BO13" i="1"/>
  <c r="BL13" i="1"/>
  <c r="BJ13" i="1"/>
  <c r="BH13" i="1"/>
  <c r="BG13" i="1"/>
  <c r="BF13" i="1"/>
  <c r="BE13" i="1"/>
  <c r="AU13" i="1"/>
  <c r="CM12" i="1"/>
  <c r="CL12" i="1"/>
  <c r="CK12" i="1"/>
  <c r="CD12" i="1"/>
  <c r="CB12" i="1"/>
  <c r="BZ12" i="1"/>
  <c r="BY12" i="1"/>
  <c r="BX12" i="1"/>
  <c r="BU12" i="1"/>
  <c r="BQ12" i="1"/>
  <c r="BP12" i="1"/>
  <c r="BO12" i="1"/>
  <c r="BM12" i="1"/>
  <c r="BL12" i="1"/>
  <c r="BH12" i="1"/>
  <c r="BG12" i="1"/>
  <c r="BF12" i="1"/>
  <c r="BE12" i="1"/>
  <c r="AU12" i="1"/>
  <c r="CL11" i="1"/>
  <c r="CK11" i="1"/>
  <c r="CD11" i="1"/>
  <c r="CB11" i="1"/>
  <c r="BX11" i="1"/>
  <c r="BU11" i="1"/>
  <c r="BQ11" i="1"/>
  <c r="BP11" i="1"/>
  <c r="BO11" i="1"/>
  <c r="BM11" i="1"/>
  <c r="BL11" i="1"/>
  <c r="BH11" i="1"/>
  <c r="BG11" i="1"/>
  <c r="BF11" i="1"/>
  <c r="BE11" i="1"/>
  <c r="AU11" i="1"/>
  <c r="CL10" i="1"/>
  <c r="CK10" i="1"/>
  <c r="CD10" i="1"/>
  <c r="CB10" i="1"/>
  <c r="BY10" i="1"/>
  <c r="BX10" i="1"/>
  <c r="BV10" i="1"/>
  <c r="BU10" i="1"/>
  <c r="BQ10" i="1"/>
  <c r="BP10" i="1"/>
  <c r="BL10" i="1"/>
  <c r="BH10" i="1"/>
  <c r="BF10" i="1"/>
  <c r="BE10" i="1"/>
  <c r="CK9" i="1"/>
  <c r="CH9" i="1"/>
  <c r="CE9" i="1"/>
  <c r="CD9" i="1"/>
  <c r="CC9" i="1"/>
  <c r="CA9" i="1"/>
  <c r="BX9" i="1"/>
  <c r="BV9" i="1"/>
  <c r="BU9" i="1"/>
  <c r="BR9" i="1"/>
  <c r="BQ9" i="1"/>
  <c r="BP9" i="1"/>
  <c r="BN9" i="1"/>
  <c r="BL9" i="1"/>
  <c r="BI9" i="1"/>
  <c r="BH9" i="1"/>
  <c r="BG9" i="1"/>
  <c r="BF9" i="1"/>
  <c r="BE9" i="1"/>
  <c r="AE9" i="1"/>
  <c r="CK8" i="1"/>
  <c r="CH8" i="1"/>
  <c r="CE8" i="1"/>
  <c r="BV8" i="1"/>
  <c r="BU8" i="1"/>
  <c r="BR8" i="1"/>
  <c r="BQ8" i="1"/>
  <c r="BE8" i="1"/>
  <c r="CK7" i="1"/>
  <c r="CH7" i="1"/>
  <c r="CE7" i="1"/>
  <c r="CD7" i="1"/>
  <c r="CB7" i="1"/>
  <c r="BX7" i="1"/>
  <c r="BU7" i="1"/>
  <c r="BR7" i="1"/>
  <c r="BQ7" i="1"/>
  <c r="BP7" i="1"/>
  <c r="BO7" i="1"/>
  <c r="BH7" i="1"/>
  <c r="BF7" i="1"/>
  <c r="BE7" i="1"/>
  <c r="AX7" i="1"/>
  <c r="AW7" i="1"/>
  <c r="CK6" i="1"/>
  <c r="CH6" i="1"/>
  <c r="CE6" i="1"/>
  <c r="CD6" i="1"/>
  <c r="CB6" i="1"/>
  <c r="CA6" i="1"/>
  <c r="BX6" i="1"/>
  <c r="BV6" i="1"/>
  <c r="BU6" i="1"/>
  <c r="BR6" i="1"/>
  <c r="BQ6" i="1"/>
  <c r="BP6" i="1"/>
  <c r="BO6" i="1"/>
  <c r="BL6" i="1"/>
  <c r="BH6" i="1"/>
  <c r="BG6" i="1"/>
  <c r="BF6" i="1"/>
  <c r="BE6" i="1"/>
  <c r="CK5" i="1"/>
  <c r="CH5" i="1"/>
  <c r="CE5" i="1"/>
  <c r="CD5" i="1"/>
  <c r="CC5" i="1"/>
  <c r="CB5" i="1"/>
  <c r="BZ5" i="1"/>
  <c r="BY5" i="1"/>
  <c r="BX5" i="1"/>
  <c r="BV5" i="1"/>
  <c r="BU5" i="1"/>
  <c r="BR5" i="1"/>
  <c r="BQ5" i="1"/>
  <c r="BP5" i="1"/>
  <c r="BO5" i="1"/>
  <c r="BL5" i="1"/>
  <c r="BH5" i="1"/>
  <c r="BG5" i="1"/>
  <c r="BF5" i="1"/>
  <c r="BE5" i="1"/>
  <c r="AX5" i="1"/>
  <c r="AW5" i="1"/>
  <c r="CK4" i="1"/>
  <c r="CH4" i="1"/>
  <c r="CE4" i="1"/>
  <c r="CD4" i="1"/>
  <c r="CC4" i="1"/>
  <c r="CB4" i="1"/>
  <c r="BZ4" i="1"/>
  <c r="BY4" i="1"/>
  <c r="BX4" i="1"/>
  <c r="BV4" i="1"/>
  <c r="BU4" i="1"/>
  <c r="BR4" i="1"/>
  <c r="BQ4" i="1"/>
  <c r="BP4" i="1"/>
  <c r="BO4" i="1"/>
  <c r="BL4" i="1"/>
  <c r="BH4" i="1"/>
  <c r="BG4" i="1"/>
  <c r="BF4" i="1"/>
  <c r="BE4" i="1"/>
  <c r="CH3" i="1"/>
  <c r="CE3" i="1"/>
  <c r="CD3" i="1"/>
  <c r="CB3" i="1"/>
  <c r="BU3" i="1"/>
  <c r="BR3" i="1"/>
  <c r="BQ3" i="1"/>
  <c r="BP3" i="1"/>
  <c r="BO3" i="1"/>
  <c r="BH3" i="1"/>
  <c r="BG3" i="1"/>
  <c r="BE3" i="1"/>
  <c r="AT3" i="1"/>
  <c r="AS3" i="1"/>
  <c r="CK2" i="1"/>
  <c r="CH2" i="1"/>
  <c r="CE2" i="1"/>
  <c r="BU2" i="1"/>
  <c r="BR2" i="1"/>
  <c r="BQ2" i="1"/>
  <c r="BP2" i="1"/>
  <c r="BO2" i="1"/>
  <c r="BL2" i="1"/>
  <c r="BG2" i="1"/>
  <c r="BE2" i="1"/>
  <c r="Y2" i="1"/>
</calcChain>
</file>

<file path=xl/sharedStrings.xml><?xml version="1.0" encoding="utf-8"?>
<sst xmlns="http://schemas.openxmlformats.org/spreadsheetml/2006/main" count="1188" uniqueCount="527">
  <si>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</si>
  <si>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</si>
  <si>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</si>
  <si>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</si>
  <si>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</si>
  <si>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</si>
  <si>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</si>
  <si>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</si>
  <si>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</si>
  <si>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</si>
  <si>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</si>
  <si>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</si>
  <si>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</si>
  <si>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</si>
  <si>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</si>
  <si>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</si>
  <si>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</si>
  <si>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</si>
  <si>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</si>
  <si>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</si>
  <si>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</si>
  <si>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</si>
  <si>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</si>
  <si>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</si>
  <si>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</si>
  <si>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</si>
  <si>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</si>
  <si>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</si>
  <si>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</si>
  <si>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</si>
  <si>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</si>
  <si>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</si>
  <si>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</si>
  <si>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</si>
  <si>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</si>
  <si>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</si>
  <si>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</si>
  <si>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</si>
  <si>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</si>
  <si>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</si>
  <si>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</si>
  <si>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</si>
  <si>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</si>
  <si>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</si>
  <si>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</si>
  <si>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</si>
  <si>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</si>
  <si>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</si>
  <si>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Biochemical Oxygen Demand (mg/l O2)</t>
  </si>
  <si>
    <t>Chemical Oxygen Demand (mg/l O2)</t>
  </si>
  <si>
    <t>Dissolved Organic Carbon (mg/l)</t>
  </si>
  <si>
    <t>Total Coliforms (MPN) (MPN/100 ml)</t>
  </si>
  <si>
    <t>Fecal Coliforms (MPN) (MPN/100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</si>
  <si>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</si>
  <si>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</si>
  <si>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</si>
  <si>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</si>
  <si>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</si>
  <si>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</si>
  <si>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</si>
  <si>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</si>
  <si>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</si>
  <si>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</si>
  <si>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</si>
  <si>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</si>
  <si>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</si>
  <si>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</si>
  <si>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</si>
  <si>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</si>
  <si>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</si>
  <si>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</si>
  <si>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</si>
  <si>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</si>
  <si>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</si>
  <si>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</si>
  <si>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</si>
  <si>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</si>
  <si>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</si>
  <si>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</si>
  <si>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</si>
  <si>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</si>
  <si>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</si>
  <si>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</si>
  <si>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</si>
  <si>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</si>
  <si>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</si>
  <si>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</si>
  <si>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</si>
  <si>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</si>
  <si>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</si>
  <si>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</si>
  <si>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</si>
  <si>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</si>
  <si>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</si>
  <si>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</si>
  <si>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</si>
  <si>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</si>
  <si>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</si>
  <si>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</si>
  <si>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</si>
  <si>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</si>
  <si>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</si>
  <si>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Villamontes</t>
  </si>
  <si>
    <t>BVI-150</t>
  </si>
  <si>
    <t>30/11/2016</t>
  </si>
  <si>
    <t>7:50</t>
  </si>
  <si>
    <t>November 2016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</si>
  <si>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</si>
  <si>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</si>
  <si>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</si>
  <si>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</si>
  <si>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31.8"</t>
  </si>
  <si>
    <t>63° 30' 41.6"</t>
  </si>
  <si>
    <t>Misión La Paz - SNIH</t>
  </si>
  <si>
    <t>AML-170</t>
  </si>
  <si>
    <t>29/11/2016</t>
  </si>
  <si>
    <t>13:45</t>
  </si>
  <si>
    <t>Cuenca Baja</t>
  </si>
  <si>
    <t>22° 22' 41.3"</t>
  </si>
  <si>
    <t>62° 31' 6.6"</t>
  </si>
  <si>
    <t>El Puente</t>
  </si>
  <si>
    <t>BEP-100</t>
  </si>
  <si>
    <t>17/11/2016</t>
  </si>
  <si>
    <t>10:55</t>
  </si>
  <si>
    <t>San Juan del Oro</t>
  </si>
  <si>
    <t>Unidad 5</t>
  </si>
  <si>
    <t>21° 14' 21.4"</t>
  </si>
  <si>
    <t>65° 12' 33.7"</t>
  </si>
  <si>
    <t>Palca Grande</t>
  </si>
  <si>
    <t>BPG-110</t>
  </si>
  <si>
    <t>8:20</t>
  </si>
  <si>
    <t>Tumusla</t>
  </si>
  <si>
    <t>Unidad 4</t>
  </si>
  <si>
    <t>20° 44' 32.7"</t>
  </si>
  <si>
    <t>65° 14' 26.1"</t>
  </si>
  <si>
    <t>Tacobamba - Agua arriba confluencia Pilcomayo - Tacobamba</t>
  </si>
  <si>
    <t>BTC-116</t>
  </si>
  <si>
    <t>16/11/2016</t>
  </si>
  <si>
    <t>14:00</t>
  </si>
  <si>
    <t>Tacobamba</t>
  </si>
  <si>
    <t>19° 8' 11.5"</t>
  </si>
  <si>
    <t>65° 34' 4.2"</t>
  </si>
  <si>
    <t>Pilcomayo - Agua arriba confluencia Pilcomayo - Tacobamba</t>
  </si>
  <si>
    <t>BPT-118</t>
  </si>
  <si>
    <t>19 7 57.3</t>
  </si>
  <si>
    <t>65 34 24.5</t>
  </si>
  <si>
    <t>Tarapaya</t>
  </si>
  <si>
    <t>BTA-050</t>
  </si>
  <si>
    <t>15/11/2016</t>
  </si>
  <si>
    <t>15:50</t>
  </si>
  <si>
    <t>Unidad 1</t>
  </si>
  <si>
    <t>19° 28' 18.4"</t>
  </si>
  <si>
    <t>65° 47' 39.7"</t>
  </si>
  <si>
    <t>Colavi - Canutillos</t>
  </si>
  <si>
    <t>BC7-113</t>
  </si>
  <si>
    <t>11:25</t>
  </si>
  <si>
    <t>Colavi</t>
  </si>
  <si>
    <t>19° 19' 16.8"</t>
  </si>
  <si>
    <t>65° 33' 6.9"</t>
  </si>
  <si>
    <t>Villa Hayes</t>
  </si>
  <si>
    <t>PVH-280</t>
  </si>
  <si>
    <t>30/09/2016</t>
  </si>
  <si>
    <t>9:00</t>
  </si>
  <si>
    <t>September 2016</t>
  </si>
  <si>
    <t>Confuso</t>
  </si>
  <si>
    <t>25 6 26.52</t>
  </si>
  <si>
    <t>57 32 48.12</t>
  </si>
  <si>
    <t>Montelindo en ruta PY09</t>
  </si>
  <si>
    <t>PR9M-260</t>
  </si>
  <si>
    <t>29/09/2016</t>
  </si>
  <si>
    <t>9:30</t>
  </si>
  <si>
    <t>Montelindo</t>
  </si>
  <si>
    <t>23 53 35.6</t>
  </si>
  <si>
    <t>58 26 46.8</t>
  </si>
  <si>
    <t>Negro Ruta PY09</t>
  </si>
  <si>
    <t>PR9N-230</t>
  </si>
  <si>
    <t>8:10</t>
  </si>
  <si>
    <t>Negro</t>
  </si>
  <si>
    <t>24° 11' 21.96"</t>
  </si>
  <si>
    <t>58° 17' 58.68"</t>
  </si>
  <si>
    <t>Puente Loyola</t>
  </si>
  <si>
    <t>APL-320</t>
  </si>
  <si>
    <t>28/09/2016</t>
  </si>
  <si>
    <t>11:35</t>
  </si>
  <si>
    <t>Cuenca Paraguay</t>
  </si>
  <si>
    <t>25° 15' 52.2"</t>
  </si>
  <si>
    <t>57° 43' 28.62"</t>
  </si>
  <si>
    <t>Ruta 11</t>
  </si>
  <si>
    <t>AR11-290</t>
  </si>
  <si>
    <t>25° 47' 16.26"</t>
  </si>
  <si>
    <t>58° 1' 16.74"</t>
  </si>
  <si>
    <t>General Bruguez</t>
  </si>
  <si>
    <t>PGB-250</t>
  </si>
  <si>
    <t>02/09/2016</t>
  </si>
  <si>
    <t>13:15</t>
  </si>
  <si>
    <t>Chaco Paraguayo</t>
  </si>
  <si>
    <t>24° 44' 54.06"</t>
  </si>
  <si>
    <t>58° 49' 59.22"</t>
  </si>
  <si>
    <t>San Josecito</t>
  </si>
  <si>
    <t>BSJ-130</t>
  </si>
  <si>
    <t>01/09/2016</t>
  </si>
  <si>
    <t>15:24</t>
  </si>
  <si>
    <t>Pilaya</t>
  </si>
  <si>
    <t>Unidad 6</t>
  </si>
  <si>
    <t>21 9 8.04</t>
  </si>
  <si>
    <t>64 14 1.74</t>
  </si>
  <si>
    <t>Puente Aruma - Automática</t>
  </si>
  <si>
    <t>BPA-140</t>
  </si>
  <si>
    <t>8:00</t>
  </si>
  <si>
    <t>20 54 49.86</t>
  </si>
  <si>
    <t>64 6 37.68</t>
  </si>
  <si>
    <t>31/08/2016</t>
  </si>
  <si>
    <t>17:00</t>
  </si>
  <si>
    <t>August 2016</t>
  </si>
  <si>
    <t>21 15 31.5</t>
  </si>
  <si>
    <t>63 30 41.52</t>
  </si>
  <si>
    <t>30/08/2016</t>
  </si>
  <si>
    <t>15:40</t>
  </si>
  <si>
    <t>21° 14' 21.53"</t>
  </si>
  <si>
    <t>65° 12' 34.45"</t>
  </si>
  <si>
    <t>20° 44' 32.22"</t>
  </si>
  <si>
    <t>65° 14' 28.32"</t>
  </si>
  <si>
    <t>Marca Borrada</t>
  </si>
  <si>
    <t>AMB-165</t>
  </si>
  <si>
    <t>16/08/2016</t>
  </si>
  <si>
    <t>22° 12' 48.84"</t>
  </si>
  <si>
    <t>62° 41' 16.92"</t>
  </si>
  <si>
    <t>María Cristina</t>
  </si>
  <si>
    <t>AMC-190</t>
  </si>
  <si>
    <t>15/08/2016</t>
  </si>
  <si>
    <t>La Estrella</t>
  </si>
  <si>
    <t>Bañado La Estrella</t>
  </si>
  <si>
    <t>22° 40' 4.26"</t>
  </si>
  <si>
    <t>62° 12' 31.44"</t>
  </si>
  <si>
    <t>El Potrillo</t>
  </si>
  <si>
    <t>AEP-180</t>
  </si>
  <si>
    <t>10:15</t>
  </si>
  <si>
    <t>23° 8' 17.58"</t>
  </si>
  <si>
    <t>61° 57' 49.68"</t>
  </si>
  <si>
    <t>Ruta 28-Vertedero</t>
  </si>
  <si>
    <t>AR28-300</t>
  </si>
  <si>
    <t>14/08/2016</t>
  </si>
  <si>
    <t>14:15</t>
  </si>
  <si>
    <t>24° 21' 31.38"</t>
  </si>
  <si>
    <t>60° 18' 22.86"</t>
  </si>
  <si>
    <t>Salida Laguna Salada</t>
  </si>
  <si>
    <t>ASL-270</t>
  </si>
  <si>
    <t>10:00</t>
  </si>
  <si>
    <t>Salada</t>
  </si>
  <si>
    <t>24° 41' 46.8"</t>
  </si>
  <si>
    <t>59° 49' 2.82"</t>
  </si>
  <si>
    <t>Liviara</t>
  </si>
  <si>
    <t>ALI-020</t>
  </si>
  <si>
    <t>11/08/2016</t>
  </si>
  <si>
    <t>11:00</t>
  </si>
  <si>
    <t>Orosmayo</t>
  </si>
  <si>
    <t>22 31 46.14</t>
  </si>
  <si>
    <t>66 20 59.46</t>
  </si>
  <si>
    <t>La Quiaca</t>
  </si>
  <si>
    <t>ALQ-040</t>
  </si>
  <si>
    <t>10/08/2016</t>
  </si>
  <si>
    <t>22° 5' 51.48"</t>
  </si>
  <si>
    <t>65° 35' 9.48"</t>
  </si>
  <si>
    <t>Chuquiago</t>
  </si>
  <si>
    <t>BCH-060</t>
  </si>
  <si>
    <t>03/08/2016</t>
  </si>
  <si>
    <t>17:30</t>
  </si>
  <si>
    <t>21° 33' 39.6"</t>
  </si>
  <si>
    <t>65° 38' 50.52"</t>
  </si>
  <si>
    <t>La Angostura</t>
  </si>
  <si>
    <t>BTP-090</t>
  </si>
  <si>
    <t>16:20</t>
  </si>
  <si>
    <t>Tupiza</t>
  </si>
  <si>
    <t>21° 30' 15.66"</t>
  </si>
  <si>
    <t>65° 42' 21.84"</t>
  </si>
  <si>
    <t>Cotagaita</t>
  </si>
  <si>
    <t>BCO-070</t>
  </si>
  <si>
    <t>20° 49' 15.24"</t>
  </si>
  <si>
    <t>65° 40' 1.98"</t>
  </si>
  <si>
    <t>BTU-080</t>
  </si>
  <si>
    <t>12:00</t>
  </si>
  <si>
    <t>20° 29' 13.26"</t>
  </si>
  <si>
    <t>65° 37' 7.86"</t>
  </si>
  <si>
    <t>02/08/2016</t>
  </si>
  <si>
    <t>17:40</t>
  </si>
  <si>
    <t>19° 28' 18.72"</t>
  </si>
  <si>
    <t>65° 47' 36.84"</t>
  </si>
  <si>
    <t>San Antonio - Potosí</t>
  </si>
  <si>
    <t>BSA-030</t>
  </si>
  <si>
    <t>Aljamayu</t>
  </si>
  <si>
    <t>19° 34' 41.76"</t>
  </si>
  <si>
    <t>65° 48' 11.7"</t>
  </si>
  <si>
    <t>11:50</t>
  </si>
  <si>
    <t>19° 7' 56.04"</t>
  </si>
  <si>
    <t>65° 34' 18.78"</t>
  </si>
  <si>
    <t>11:05</t>
  </si>
  <si>
    <t>19° 8' 10.02"</t>
  </si>
  <si>
    <t>65° 34' 4.26"</t>
  </si>
  <si>
    <t>Potosí - Naciente río La Ribera</t>
  </si>
  <si>
    <t>BNR-010</t>
  </si>
  <si>
    <t>01/08/2016</t>
  </si>
  <si>
    <t>De la Ribera</t>
  </si>
  <si>
    <t>19° 36' 7.30"</t>
  </si>
  <si>
    <t>65° 44' 4.50"</t>
  </si>
  <si>
    <t>13:50</t>
  </si>
  <si>
    <t>19° 19' 17.7"</t>
  </si>
  <si>
    <t>65° 33' 9.54"</t>
  </si>
  <si>
    <t>Puente Mendez</t>
  </si>
  <si>
    <t>BPM-120</t>
  </si>
  <si>
    <t>Unidad 2</t>
  </si>
  <si>
    <t>19° 21' 26.76"</t>
  </si>
  <si>
    <t>65° 10' 23.64"</t>
  </si>
  <si>
    <t>18/05/2016</t>
  </si>
  <si>
    <t>12:40</t>
  </si>
  <si>
    <t>May 2016</t>
  </si>
  <si>
    <t>22° 22' 41.28"</t>
  </si>
  <si>
    <t>62° 31' 6.9"</t>
  </si>
  <si>
    <t>17/05/2016</t>
  </si>
  <si>
    <t>16:15</t>
  </si>
  <si>
    <t>21 15 28.32</t>
  </si>
  <si>
    <t>63 30 40.14</t>
  </si>
  <si>
    <t>16/05/2016</t>
  </si>
  <si>
    <t>16:35</t>
  </si>
  <si>
    <t>21° 14' 21.8"</t>
  </si>
  <si>
    <t>65° 12' 31.3"</t>
  </si>
  <si>
    <t>15:00</t>
  </si>
  <si>
    <t>20° 44' 32.1"</t>
  </si>
  <si>
    <t>65° 14' 28.2"</t>
  </si>
  <si>
    <t>20/04/2016</t>
  </si>
  <si>
    <t>12:15</t>
  </si>
  <si>
    <t>April 2016</t>
  </si>
  <si>
    <t>19° 7' 58.2"</t>
  </si>
  <si>
    <t>65° 34' 19.74"</t>
  </si>
  <si>
    <t>11:20</t>
  </si>
  <si>
    <t>19° 7' 55.64"</t>
  </si>
  <si>
    <t>65° 34' 17.70"</t>
  </si>
  <si>
    <t>19/04/2016</t>
  </si>
  <si>
    <t>19 28 19.74</t>
  </si>
  <si>
    <t>65 47 39.96</t>
  </si>
  <si>
    <t>12:35</t>
  </si>
  <si>
    <t>19 19 17.16</t>
  </si>
  <si>
    <t>65 33 9.42</t>
  </si>
  <si>
    <t>18/12/2017</t>
  </si>
  <si>
    <t>6:05</t>
  </si>
  <si>
    <t>December 2017</t>
  </si>
  <si>
    <t>21° 15' 29.22"</t>
  </si>
  <si>
    <t>63° 30' 41.88"</t>
  </si>
  <si>
    <t>17/12/2017</t>
  </si>
  <si>
    <t>7:00</t>
  </si>
  <si>
    <t>62° 31' 7.08"</t>
  </si>
  <si>
    <t>15/12/2017</t>
  </si>
  <si>
    <t>10:10</t>
  </si>
  <si>
    <t>21 14 21.42</t>
  </si>
  <si>
    <t>65 12 31.86</t>
  </si>
  <si>
    <t>20 44 32.34</t>
  </si>
  <si>
    <t>65 14 26.52</t>
  </si>
  <si>
    <t>14/12/2017</t>
  </si>
  <si>
    <t>12:30</t>
  </si>
  <si>
    <t>65° 33' 6.54"</t>
  </si>
  <si>
    <t>8:15</t>
  </si>
  <si>
    <t>19° 28' 18.6"</t>
  </si>
  <si>
    <t>65° 47' 39.18"</t>
  </si>
  <si>
    <t>13/12/2017</t>
  </si>
  <si>
    <t>19° 8' 6.24"</t>
  </si>
  <si>
    <t>65° 34' 5.04"</t>
  </si>
  <si>
    <t>19° 7' 56.52"</t>
  </si>
  <si>
    <t>65° 34' 22.08"</t>
  </si>
  <si>
    <t>19/11/2017</t>
  </si>
  <si>
    <t>November 2017</t>
  </si>
  <si>
    <t>24 44 54.24</t>
  </si>
  <si>
    <t>58 49 58.62</t>
  </si>
  <si>
    <t>16/11/2017</t>
  </si>
  <si>
    <t>18:00</t>
  </si>
  <si>
    <t>25 6 26.4</t>
  </si>
  <si>
    <t>57 32 47.88</t>
  </si>
  <si>
    <t>11:30</t>
  </si>
  <si>
    <t>23 53 34.8</t>
  </si>
  <si>
    <t>58 26 46.92</t>
  </si>
  <si>
    <t>10:20</t>
  </si>
  <si>
    <t>24 11 22.74</t>
  </si>
  <si>
    <t>58 18 0.9</t>
  </si>
  <si>
    <t>15/11/2017</t>
  </si>
  <si>
    <t>25 15 52.26</t>
  </si>
  <si>
    <t>57 43 29.16</t>
  </si>
  <si>
    <t>Clorinda</t>
  </si>
  <si>
    <t>ACL-310</t>
  </si>
  <si>
    <t>11:10</t>
  </si>
  <si>
    <t>Porteño</t>
  </si>
  <si>
    <t>El Porteño</t>
  </si>
  <si>
    <t>25 15 55.7</t>
  </si>
  <si>
    <t>57 43 43.4</t>
  </si>
  <si>
    <t>25 47 17.82</t>
  </si>
  <si>
    <t>58 1 17.28</t>
  </si>
  <si>
    <t>26/10/2017</t>
  </si>
  <si>
    <t>14:45</t>
  </si>
  <si>
    <t>October 2017</t>
  </si>
  <si>
    <t>21 9 8.46</t>
  </si>
  <si>
    <t>64 14 0.18</t>
  </si>
  <si>
    <t>20 54 49.74</t>
  </si>
  <si>
    <t>64 6 37.80</t>
  </si>
  <si>
    <t>25/10/2017</t>
  </si>
  <si>
    <t>21 15 32.46</t>
  </si>
  <si>
    <t>63 30 42.24</t>
  </si>
  <si>
    <t>24/10/2017</t>
  </si>
  <si>
    <t>22° 22' 39.66"</t>
  </si>
  <si>
    <t>62° 31' 6.36"</t>
  </si>
  <si>
    <t>13:55</t>
  </si>
  <si>
    <t>22° 40' 20.1"</t>
  </si>
  <si>
    <t>62° 12' 28.44"</t>
  </si>
  <si>
    <t>9:20</t>
  </si>
  <si>
    <t>23° 8' 15.72"</t>
  </si>
  <si>
    <t>61° 57' 48.96"</t>
  </si>
  <si>
    <t>22/10/2017</t>
  </si>
  <si>
    <t>14:30</t>
  </si>
  <si>
    <t>24 21 30.54</t>
  </si>
  <si>
    <t>60 18 23.7</t>
  </si>
  <si>
    <t>24 41 46.86</t>
  </si>
  <si>
    <t>59 49 2.82</t>
  </si>
  <si>
    <t>Ruta 95</t>
  </si>
  <si>
    <t>AR95-220</t>
  </si>
  <si>
    <t>25 8 55.38</t>
  </si>
  <si>
    <t>59 40 45.90</t>
  </si>
  <si>
    <t>19/10/2017</t>
  </si>
  <si>
    <t>22° 31' 40.44"</t>
  </si>
  <si>
    <t>66° 21' 0.6"</t>
  </si>
  <si>
    <t>17/10/2017</t>
  </si>
  <si>
    <t>14:50</t>
  </si>
  <si>
    <t>22 5 51.78</t>
  </si>
  <si>
    <t>65 35 9.54</t>
  </si>
  <si>
    <t>16/10/2017</t>
  </si>
  <si>
    <t>16:25</t>
  </si>
  <si>
    <t>20 44 32.28</t>
  </si>
  <si>
    <t>65 14 27.54</t>
  </si>
  <si>
    <t>21° 14' 21.90"</t>
  </si>
  <si>
    <t>65° 12' 32.22"</t>
  </si>
  <si>
    <t>05/10/2017</t>
  </si>
  <si>
    <t>16:05</t>
  </si>
  <si>
    <t>21° 33' 40.08"</t>
  </si>
  <si>
    <t>65° 38' 50.58"</t>
  </si>
  <si>
    <t>14:25</t>
  </si>
  <si>
    <t>21° 30' 16.98"</t>
  </si>
  <si>
    <t>65° 42' 18.66"</t>
  </si>
  <si>
    <t>20° 29' 11.34"</t>
  </si>
  <si>
    <t>65° 37' 10.98"</t>
  </si>
  <si>
    <t>8:18</t>
  </si>
  <si>
    <t>20° 49' 29.04"</t>
  </si>
  <si>
    <t>65° 40' 18.18"</t>
  </si>
  <si>
    <t>04/10/2017</t>
  </si>
  <si>
    <t>13:20</t>
  </si>
  <si>
    <t>19 36 6.6</t>
  </si>
  <si>
    <t>65 44 4.56</t>
  </si>
  <si>
    <t>10:17</t>
  </si>
  <si>
    <t>19 28 18.18</t>
  </si>
  <si>
    <t>65 47 39.9</t>
  </si>
  <si>
    <t>19 34 41.52</t>
  </si>
  <si>
    <t>65 48 12.18</t>
  </si>
  <si>
    <t>03/10/2017</t>
  </si>
  <si>
    <t>12:55</t>
  </si>
  <si>
    <t>19 8 38.82</t>
  </si>
  <si>
    <t>65 33 56.7</t>
  </si>
  <si>
    <t>11:40</t>
  </si>
  <si>
    <t>19° 7' 55.74"</t>
  </si>
  <si>
    <t>65° 34' 18.18"</t>
  </si>
  <si>
    <t>02/10/2017</t>
  </si>
  <si>
    <t>65 33 6.9</t>
  </si>
  <si>
    <t>9:10</t>
  </si>
  <si>
    <t>19° 21' 26.70"</t>
  </si>
  <si>
    <t>65° 10' 23.16"</t>
  </si>
  <si>
    <t>29/08/2017</t>
  </si>
  <si>
    <t>10:30</t>
  </si>
  <si>
    <t>August 2017</t>
  </si>
  <si>
    <t>22° 22' 39.60"</t>
  </si>
  <si>
    <t>62° 31' 6.42"</t>
  </si>
  <si>
    <t>28/08/2017</t>
  </si>
  <si>
    <t>6:50</t>
  </si>
  <si>
    <t>21° 15' 32.34"</t>
  </si>
  <si>
    <t>63° 30' 42"</t>
  </si>
  <si>
    <t>17/08/2017</t>
  </si>
  <si>
    <t>21° 14' 18.94"</t>
  </si>
  <si>
    <t>65° 12' 39.01"</t>
  </si>
  <si>
    <t>20° 44' 32.34"</t>
  </si>
  <si>
    <t>65° 14' 27.06"</t>
  </si>
  <si>
    <t>16/08/2017</t>
  </si>
  <si>
    <t>12:45</t>
  </si>
  <si>
    <t>19 7 56.0</t>
  </si>
  <si>
    <t>65 34 19.3</t>
  </si>
  <si>
    <t>19° 7' 58.92"</t>
  </si>
  <si>
    <t>65° 34' 9.18"</t>
  </si>
  <si>
    <t>15/08/2017</t>
  </si>
  <si>
    <t>15:25</t>
  </si>
  <si>
    <t>19 28 18.42</t>
  </si>
  <si>
    <t>19 19 15.36</t>
  </si>
  <si>
    <t>65 33 6.96</t>
  </si>
  <si>
    <t>30/03/2017</t>
  </si>
  <si>
    <t>14:55</t>
  </si>
  <si>
    <t>March 2017</t>
  </si>
  <si>
    <t>20° 44' 32.28"</t>
  </si>
  <si>
    <t>65° 14' 28.44"</t>
  </si>
  <si>
    <t>21 14 20.46</t>
  </si>
  <si>
    <t>65 12 36.96</t>
  </si>
  <si>
    <t>29/03/2017</t>
  </si>
  <si>
    <t>13:10</t>
  </si>
  <si>
    <t>19° 7' 55.68"</t>
  </si>
  <si>
    <t>65° 34' 12.18"</t>
  </si>
  <si>
    <t>12:25</t>
  </si>
  <si>
    <t>19° 7' 55.8"</t>
  </si>
  <si>
    <t>65° 34' 20.16"</t>
  </si>
  <si>
    <t>28/03/2017</t>
  </si>
  <si>
    <t>19° 28' 18.78"</t>
  </si>
  <si>
    <t>65° 47' 38.94"</t>
  </si>
  <si>
    <t>19 19 16.44</t>
  </si>
  <si>
    <t>65 33 6.6</t>
  </si>
  <si>
    <t>Canutillos 3</t>
  </si>
  <si>
    <t>BC3-112</t>
  </si>
  <si>
    <t>Canutillos</t>
  </si>
  <si>
    <t>19 20 47.5</t>
  </si>
  <si>
    <t>65 32 42.9</t>
  </si>
  <si>
    <t>22/03/2017</t>
  </si>
  <si>
    <t>15:30</t>
  </si>
  <si>
    <t>22° 22' 41.16"</t>
  </si>
  <si>
    <t>21/03/2017</t>
  </si>
  <si>
    <t>7:30</t>
  </si>
  <si>
    <t>21° 15' 31.56"</t>
  </si>
  <si>
    <t>63° 30' 41.64"</t>
  </si>
  <si>
    <t>Total Coliforms (CFU/100 ml)</t>
  </si>
  <si>
    <t>Fecal Coliforms (CFU/100 ml)</t>
  </si>
  <si>
    <t>Total Mesophilic Aerobes (CFU/100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</si>
</sst>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C103"/>
  <sheetViews>
    <sheetView tabSelected="1" topLeftCell="AW1" workbookViewId="0">
      <selection activeCell="BB6" sqref="BB6"/>
    </sheetView>
  </sheetViews>
  <sheetFormatPr defaultColWidth="12.6328125" defaultRowHeight="15.75" customHeight="1" x14ac:dyDescent="0.25"/>
  <sheetData>
    <row r="1" spans="1:10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524</v>
      </c>
      <c r="BA1" s="1" t="s">
        <v>525</v>
      </c>
      <c r="BB1" s="1" t="s">
        <v>51</v>
      </c>
      <c r="BC1" s="1" t="s">
        <v>52</v>
      </c>
      <c r="BD1" s="1" t="s">
        <v>526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/>
      <c r="DC1" s="1"/>
    </row>
    <row r="2" spans="1:107" ht="15.75" customHeight="1" x14ac:dyDescent="0.25">
      <c r="A2" s="3" t="s">
        <v>102</v>
      </c>
      <c r="B2" s="3" t="s">
        <v>103</v>
      </c>
      <c r="C2" s="4" t="s">
        <v>104</v>
      </c>
      <c r="D2" s="4" t="s">
        <v>105</v>
      </c>
      <c r="E2" s="4" t="s">
        <v>106</v>
      </c>
      <c r="F2" s="3" t="s">
        <v>107</v>
      </c>
      <c r="G2" s="3" t="s">
        <v>108</v>
      </c>
      <c r="H2" s="3" t="s">
        <v>109</v>
      </c>
      <c r="I2" s="3" t="s">
        <v>110</v>
      </c>
      <c r="J2" s="3" t="s">
        <v>111</v>
      </c>
      <c r="K2" s="3" t="s">
        <v>112</v>
      </c>
      <c r="L2" s="3">
        <v>-21.258800000000001</v>
      </c>
      <c r="M2" s="3">
        <v>-63.511600000000001</v>
      </c>
      <c r="N2" s="3">
        <v>1.365</v>
      </c>
      <c r="O2" s="3">
        <v>207</v>
      </c>
      <c r="P2" s="3">
        <v>1204</v>
      </c>
      <c r="Q2" s="3">
        <v>111.3</v>
      </c>
      <c r="R2" s="3">
        <v>7.4539999999999997</v>
      </c>
      <c r="S2" s="3">
        <v>-50.4</v>
      </c>
      <c r="T2" s="3">
        <v>826</v>
      </c>
      <c r="U2" s="3">
        <v>0.3</v>
      </c>
      <c r="V2" s="3">
        <v>24.1</v>
      </c>
      <c r="W2" s="3">
        <v>9.56</v>
      </c>
      <c r="X2" s="3">
        <v>56.3</v>
      </c>
      <c r="Y2" s="3">
        <f>1.5*1100</f>
        <v>1650</v>
      </c>
      <c r="Z2" s="3">
        <v>45033</v>
      </c>
      <c r="AA2" s="3">
        <v>648</v>
      </c>
      <c r="AB2" s="3">
        <v>44385</v>
      </c>
      <c r="AC2" s="3"/>
      <c r="AD2" s="3">
        <v>233.4</v>
      </c>
      <c r="AE2" s="3">
        <v>5</v>
      </c>
      <c r="AF2" s="3">
        <v>220</v>
      </c>
      <c r="AG2" s="3">
        <v>119.3</v>
      </c>
      <c r="AH2" s="3">
        <v>51.6</v>
      </c>
      <c r="AI2" s="3">
        <v>55.41</v>
      </c>
      <c r="AJ2" s="3">
        <v>22.76</v>
      </c>
      <c r="AK2" s="3">
        <v>102</v>
      </c>
      <c r="AL2" s="3">
        <v>8.1999999999999993</v>
      </c>
      <c r="AM2" s="3">
        <v>55.92</v>
      </c>
      <c r="AN2" s="3">
        <v>23.05</v>
      </c>
      <c r="AO2" s="3">
        <v>103.3</v>
      </c>
      <c r="AP2" s="3">
        <v>8.1999999999999993</v>
      </c>
      <c r="AQ2" s="3"/>
      <c r="AR2" s="3"/>
      <c r="AS2" s="3"/>
      <c r="AT2" s="3"/>
      <c r="AU2" s="3"/>
      <c r="AV2" s="3"/>
      <c r="AW2" s="3">
        <v>60</v>
      </c>
      <c r="AX2" s="3">
        <v>70</v>
      </c>
      <c r="AY2" s="3"/>
      <c r="AZ2" s="3"/>
      <c r="BA2" s="3"/>
      <c r="BB2" s="3"/>
      <c r="BC2" s="3"/>
      <c r="BD2" s="3"/>
      <c r="BE2" s="3">
        <f t="shared" ref="BE2:BE9" si="0">0.5*0.1</f>
        <v>0.05</v>
      </c>
      <c r="BF2" s="3">
        <v>16</v>
      </c>
      <c r="BG2" s="3">
        <f t="shared" ref="BG2:BG6" si="1">0.5*0.1</f>
        <v>0.05</v>
      </c>
      <c r="BH2" s="3">
        <v>12</v>
      </c>
      <c r="BI2" s="3">
        <v>0.9</v>
      </c>
      <c r="BJ2" s="3">
        <v>731</v>
      </c>
      <c r="BK2" s="3">
        <v>3</v>
      </c>
      <c r="BL2" s="3">
        <f>0.5*2</f>
        <v>1</v>
      </c>
      <c r="BM2" s="3">
        <v>0.7</v>
      </c>
      <c r="BN2" s="3">
        <v>2</v>
      </c>
      <c r="BO2" s="3">
        <f t="shared" ref="BO2:BO7" si="2">0.5*0.1</f>
        <v>0.05</v>
      </c>
      <c r="BP2" s="3">
        <f t="shared" ref="BP2:BP7" si="3">0.5*0.2</f>
        <v>0.1</v>
      </c>
      <c r="BQ2" s="3">
        <f t="shared" ref="BQ2:BQ46" si="4">0.5*0.1</f>
        <v>0.05</v>
      </c>
      <c r="BR2" s="3">
        <f t="shared" ref="BR2:BR9" si="5">0.5*0.04</f>
        <v>0.02</v>
      </c>
      <c r="BS2" s="3">
        <v>203</v>
      </c>
      <c r="BT2" s="3">
        <v>183</v>
      </c>
      <c r="BU2" s="3">
        <f t="shared" ref="BU2:BU13" si="6">0.5*2</f>
        <v>1</v>
      </c>
      <c r="BV2" s="3">
        <v>636</v>
      </c>
      <c r="BW2" s="3">
        <v>16805</v>
      </c>
      <c r="BX2" s="3">
        <v>742</v>
      </c>
      <c r="BY2" s="3">
        <v>590</v>
      </c>
      <c r="BZ2" s="3">
        <v>2412</v>
      </c>
      <c r="CA2" s="3">
        <v>261</v>
      </c>
      <c r="CB2" s="3">
        <v>6</v>
      </c>
      <c r="CC2" s="3">
        <v>1026</v>
      </c>
      <c r="CD2" s="3">
        <v>3</v>
      </c>
      <c r="CE2" s="3">
        <f t="shared" ref="CE2:CE9" si="7">0.5*0.1</f>
        <v>0.05</v>
      </c>
      <c r="CF2" s="3">
        <v>752440</v>
      </c>
      <c r="CG2" s="3">
        <v>532</v>
      </c>
      <c r="CH2" s="3">
        <f t="shared" ref="CH2:CH9" si="8">0.5*25</f>
        <v>12.5</v>
      </c>
      <c r="CI2" s="3"/>
      <c r="CJ2" s="3"/>
      <c r="CK2" s="3">
        <f>0.5*0.001</f>
        <v>5.0000000000000001E-4</v>
      </c>
      <c r="CL2" s="3"/>
      <c r="CM2" s="3"/>
      <c r="CN2" s="3">
        <v>0.27</v>
      </c>
      <c r="CO2" s="3"/>
      <c r="CP2" s="3">
        <v>54.33</v>
      </c>
      <c r="CQ2" s="3">
        <v>22.93</v>
      </c>
      <c r="CR2" s="3">
        <v>5.84</v>
      </c>
      <c r="CS2" s="3">
        <v>0.36</v>
      </c>
      <c r="CT2" s="3">
        <v>7.86</v>
      </c>
      <c r="CU2" s="3">
        <v>0.14000000000000001</v>
      </c>
      <c r="CV2" s="3">
        <v>13.29</v>
      </c>
      <c r="CW2" s="3">
        <v>14.31</v>
      </c>
      <c r="CX2" s="3">
        <v>16948</v>
      </c>
      <c r="CY2" s="3">
        <v>362.15</v>
      </c>
      <c r="CZ2" s="3">
        <v>16.649999999999999</v>
      </c>
      <c r="DA2" s="3">
        <v>7.0000000000000007E-2</v>
      </c>
    </row>
    <row r="3" spans="1:107" ht="15.75" customHeight="1" x14ac:dyDescent="0.25">
      <c r="A3" s="3" t="s">
        <v>113</v>
      </c>
      <c r="B3" s="3" t="s">
        <v>114</v>
      </c>
      <c r="C3" s="4" t="s">
        <v>115</v>
      </c>
      <c r="D3" s="4" t="s">
        <v>116</v>
      </c>
      <c r="E3" s="4" t="s">
        <v>106</v>
      </c>
      <c r="F3" s="3" t="s">
        <v>107</v>
      </c>
      <c r="G3" s="3" t="s">
        <v>108</v>
      </c>
      <c r="H3" s="3" t="s">
        <v>109</v>
      </c>
      <c r="I3" s="3" t="s">
        <v>117</v>
      </c>
      <c r="J3" s="3" t="s">
        <v>118</v>
      </c>
      <c r="K3" s="3" t="s">
        <v>119</v>
      </c>
      <c r="L3" s="3">
        <v>-22.3781</v>
      </c>
      <c r="M3" s="3">
        <v>-62.518500000000003</v>
      </c>
      <c r="N3" s="3">
        <v>0.85</v>
      </c>
      <c r="O3" s="3">
        <v>22</v>
      </c>
      <c r="P3" s="3">
        <v>856</v>
      </c>
      <c r="Q3" s="3">
        <v>193.8</v>
      </c>
      <c r="R3" s="3">
        <v>8.0619999999999994</v>
      </c>
      <c r="S3" s="3">
        <v>-85.8</v>
      </c>
      <c r="T3" s="3">
        <v>1168</v>
      </c>
      <c r="U3" s="3">
        <v>0.5</v>
      </c>
      <c r="V3" s="3">
        <v>25.6</v>
      </c>
      <c r="W3" s="3">
        <v>7.69</v>
      </c>
      <c r="X3" s="3">
        <v>96.9</v>
      </c>
      <c r="Y3" s="3">
        <v>910</v>
      </c>
      <c r="Z3" s="3">
        <v>4250</v>
      </c>
      <c r="AA3" s="3">
        <v>710</v>
      </c>
      <c r="AB3" s="3">
        <v>3440</v>
      </c>
      <c r="AC3" s="3">
        <v>6</v>
      </c>
      <c r="AD3" s="3">
        <v>272</v>
      </c>
      <c r="AE3" s="3"/>
      <c r="AF3" s="3">
        <v>107</v>
      </c>
      <c r="AG3" s="3">
        <v>198</v>
      </c>
      <c r="AH3" s="3">
        <v>173</v>
      </c>
      <c r="AI3" s="3">
        <v>68</v>
      </c>
      <c r="AJ3" s="3">
        <v>24</v>
      </c>
      <c r="AK3" s="3">
        <v>124</v>
      </c>
      <c r="AL3" s="3">
        <v>8.1999999999999993</v>
      </c>
      <c r="AM3" s="3"/>
      <c r="AN3" s="3"/>
      <c r="AO3" s="3"/>
      <c r="AP3" s="3"/>
      <c r="AQ3" s="3"/>
      <c r="AR3" s="3"/>
      <c r="AS3" s="3">
        <f>0.5*0.05</f>
        <v>2.5000000000000001E-2</v>
      </c>
      <c r="AT3" s="3">
        <f>0.5*0.03</f>
        <v>1.4999999999999999E-2</v>
      </c>
      <c r="AU3" s="3"/>
      <c r="AV3" s="3"/>
      <c r="AW3" s="3">
        <v>3</v>
      </c>
      <c r="AX3" s="3">
        <v>13</v>
      </c>
      <c r="AY3" s="3"/>
      <c r="AZ3" s="3"/>
      <c r="BA3" s="3"/>
      <c r="BB3" s="3"/>
      <c r="BC3" s="3"/>
      <c r="BD3" s="3"/>
      <c r="BE3" s="3">
        <f t="shared" si="0"/>
        <v>0.05</v>
      </c>
      <c r="BF3" s="3">
        <v>1</v>
      </c>
      <c r="BG3" s="3">
        <f t="shared" si="1"/>
        <v>0.05</v>
      </c>
      <c r="BH3" s="3">
        <f t="shared" ref="BH3:BH7" si="9">0.5*1</f>
        <v>0.5</v>
      </c>
      <c r="BI3" s="3">
        <v>0.5</v>
      </c>
      <c r="BJ3" s="3">
        <v>5</v>
      </c>
      <c r="BK3" s="3">
        <v>2</v>
      </c>
      <c r="BL3" s="3">
        <v>2</v>
      </c>
      <c r="BM3" s="3">
        <v>0.4</v>
      </c>
      <c r="BN3" s="3">
        <v>2</v>
      </c>
      <c r="BO3" s="3">
        <f t="shared" si="2"/>
        <v>0.05</v>
      </c>
      <c r="BP3" s="3">
        <f t="shared" si="3"/>
        <v>0.1</v>
      </c>
      <c r="BQ3" s="3">
        <f t="shared" si="4"/>
        <v>0.05</v>
      </c>
      <c r="BR3" s="3">
        <f t="shared" si="5"/>
        <v>0.02</v>
      </c>
      <c r="BS3" s="3">
        <v>197</v>
      </c>
      <c r="BT3" s="3">
        <v>171</v>
      </c>
      <c r="BU3" s="3">
        <f t="shared" si="6"/>
        <v>1</v>
      </c>
      <c r="BV3" s="3">
        <v>49</v>
      </c>
      <c r="BW3" s="3">
        <v>1313</v>
      </c>
      <c r="BX3" s="3">
        <v>56</v>
      </c>
      <c r="BY3" s="3">
        <v>55</v>
      </c>
      <c r="BZ3" s="3">
        <v>193</v>
      </c>
      <c r="CA3" s="3">
        <v>25</v>
      </c>
      <c r="CB3" s="3">
        <f t="shared" ref="CB3:CB7" si="10">0.5*1</f>
        <v>0.5</v>
      </c>
      <c r="CC3" s="3">
        <v>54</v>
      </c>
      <c r="CD3" s="3">
        <f t="shared" ref="CD3:CD7" si="11">0.5*1</f>
        <v>0.5</v>
      </c>
      <c r="CE3" s="3">
        <f t="shared" si="7"/>
        <v>0.05</v>
      </c>
      <c r="CF3" s="3">
        <v>62028</v>
      </c>
      <c r="CG3" s="3">
        <v>422</v>
      </c>
      <c r="CH3" s="3">
        <f t="shared" si="8"/>
        <v>12.5</v>
      </c>
      <c r="CI3" s="3"/>
      <c r="CJ3" s="3"/>
      <c r="CK3" s="3"/>
      <c r="CL3" s="3"/>
      <c r="CM3" s="3"/>
      <c r="CN3" s="3"/>
      <c r="CO3" s="3"/>
      <c r="CP3" s="3">
        <v>55.99</v>
      </c>
      <c r="CQ3" s="3">
        <v>13.31</v>
      </c>
      <c r="CR3" s="3">
        <v>6.69</v>
      </c>
      <c r="CS3" s="3">
        <v>0.28999999999999998</v>
      </c>
      <c r="CT3" s="3">
        <v>72.97</v>
      </c>
      <c r="CU3" s="3"/>
      <c r="CV3" s="3">
        <v>15.41</v>
      </c>
      <c r="CW3" s="3">
        <v>14.1</v>
      </c>
      <c r="CX3" s="3">
        <v>17974.13</v>
      </c>
      <c r="CY3" s="3">
        <v>380.23</v>
      </c>
      <c r="CZ3" s="3">
        <v>15.7</v>
      </c>
      <c r="DA3" s="3"/>
    </row>
    <row r="4" spans="1:107" ht="15.75" customHeight="1" x14ac:dyDescent="0.25">
      <c r="A4" s="3" t="s">
        <v>120</v>
      </c>
      <c r="B4" s="3" t="s">
        <v>121</v>
      </c>
      <c r="C4" s="4" t="s">
        <v>122</v>
      </c>
      <c r="D4" s="4" t="s">
        <v>123</v>
      </c>
      <c r="E4" s="4" t="s">
        <v>106</v>
      </c>
      <c r="F4" s="3" t="s">
        <v>107</v>
      </c>
      <c r="G4" s="3" t="s">
        <v>108</v>
      </c>
      <c r="H4" s="3" t="s">
        <v>124</v>
      </c>
      <c r="I4" s="3" t="s">
        <v>125</v>
      </c>
      <c r="J4" s="3" t="s">
        <v>126</v>
      </c>
      <c r="K4" s="3" t="s">
        <v>127</v>
      </c>
      <c r="L4" s="3">
        <v>-21.2392</v>
      </c>
      <c r="M4" s="3">
        <v>-65.209400000000002</v>
      </c>
      <c r="N4" s="3">
        <v>0.17199999999999999</v>
      </c>
      <c r="O4" s="3">
        <v>0</v>
      </c>
      <c r="P4" s="3">
        <v>481</v>
      </c>
      <c r="Q4" s="3">
        <v>184</v>
      </c>
      <c r="R4" s="3">
        <v>8.032</v>
      </c>
      <c r="S4" s="3">
        <v>-81.099999999999994</v>
      </c>
      <c r="T4" s="3">
        <v>2080</v>
      </c>
      <c r="U4" s="3">
        <v>1</v>
      </c>
      <c r="V4" s="3">
        <v>23.1</v>
      </c>
      <c r="W4" s="3">
        <v>7.59</v>
      </c>
      <c r="X4" s="3">
        <v>118.5</v>
      </c>
      <c r="Y4" s="3">
        <v>14.8</v>
      </c>
      <c r="Z4" s="3">
        <v>1737</v>
      </c>
      <c r="AA4" s="3">
        <v>1710</v>
      </c>
      <c r="AB4" s="3">
        <v>27</v>
      </c>
      <c r="AC4" s="3"/>
      <c r="AD4" s="3">
        <v>866.8</v>
      </c>
      <c r="AE4" s="3">
        <v>15</v>
      </c>
      <c r="AF4" s="3">
        <v>200</v>
      </c>
      <c r="AG4" s="3">
        <v>132.4</v>
      </c>
      <c r="AH4" s="3">
        <v>594.70000000000005</v>
      </c>
      <c r="AI4" s="3">
        <v>194.6</v>
      </c>
      <c r="AJ4" s="3">
        <v>92.5</v>
      </c>
      <c r="AK4" s="3">
        <v>161.80000000000001</v>
      </c>
      <c r="AL4" s="3">
        <v>12.4</v>
      </c>
      <c r="AM4" s="3">
        <v>197.55</v>
      </c>
      <c r="AN4" s="3">
        <v>97.4</v>
      </c>
      <c r="AO4" s="3">
        <v>167.6</v>
      </c>
      <c r="AP4" s="3">
        <v>14.5</v>
      </c>
      <c r="AQ4" s="3"/>
      <c r="AR4" s="3"/>
      <c r="AS4" s="3"/>
      <c r="AT4" s="3"/>
      <c r="AU4" s="3"/>
      <c r="AV4" s="3"/>
      <c r="AW4" s="3">
        <v>11</v>
      </c>
      <c r="AX4" s="3">
        <v>16</v>
      </c>
      <c r="AY4" s="3"/>
      <c r="AZ4" s="3"/>
      <c r="BA4" s="3"/>
      <c r="BB4" s="3"/>
      <c r="BC4" s="3"/>
      <c r="BD4" s="3"/>
      <c r="BE4" s="3">
        <f t="shared" si="0"/>
        <v>0.05</v>
      </c>
      <c r="BF4" s="3">
        <f t="shared" ref="BF4:BF7" si="12">0.5*1</f>
        <v>0.5</v>
      </c>
      <c r="BG4" s="3">
        <f t="shared" si="1"/>
        <v>0.05</v>
      </c>
      <c r="BH4" s="3">
        <f t="shared" si="9"/>
        <v>0.5</v>
      </c>
      <c r="BI4" s="3">
        <v>0.2</v>
      </c>
      <c r="BJ4" s="3">
        <v>292</v>
      </c>
      <c r="BK4" s="3">
        <v>7</v>
      </c>
      <c r="BL4" s="3">
        <f t="shared" ref="BL4:BL6" si="13">0.5*2</f>
        <v>1</v>
      </c>
      <c r="BM4" s="3">
        <v>3</v>
      </c>
      <c r="BN4" s="3">
        <v>3</v>
      </c>
      <c r="BO4" s="3">
        <f t="shared" si="2"/>
        <v>0.05</v>
      </c>
      <c r="BP4" s="3">
        <f t="shared" si="3"/>
        <v>0.1</v>
      </c>
      <c r="BQ4" s="3">
        <f t="shared" si="4"/>
        <v>0.05</v>
      </c>
      <c r="BR4" s="3">
        <f t="shared" si="5"/>
        <v>0.02</v>
      </c>
      <c r="BS4" s="3">
        <v>677</v>
      </c>
      <c r="BT4" s="3">
        <v>3360</v>
      </c>
      <c r="BU4" s="3">
        <f t="shared" si="6"/>
        <v>1</v>
      </c>
      <c r="BV4" s="3">
        <f t="shared" ref="BV4:BV6" si="14">0.5*3</f>
        <v>1.5</v>
      </c>
      <c r="BW4" s="3">
        <v>411</v>
      </c>
      <c r="BX4" s="3">
        <f t="shared" ref="BX4:BZ4" si="15">0.5*25</f>
        <v>12.5</v>
      </c>
      <c r="BY4" s="3">
        <f t="shared" si="15"/>
        <v>12.5</v>
      </c>
      <c r="BZ4" s="3">
        <f t="shared" si="15"/>
        <v>12.5</v>
      </c>
      <c r="CA4" s="3">
        <v>4</v>
      </c>
      <c r="CB4" s="3">
        <f t="shared" si="10"/>
        <v>0.5</v>
      </c>
      <c r="CC4" s="3">
        <f t="shared" ref="CC4:CC5" si="16">0.5*3</f>
        <v>1.5</v>
      </c>
      <c r="CD4" s="3">
        <f t="shared" si="11"/>
        <v>0.5</v>
      </c>
      <c r="CE4" s="3">
        <f t="shared" si="7"/>
        <v>0.05</v>
      </c>
      <c r="CF4" s="3">
        <v>1443</v>
      </c>
      <c r="CG4" s="3">
        <v>4800</v>
      </c>
      <c r="CH4" s="3">
        <f t="shared" si="8"/>
        <v>12.5</v>
      </c>
      <c r="CI4" s="3"/>
      <c r="CJ4" s="3"/>
      <c r="CK4" s="3">
        <f t="shared" ref="CK4:CK15" si="17">0.5*0.001</f>
        <v>5.0000000000000001E-4</v>
      </c>
      <c r="CL4" s="3"/>
      <c r="CM4" s="3"/>
      <c r="CN4" s="3"/>
      <c r="CO4" s="3"/>
      <c r="CP4" s="3"/>
      <c r="CQ4" s="3"/>
      <c r="CR4" s="3">
        <v>37.04</v>
      </c>
      <c r="CS4" s="3"/>
      <c r="CT4" s="3">
        <v>53333.33</v>
      </c>
      <c r="CU4" s="3"/>
      <c r="CV4" s="3"/>
      <c r="CW4" s="3"/>
      <c r="CX4" s="3">
        <v>28370.37</v>
      </c>
      <c r="CY4" s="3">
        <v>4407.41</v>
      </c>
      <c r="CZ4" s="3"/>
      <c r="DA4" s="3"/>
    </row>
    <row r="5" spans="1:107" ht="15.75" customHeight="1" x14ac:dyDescent="0.25">
      <c r="A5" s="3" t="s">
        <v>128</v>
      </c>
      <c r="B5" s="3" t="s">
        <v>129</v>
      </c>
      <c r="C5" s="4" t="s">
        <v>122</v>
      </c>
      <c r="D5" s="4" t="s">
        <v>130</v>
      </c>
      <c r="E5" s="4" t="s">
        <v>106</v>
      </c>
      <c r="F5" s="3" t="s">
        <v>107</v>
      </c>
      <c r="G5" s="3" t="s">
        <v>108</v>
      </c>
      <c r="H5" s="3" t="s">
        <v>131</v>
      </c>
      <c r="I5" s="3" t="s">
        <v>132</v>
      </c>
      <c r="J5" s="3" t="s">
        <v>133</v>
      </c>
      <c r="K5" s="3" t="s">
        <v>134</v>
      </c>
      <c r="L5" s="3">
        <v>-20.7422</v>
      </c>
      <c r="M5" s="3">
        <v>-65.240600000000001</v>
      </c>
      <c r="N5" s="3">
        <v>0.377</v>
      </c>
      <c r="O5" s="3">
        <v>2</v>
      </c>
      <c r="P5" s="3">
        <v>715</v>
      </c>
      <c r="Q5" s="3">
        <v>171.6</v>
      </c>
      <c r="R5" s="3">
        <v>8.4130000000000003</v>
      </c>
      <c r="S5" s="3">
        <v>-101.5</v>
      </c>
      <c r="T5" s="3">
        <v>1398</v>
      </c>
      <c r="U5" s="3">
        <v>0.7</v>
      </c>
      <c r="V5" s="3">
        <v>18.100000000000001</v>
      </c>
      <c r="W5" s="3">
        <v>7.76</v>
      </c>
      <c r="X5" s="3">
        <v>109.2</v>
      </c>
      <c r="Y5" s="3">
        <v>8.56</v>
      </c>
      <c r="Z5" s="3">
        <v>1109</v>
      </c>
      <c r="AA5" s="3">
        <v>1086</v>
      </c>
      <c r="AB5" s="3">
        <v>23</v>
      </c>
      <c r="AC5" s="3"/>
      <c r="AD5" s="3">
        <v>409.8</v>
      </c>
      <c r="AE5" s="3">
        <v>10</v>
      </c>
      <c r="AF5" s="3">
        <v>155</v>
      </c>
      <c r="AG5" s="3">
        <v>56.9</v>
      </c>
      <c r="AH5" s="3">
        <v>470.8</v>
      </c>
      <c r="AI5" s="3">
        <v>74.3</v>
      </c>
      <c r="AJ5" s="3">
        <v>54.47</v>
      </c>
      <c r="AK5" s="3">
        <v>91.9</v>
      </c>
      <c r="AL5" s="3">
        <v>11.3</v>
      </c>
      <c r="AM5" s="3">
        <v>77.25</v>
      </c>
      <c r="AN5" s="3">
        <v>59.36</v>
      </c>
      <c r="AO5" s="3">
        <v>91.9</v>
      </c>
      <c r="AP5" s="3">
        <v>12.4</v>
      </c>
      <c r="AQ5" s="3"/>
      <c r="AR5" s="3"/>
      <c r="AS5" s="3"/>
      <c r="AT5" s="3"/>
      <c r="AU5" s="3"/>
      <c r="AV5" s="3"/>
      <c r="AW5" s="3">
        <f>0.5*5</f>
        <v>2.5</v>
      </c>
      <c r="AX5" s="3">
        <f>0.5*2</f>
        <v>1</v>
      </c>
      <c r="AY5" s="3"/>
      <c r="AZ5" s="3"/>
      <c r="BA5" s="3"/>
      <c r="BB5" s="3"/>
      <c r="BC5" s="3"/>
      <c r="BD5" s="3"/>
      <c r="BE5" s="3">
        <f t="shared" si="0"/>
        <v>0.05</v>
      </c>
      <c r="BF5" s="3">
        <f t="shared" si="12"/>
        <v>0.5</v>
      </c>
      <c r="BG5" s="3">
        <f t="shared" si="1"/>
        <v>0.05</v>
      </c>
      <c r="BH5" s="3">
        <f t="shared" si="9"/>
        <v>0.5</v>
      </c>
      <c r="BI5" s="3">
        <v>1</v>
      </c>
      <c r="BJ5" s="3">
        <v>87</v>
      </c>
      <c r="BK5" s="3">
        <v>3</v>
      </c>
      <c r="BL5" s="3">
        <f t="shared" si="13"/>
        <v>1</v>
      </c>
      <c r="BM5" s="3">
        <v>2</v>
      </c>
      <c r="BN5" s="3">
        <v>6</v>
      </c>
      <c r="BO5" s="3">
        <f t="shared" si="2"/>
        <v>0.05</v>
      </c>
      <c r="BP5" s="3">
        <f t="shared" si="3"/>
        <v>0.1</v>
      </c>
      <c r="BQ5" s="3">
        <f t="shared" si="4"/>
        <v>0.05</v>
      </c>
      <c r="BR5" s="3">
        <f t="shared" si="5"/>
        <v>0.02</v>
      </c>
      <c r="BS5" s="3">
        <v>265</v>
      </c>
      <c r="BT5" s="3">
        <v>1346</v>
      </c>
      <c r="BU5" s="3">
        <f t="shared" si="6"/>
        <v>1</v>
      </c>
      <c r="BV5" s="3">
        <f t="shared" si="14"/>
        <v>1.5</v>
      </c>
      <c r="BW5" s="3">
        <v>178</v>
      </c>
      <c r="BX5" s="3">
        <f t="shared" ref="BX5:BZ5" si="18">0.5*25</f>
        <v>12.5</v>
      </c>
      <c r="BY5" s="3">
        <f t="shared" si="18"/>
        <v>12.5</v>
      </c>
      <c r="BZ5" s="3">
        <f t="shared" si="18"/>
        <v>12.5</v>
      </c>
      <c r="CA5" s="3">
        <v>7</v>
      </c>
      <c r="CB5" s="3">
        <f t="shared" si="10"/>
        <v>0.5</v>
      </c>
      <c r="CC5" s="3">
        <f t="shared" si="16"/>
        <v>1.5</v>
      </c>
      <c r="CD5" s="3">
        <f t="shared" si="11"/>
        <v>0.5</v>
      </c>
      <c r="CE5" s="3">
        <f t="shared" si="7"/>
        <v>0.05</v>
      </c>
      <c r="CF5" s="3">
        <v>680</v>
      </c>
      <c r="CG5" s="3">
        <v>2067</v>
      </c>
      <c r="CH5" s="3">
        <f t="shared" si="8"/>
        <v>12.5</v>
      </c>
      <c r="CI5" s="3"/>
      <c r="CJ5" s="3"/>
      <c r="CK5" s="3">
        <f t="shared" si="17"/>
        <v>5.0000000000000001E-4</v>
      </c>
      <c r="CL5" s="3"/>
      <c r="CM5" s="3"/>
      <c r="CN5" s="3"/>
      <c r="CO5" s="3"/>
      <c r="CP5" s="3"/>
      <c r="CQ5" s="3"/>
      <c r="CR5" s="3">
        <v>43.48</v>
      </c>
      <c r="CS5" s="3"/>
      <c r="CT5" s="3">
        <v>31347.83</v>
      </c>
      <c r="CU5" s="3"/>
      <c r="CV5" s="3"/>
      <c r="CW5" s="3"/>
      <c r="CX5" s="3">
        <v>18043.48</v>
      </c>
      <c r="CY5" s="3">
        <v>3956.52</v>
      </c>
      <c r="CZ5" s="3"/>
      <c r="DA5" s="3"/>
    </row>
    <row r="6" spans="1:107" ht="15.75" customHeight="1" x14ac:dyDescent="0.25">
      <c r="A6" s="3" t="s">
        <v>135</v>
      </c>
      <c r="B6" s="3" t="s">
        <v>136</v>
      </c>
      <c r="C6" s="4" t="s">
        <v>137</v>
      </c>
      <c r="D6" s="4" t="s">
        <v>138</v>
      </c>
      <c r="E6" s="4" t="s">
        <v>106</v>
      </c>
      <c r="F6" s="3" t="s">
        <v>107</v>
      </c>
      <c r="G6" s="3" t="s">
        <v>108</v>
      </c>
      <c r="H6" s="3" t="s">
        <v>139</v>
      </c>
      <c r="J6" s="3" t="s">
        <v>140</v>
      </c>
      <c r="K6" s="3" t="s">
        <v>141</v>
      </c>
      <c r="L6" s="3">
        <v>-19.136500000000002</v>
      </c>
      <c r="M6" s="3">
        <v>-65.567800000000005</v>
      </c>
      <c r="N6" s="3">
        <v>0.5</v>
      </c>
      <c r="O6" s="3">
        <v>0</v>
      </c>
      <c r="P6" s="3">
        <v>1150</v>
      </c>
      <c r="Q6" s="3"/>
      <c r="R6" s="3">
        <v>8.3670000000000009</v>
      </c>
      <c r="S6" s="3">
        <v>-101.9</v>
      </c>
      <c r="T6" s="3">
        <v>871</v>
      </c>
      <c r="U6" s="3">
        <v>0.35</v>
      </c>
      <c r="V6" s="3">
        <v>26.95</v>
      </c>
      <c r="W6" s="3">
        <v>5.63</v>
      </c>
      <c r="X6" s="3">
        <v>100.6</v>
      </c>
      <c r="Y6" s="3">
        <v>48.8</v>
      </c>
      <c r="Z6" s="3">
        <v>629</v>
      </c>
      <c r="AA6" s="3">
        <v>562</v>
      </c>
      <c r="AB6" s="3">
        <v>67</v>
      </c>
      <c r="AC6" s="3"/>
      <c r="AD6" s="3">
        <v>225.5</v>
      </c>
      <c r="AE6" s="3">
        <v>15</v>
      </c>
      <c r="AF6" s="3">
        <v>230</v>
      </c>
      <c r="AG6" s="3">
        <v>16.100000000000001</v>
      </c>
      <c r="AH6" s="3">
        <v>146.5</v>
      </c>
      <c r="AI6" s="3">
        <v>38.32</v>
      </c>
      <c r="AJ6" s="3">
        <v>31.49</v>
      </c>
      <c r="AK6" s="3">
        <v>32.9</v>
      </c>
      <c r="AL6" s="3">
        <v>13.1</v>
      </c>
      <c r="AM6" s="3">
        <v>38.380000000000003</v>
      </c>
      <c r="AN6" s="3">
        <v>33</v>
      </c>
      <c r="AO6" s="3">
        <v>33.299999999999997</v>
      </c>
      <c r="AP6" s="3">
        <v>14.1</v>
      </c>
      <c r="AQ6" s="3"/>
      <c r="AR6" s="3"/>
      <c r="AS6" s="3"/>
      <c r="AT6" s="3"/>
      <c r="AU6" s="3"/>
      <c r="AV6" s="3"/>
      <c r="AW6" s="3">
        <v>6</v>
      </c>
      <c r="AX6" s="3">
        <v>9</v>
      </c>
      <c r="AY6" s="3"/>
      <c r="AZ6" s="3"/>
      <c r="BA6" s="3"/>
      <c r="BB6" s="3"/>
      <c r="BC6" s="3"/>
      <c r="BD6" s="3"/>
      <c r="BE6" s="3">
        <f t="shared" si="0"/>
        <v>0.05</v>
      </c>
      <c r="BF6" s="3">
        <f t="shared" si="12"/>
        <v>0.5</v>
      </c>
      <c r="BG6" s="3">
        <f t="shared" si="1"/>
        <v>0.05</v>
      </c>
      <c r="BH6" s="3">
        <f t="shared" si="9"/>
        <v>0.5</v>
      </c>
      <c r="BI6" s="3">
        <v>1</v>
      </c>
      <c r="BJ6" s="3">
        <v>43</v>
      </c>
      <c r="BK6" s="3">
        <v>2</v>
      </c>
      <c r="BL6" s="3">
        <f t="shared" si="13"/>
        <v>1</v>
      </c>
      <c r="BM6" s="3">
        <v>1</v>
      </c>
      <c r="BN6" s="3">
        <v>0.2</v>
      </c>
      <c r="BO6" s="3">
        <f t="shared" si="2"/>
        <v>0.05</v>
      </c>
      <c r="BP6" s="3">
        <f t="shared" si="3"/>
        <v>0.1</v>
      </c>
      <c r="BQ6" s="3">
        <f t="shared" si="4"/>
        <v>0.05</v>
      </c>
      <c r="BR6" s="3">
        <f t="shared" si="5"/>
        <v>0.02</v>
      </c>
      <c r="BS6" s="3">
        <v>182</v>
      </c>
      <c r="BT6" s="3">
        <v>184</v>
      </c>
      <c r="BU6" s="3">
        <f t="shared" si="6"/>
        <v>1</v>
      </c>
      <c r="BV6" s="3">
        <f t="shared" si="14"/>
        <v>1.5</v>
      </c>
      <c r="BW6" s="3">
        <v>96</v>
      </c>
      <c r="BX6" s="3">
        <f t="shared" ref="BX6:BX7" si="19">0.5*25</f>
        <v>12.5</v>
      </c>
      <c r="BY6" s="3">
        <v>49</v>
      </c>
      <c r="BZ6" s="3">
        <v>39</v>
      </c>
      <c r="CA6" s="3">
        <f>0.5*3</f>
        <v>1.5</v>
      </c>
      <c r="CB6" s="3">
        <f t="shared" si="10"/>
        <v>0.5</v>
      </c>
      <c r="CC6" s="3">
        <v>5</v>
      </c>
      <c r="CD6" s="3">
        <f t="shared" si="11"/>
        <v>0.5</v>
      </c>
      <c r="CE6" s="3">
        <f t="shared" si="7"/>
        <v>0.05</v>
      </c>
      <c r="CF6" s="3">
        <v>1545</v>
      </c>
      <c r="CG6" s="3">
        <v>363</v>
      </c>
      <c r="CH6" s="3">
        <f t="shared" si="8"/>
        <v>12.5</v>
      </c>
      <c r="CI6" s="3"/>
      <c r="CJ6" s="3"/>
      <c r="CK6" s="3">
        <f t="shared" si="17"/>
        <v>5.0000000000000001E-4</v>
      </c>
      <c r="CL6" s="3"/>
      <c r="CM6" s="3"/>
      <c r="CN6" s="3"/>
      <c r="CO6" s="3"/>
      <c r="CP6" s="3">
        <v>567.16</v>
      </c>
      <c r="CQ6" s="3"/>
      <c r="CR6" s="3"/>
      <c r="CS6" s="3"/>
      <c r="CT6" s="3">
        <v>2671.64</v>
      </c>
      <c r="CU6" s="3"/>
      <c r="CV6" s="3">
        <v>731.34</v>
      </c>
      <c r="CW6" s="3"/>
      <c r="CX6" s="3">
        <v>20343.28</v>
      </c>
      <c r="CY6" s="3">
        <v>791.04</v>
      </c>
      <c r="CZ6" s="3"/>
      <c r="DA6" s="3"/>
    </row>
    <row r="7" spans="1:107" ht="15.75" customHeight="1" x14ac:dyDescent="0.25">
      <c r="A7" s="3" t="s">
        <v>142</v>
      </c>
      <c r="B7" s="3" t="s">
        <v>143</v>
      </c>
      <c r="C7" s="4" t="s">
        <v>137</v>
      </c>
      <c r="D7" s="4" t="s">
        <v>123</v>
      </c>
      <c r="E7" s="4" t="s">
        <v>106</v>
      </c>
      <c r="F7" s="3" t="s">
        <v>107</v>
      </c>
      <c r="G7" s="3" t="s">
        <v>108</v>
      </c>
      <c r="H7" s="3" t="s">
        <v>109</v>
      </c>
      <c r="J7" s="3" t="s">
        <v>144</v>
      </c>
      <c r="K7" s="3" t="s">
        <v>145</v>
      </c>
      <c r="L7" s="3">
        <v>-19.1326</v>
      </c>
      <c r="M7" s="3">
        <v>-65.573499999999996</v>
      </c>
      <c r="N7" s="3">
        <v>0.67200000000000004</v>
      </c>
      <c r="O7" s="3">
        <v>3</v>
      </c>
      <c r="P7" s="3">
        <v>819</v>
      </c>
      <c r="Q7" s="3">
        <v>167</v>
      </c>
      <c r="R7" s="3">
        <v>8.6449999999999996</v>
      </c>
      <c r="S7" s="3">
        <v>-116.2</v>
      </c>
      <c r="T7" s="3">
        <v>1222</v>
      </c>
      <c r="U7" s="3">
        <v>0.6</v>
      </c>
      <c r="V7" s="3">
        <v>21.9</v>
      </c>
      <c r="W7" s="3">
        <v>7.04</v>
      </c>
      <c r="X7" s="3">
        <v>114</v>
      </c>
      <c r="Y7" s="3">
        <v>125</v>
      </c>
      <c r="Z7" s="3">
        <v>849</v>
      </c>
      <c r="AA7" s="3">
        <v>728</v>
      </c>
      <c r="AB7" s="3">
        <v>121</v>
      </c>
      <c r="AC7" s="3"/>
      <c r="AD7" s="3">
        <v>151.1</v>
      </c>
      <c r="AE7" s="3">
        <v>10</v>
      </c>
      <c r="AF7" s="3">
        <v>155</v>
      </c>
      <c r="AG7" s="3">
        <v>215</v>
      </c>
      <c r="AH7" s="3">
        <v>74.7</v>
      </c>
      <c r="AI7" s="3">
        <v>29.01</v>
      </c>
      <c r="AJ7" s="3">
        <v>19.059999999999999</v>
      </c>
      <c r="AK7" s="3">
        <v>180.8</v>
      </c>
      <c r="AL7" s="3">
        <v>16.7</v>
      </c>
      <c r="AM7" s="3">
        <v>29.08</v>
      </c>
      <c r="AN7" s="3">
        <v>20.190000000000001</v>
      </c>
      <c r="AO7" s="3">
        <v>195.6</v>
      </c>
      <c r="AP7" s="3">
        <v>21.2</v>
      </c>
      <c r="AQ7" s="3"/>
      <c r="AR7" s="3"/>
      <c r="AS7" s="3"/>
      <c r="AT7" s="3"/>
      <c r="AU7" s="3"/>
      <c r="AV7" s="3"/>
      <c r="AW7" s="3">
        <f>0.5*5</f>
        <v>2.5</v>
      </c>
      <c r="AX7" s="3">
        <f>0.5*2</f>
        <v>1</v>
      </c>
      <c r="AY7" s="3"/>
      <c r="AZ7" s="3"/>
      <c r="BA7" s="3"/>
      <c r="BB7" s="3"/>
      <c r="BC7" s="3"/>
      <c r="BD7" s="3"/>
      <c r="BE7" s="3">
        <f t="shared" si="0"/>
        <v>0.05</v>
      </c>
      <c r="BF7" s="3">
        <f t="shared" si="12"/>
        <v>0.5</v>
      </c>
      <c r="BG7" s="3">
        <v>0.1</v>
      </c>
      <c r="BH7" s="3">
        <f t="shared" si="9"/>
        <v>0.5</v>
      </c>
      <c r="BI7" s="3">
        <v>1</v>
      </c>
      <c r="BJ7" s="3">
        <v>18</v>
      </c>
      <c r="BK7" s="3">
        <v>2</v>
      </c>
      <c r="BL7" s="3">
        <v>2</v>
      </c>
      <c r="BM7" s="3">
        <v>5</v>
      </c>
      <c r="BN7" s="3">
        <v>16</v>
      </c>
      <c r="BO7" s="3">
        <f t="shared" si="2"/>
        <v>0.05</v>
      </c>
      <c r="BP7" s="3">
        <f t="shared" si="3"/>
        <v>0.1</v>
      </c>
      <c r="BQ7" s="3">
        <f t="shared" si="4"/>
        <v>0.05</v>
      </c>
      <c r="BR7" s="3">
        <f t="shared" si="5"/>
        <v>0.02</v>
      </c>
      <c r="BS7" s="3">
        <v>138</v>
      </c>
      <c r="BT7" s="3">
        <v>1686</v>
      </c>
      <c r="BU7" s="3">
        <f t="shared" si="6"/>
        <v>1</v>
      </c>
      <c r="BV7" s="3">
        <v>11</v>
      </c>
      <c r="BW7" s="3">
        <v>192</v>
      </c>
      <c r="BX7" s="3">
        <f t="shared" si="19"/>
        <v>12.5</v>
      </c>
      <c r="BY7" s="3">
        <v>27</v>
      </c>
      <c r="BZ7" s="3">
        <v>202</v>
      </c>
      <c r="CA7" s="3">
        <v>29</v>
      </c>
      <c r="CB7" s="3">
        <f t="shared" si="10"/>
        <v>0.5</v>
      </c>
      <c r="CC7" s="3">
        <v>12</v>
      </c>
      <c r="CD7" s="3">
        <f t="shared" si="11"/>
        <v>0.5</v>
      </c>
      <c r="CE7" s="3">
        <f t="shared" si="7"/>
        <v>0.05</v>
      </c>
      <c r="CF7" s="3">
        <v>4404</v>
      </c>
      <c r="CG7" s="3">
        <v>2969</v>
      </c>
      <c r="CH7" s="3">
        <f t="shared" si="8"/>
        <v>12.5</v>
      </c>
      <c r="CI7" s="3"/>
      <c r="CJ7" s="3"/>
      <c r="CK7" s="3">
        <f t="shared" si="17"/>
        <v>5.0000000000000001E-4</v>
      </c>
      <c r="CL7" s="3"/>
      <c r="CM7" s="3"/>
      <c r="CN7" s="3"/>
      <c r="CO7" s="3"/>
      <c r="CP7" s="3">
        <v>1628.1</v>
      </c>
      <c r="CQ7" s="3"/>
      <c r="CR7" s="3">
        <v>107.44</v>
      </c>
      <c r="CS7" s="3"/>
      <c r="CT7" s="3">
        <v>10603.31</v>
      </c>
      <c r="CU7" s="3"/>
      <c r="CV7" s="3">
        <v>206.61</v>
      </c>
      <c r="CW7" s="3">
        <v>82.64</v>
      </c>
      <c r="CX7" s="3">
        <v>35256.199999999997</v>
      </c>
      <c r="CY7" s="3">
        <v>1438.02</v>
      </c>
      <c r="CZ7" s="3"/>
      <c r="DA7" s="3"/>
    </row>
    <row r="8" spans="1:107" ht="15.75" customHeight="1" x14ac:dyDescent="0.25">
      <c r="A8" s="3" t="s">
        <v>146</v>
      </c>
      <c r="B8" s="3" t="s">
        <v>147</v>
      </c>
      <c r="C8" s="4" t="s">
        <v>148</v>
      </c>
      <c r="D8" s="4" t="s">
        <v>149</v>
      </c>
      <c r="E8" s="4" t="s">
        <v>106</v>
      </c>
      <c r="F8" s="3" t="s">
        <v>107</v>
      </c>
      <c r="G8" s="3" t="s">
        <v>108</v>
      </c>
      <c r="H8" s="3" t="s">
        <v>146</v>
      </c>
      <c r="I8" s="3" t="s">
        <v>150</v>
      </c>
      <c r="J8" s="3" t="s">
        <v>151</v>
      </c>
      <c r="K8" s="3" t="s">
        <v>152</v>
      </c>
      <c r="L8" s="3">
        <v>-19.471800000000002</v>
      </c>
      <c r="M8" s="3">
        <v>-65.794399999999996</v>
      </c>
      <c r="N8" s="3">
        <v>0.27100000000000002</v>
      </c>
      <c r="O8" s="3">
        <v>0</v>
      </c>
      <c r="P8" s="3"/>
      <c r="Q8" s="3"/>
      <c r="R8" s="3">
        <v>7.6470000000000002</v>
      </c>
      <c r="S8" s="3">
        <v>-47.3</v>
      </c>
      <c r="T8" s="3">
        <v>1917</v>
      </c>
      <c r="U8" s="3">
        <v>0.9</v>
      </c>
      <c r="V8" s="3">
        <v>22.8</v>
      </c>
      <c r="W8" s="3">
        <v>4.3600000000000003</v>
      </c>
      <c r="X8" s="3">
        <v>69</v>
      </c>
      <c r="Y8" s="3"/>
      <c r="Z8" s="3">
        <v>1366</v>
      </c>
      <c r="AA8" s="3">
        <v>1236</v>
      </c>
      <c r="AB8" s="3">
        <v>130</v>
      </c>
      <c r="AC8" s="3"/>
      <c r="AD8" s="3">
        <v>502.6</v>
      </c>
      <c r="AE8" s="3">
        <v>15</v>
      </c>
      <c r="AF8" s="3">
        <v>205</v>
      </c>
      <c r="AG8" s="3">
        <v>185.5</v>
      </c>
      <c r="AH8" s="3">
        <v>487.9</v>
      </c>
      <c r="AI8" s="3">
        <v>157.82</v>
      </c>
      <c r="AJ8" s="3">
        <v>25.47</v>
      </c>
      <c r="AK8" s="3">
        <v>177.9</v>
      </c>
      <c r="AL8" s="3">
        <v>35.200000000000003</v>
      </c>
      <c r="AM8" s="3">
        <v>159.28</v>
      </c>
      <c r="AN8" s="3">
        <v>25.84</v>
      </c>
      <c r="AO8" s="3">
        <v>177.9</v>
      </c>
      <c r="AP8" s="3">
        <v>37.299999999999997</v>
      </c>
      <c r="AQ8" s="3"/>
      <c r="AR8" s="3"/>
      <c r="AS8" s="3"/>
      <c r="AT8" s="3"/>
      <c r="AU8" s="3"/>
      <c r="AV8" s="3"/>
      <c r="AW8" s="3">
        <v>24</v>
      </c>
      <c r="AX8" s="3">
        <v>32</v>
      </c>
      <c r="AY8" s="3"/>
      <c r="AZ8" s="3"/>
      <c r="BA8" s="3"/>
      <c r="BB8" s="3"/>
      <c r="BC8" s="3"/>
      <c r="BD8" s="3"/>
      <c r="BE8" s="3">
        <f t="shared" si="0"/>
        <v>0.05</v>
      </c>
      <c r="BF8" s="3">
        <v>1</v>
      </c>
      <c r="BG8" s="3">
        <v>0.3</v>
      </c>
      <c r="BH8" s="3">
        <v>1</v>
      </c>
      <c r="BI8" s="3">
        <v>1</v>
      </c>
      <c r="BJ8" s="3">
        <v>1164</v>
      </c>
      <c r="BK8" s="3">
        <v>16</v>
      </c>
      <c r="BL8" s="3">
        <v>6</v>
      </c>
      <c r="BM8" s="3">
        <v>408</v>
      </c>
      <c r="BN8" s="3">
        <v>24</v>
      </c>
      <c r="BO8" s="3">
        <v>0.8</v>
      </c>
      <c r="BP8" s="3">
        <v>1</v>
      </c>
      <c r="BQ8" s="3">
        <f t="shared" si="4"/>
        <v>0.05</v>
      </c>
      <c r="BR8" s="3">
        <f t="shared" si="5"/>
        <v>0.02</v>
      </c>
      <c r="BS8" s="3">
        <v>626</v>
      </c>
      <c r="BT8" s="3">
        <v>255</v>
      </c>
      <c r="BU8" s="3">
        <f t="shared" si="6"/>
        <v>1</v>
      </c>
      <c r="BV8" s="3">
        <f t="shared" ref="BV8:BV10" si="20">0.5*3</f>
        <v>1.5</v>
      </c>
      <c r="BW8" s="3">
        <v>2160</v>
      </c>
      <c r="BX8" s="3">
        <v>27</v>
      </c>
      <c r="BY8" s="3">
        <v>73</v>
      </c>
      <c r="BZ8" s="3">
        <v>4107</v>
      </c>
      <c r="CA8" s="3">
        <v>175</v>
      </c>
      <c r="CB8" s="3">
        <v>10</v>
      </c>
      <c r="CC8" s="3">
        <v>524</v>
      </c>
      <c r="CD8" s="3">
        <v>3</v>
      </c>
      <c r="CE8" s="3">
        <f t="shared" si="7"/>
        <v>0.05</v>
      </c>
      <c r="CF8" s="3">
        <v>15370</v>
      </c>
      <c r="CG8" s="3">
        <v>716</v>
      </c>
      <c r="CH8" s="3">
        <f t="shared" si="8"/>
        <v>12.5</v>
      </c>
      <c r="CI8" s="3"/>
      <c r="CJ8" s="3"/>
      <c r="CK8" s="3">
        <f t="shared" si="17"/>
        <v>5.0000000000000001E-4</v>
      </c>
      <c r="CL8" s="3"/>
      <c r="CM8" s="3"/>
      <c r="CN8" s="3">
        <v>5.38</v>
      </c>
      <c r="CO8" s="3"/>
      <c r="CP8" s="3">
        <v>28453.85</v>
      </c>
      <c r="CQ8" s="3">
        <v>3760</v>
      </c>
      <c r="CR8" s="3">
        <v>1161.54</v>
      </c>
      <c r="CS8" s="3">
        <v>7.69</v>
      </c>
      <c r="CT8" s="3">
        <v>3546.15</v>
      </c>
      <c r="CU8" s="3">
        <v>70.77</v>
      </c>
      <c r="CV8" s="3">
        <v>515.38</v>
      </c>
      <c r="CW8" s="3"/>
      <c r="CX8" s="3">
        <v>113415.38</v>
      </c>
      <c r="CY8" s="3">
        <v>7661.54</v>
      </c>
      <c r="CZ8" s="3">
        <v>84.62</v>
      </c>
      <c r="DA8" s="3">
        <v>23.08</v>
      </c>
    </row>
    <row r="9" spans="1:107" ht="15.75" customHeight="1" x14ac:dyDescent="0.25">
      <c r="A9" s="3" t="s">
        <v>153</v>
      </c>
      <c r="B9" s="3" t="s">
        <v>154</v>
      </c>
      <c r="C9" s="4" t="s">
        <v>148</v>
      </c>
      <c r="D9" s="4" t="s">
        <v>155</v>
      </c>
      <c r="E9" s="4" t="s">
        <v>106</v>
      </c>
      <c r="F9" s="3" t="s">
        <v>107</v>
      </c>
      <c r="G9" s="3" t="s">
        <v>108</v>
      </c>
      <c r="H9" s="3" t="s">
        <v>156</v>
      </c>
      <c r="I9" s="3" t="s">
        <v>150</v>
      </c>
      <c r="J9" s="3" t="s">
        <v>157</v>
      </c>
      <c r="K9" s="3" t="s">
        <v>158</v>
      </c>
      <c r="L9" s="3">
        <v>-19.321300000000001</v>
      </c>
      <c r="M9" s="3">
        <v>-65.551900000000003</v>
      </c>
      <c r="N9" s="3">
        <v>0.45600000000000002</v>
      </c>
      <c r="O9" s="3">
        <v>0</v>
      </c>
      <c r="P9" s="3">
        <v>4360</v>
      </c>
      <c r="Q9" s="3">
        <v>132.6</v>
      </c>
      <c r="R9" s="3">
        <v>7.681</v>
      </c>
      <c r="S9" s="3">
        <v>-60.8</v>
      </c>
      <c r="T9" s="3">
        <v>230</v>
      </c>
      <c r="U9" s="3">
        <v>0</v>
      </c>
      <c r="V9" s="3">
        <v>21.2</v>
      </c>
      <c r="W9" s="3">
        <v>5.7</v>
      </c>
      <c r="X9" s="3">
        <v>100.4</v>
      </c>
      <c r="Y9" s="3">
        <v>20.3</v>
      </c>
      <c r="Z9" s="3">
        <v>137</v>
      </c>
      <c r="AA9" s="3">
        <v>108</v>
      </c>
      <c r="AB9" s="3">
        <v>29</v>
      </c>
      <c r="AC9" s="3"/>
      <c r="AD9" s="3">
        <v>84</v>
      </c>
      <c r="AE9" s="3">
        <f>0.5*5</f>
        <v>2.5</v>
      </c>
      <c r="AF9" s="3">
        <v>30</v>
      </c>
      <c r="AG9" s="3">
        <v>17.600000000000001</v>
      </c>
      <c r="AH9" s="3">
        <v>2.9</v>
      </c>
      <c r="AI9" s="3">
        <v>13.26</v>
      </c>
      <c r="AJ9" s="3">
        <v>12.29</v>
      </c>
      <c r="AK9" s="3">
        <v>2.1</v>
      </c>
      <c r="AL9" s="3">
        <v>1.7</v>
      </c>
      <c r="AM9" s="3">
        <v>13.38</v>
      </c>
      <c r="AN9" s="3">
        <v>13.42</v>
      </c>
      <c r="AO9" s="3">
        <v>2.1</v>
      </c>
      <c r="AP9" s="3">
        <v>1.9</v>
      </c>
      <c r="AQ9" s="3"/>
      <c r="AR9" s="3"/>
      <c r="AS9" s="3"/>
      <c r="AT9" s="3"/>
      <c r="AU9" s="3"/>
      <c r="AV9" s="3"/>
      <c r="AW9" s="3">
        <v>11</v>
      </c>
      <c r="AX9" s="3">
        <v>16</v>
      </c>
      <c r="AY9" s="3"/>
      <c r="AZ9" s="3"/>
      <c r="BA9" s="3"/>
      <c r="BB9" s="3"/>
      <c r="BC9" s="3"/>
      <c r="BD9" s="3"/>
      <c r="BE9" s="3">
        <f t="shared" si="0"/>
        <v>0.05</v>
      </c>
      <c r="BF9" s="3">
        <f>0.5*1</f>
        <v>0.5</v>
      </c>
      <c r="BG9" s="3">
        <f>0.5*0.1</f>
        <v>0.05</v>
      </c>
      <c r="BH9" s="3">
        <f t="shared" ref="BH9:BH38" si="21">0.5*1</f>
        <v>0.5</v>
      </c>
      <c r="BI9" s="3">
        <f>0.5*0.2</f>
        <v>0.1</v>
      </c>
      <c r="BJ9" s="3">
        <v>1175</v>
      </c>
      <c r="BK9" s="3">
        <v>5</v>
      </c>
      <c r="BL9" s="3">
        <f t="shared" ref="BL9:BL13" si="22">0.5*2</f>
        <v>1</v>
      </c>
      <c r="BM9" s="3">
        <v>79</v>
      </c>
      <c r="BN9" s="3">
        <f>0.5*0.2</f>
        <v>0.1</v>
      </c>
      <c r="BO9" s="3">
        <v>0.7</v>
      </c>
      <c r="BP9" s="3">
        <f t="shared" ref="BP9:BP31" si="23">0.5*0.2</f>
        <v>0.1</v>
      </c>
      <c r="BQ9" s="3">
        <f t="shared" si="4"/>
        <v>0.05</v>
      </c>
      <c r="BR9" s="3">
        <f t="shared" si="5"/>
        <v>0.02</v>
      </c>
      <c r="BS9" s="3">
        <v>69</v>
      </c>
      <c r="BT9" s="3">
        <v>53</v>
      </c>
      <c r="BU9" s="3">
        <f t="shared" si="6"/>
        <v>1</v>
      </c>
      <c r="BV9" s="3">
        <f t="shared" si="20"/>
        <v>1.5</v>
      </c>
      <c r="BW9" s="3">
        <v>1597</v>
      </c>
      <c r="BX9" s="3">
        <f t="shared" ref="BX9:BX22" si="24">0.5*25</f>
        <v>12.5</v>
      </c>
      <c r="BY9" s="3">
        <v>66</v>
      </c>
      <c r="BZ9" s="3">
        <v>340</v>
      </c>
      <c r="CA9" s="3">
        <f>0.5*3</f>
        <v>1.5</v>
      </c>
      <c r="CB9" s="3">
        <v>1</v>
      </c>
      <c r="CC9" s="3">
        <f>0.5*3</f>
        <v>1.5</v>
      </c>
      <c r="CD9" s="3">
        <f t="shared" ref="CD9:CD31" si="25">0.5*1</f>
        <v>0.5</v>
      </c>
      <c r="CE9" s="3">
        <f t="shared" si="7"/>
        <v>0.05</v>
      </c>
      <c r="CF9" s="3">
        <v>3719</v>
      </c>
      <c r="CG9" s="3">
        <v>117</v>
      </c>
      <c r="CH9" s="3">
        <f t="shared" si="8"/>
        <v>12.5</v>
      </c>
      <c r="CI9" s="3"/>
      <c r="CJ9" s="3"/>
      <c r="CK9" s="3">
        <f t="shared" si="17"/>
        <v>5.0000000000000001E-4</v>
      </c>
      <c r="CL9" s="3"/>
      <c r="CM9" s="3"/>
      <c r="CN9" s="3"/>
      <c r="CO9" s="3"/>
      <c r="CP9" s="3">
        <v>9000</v>
      </c>
      <c r="CQ9" s="3"/>
      <c r="CR9" s="3"/>
      <c r="CS9" s="3"/>
      <c r="CT9" s="3">
        <v>2206.9</v>
      </c>
      <c r="CU9" s="3">
        <v>10.34</v>
      </c>
      <c r="CV9" s="3">
        <v>2275.86</v>
      </c>
      <c r="CW9" s="3"/>
      <c r="CX9" s="3">
        <v>125862.07</v>
      </c>
      <c r="CY9" s="3">
        <v>14551.72</v>
      </c>
      <c r="CZ9" s="3"/>
      <c r="DA9" s="3"/>
    </row>
    <row r="10" spans="1:107" ht="15.75" customHeight="1" x14ac:dyDescent="0.25">
      <c r="A10" s="3" t="s">
        <v>159</v>
      </c>
      <c r="B10" s="3" t="s">
        <v>160</v>
      </c>
      <c r="C10" s="4" t="s">
        <v>161</v>
      </c>
      <c r="D10" s="4" t="s">
        <v>162</v>
      </c>
      <c r="E10" s="4" t="s">
        <v>163</v>
      </c>
      <c r="F10" s="3" t="s">
        <v>107</v>
      </c>
      <c r="G10" s="3" t="s">
        <v>108</v>
      </c>
      <c r="H10" s="3" t="s">
        <v>164</v>
      </c>
      <c r="J10" s="3" t="s">
        <v>165</v>
      </c>
      <c r="K10" s="3" t="s">
        <v>166</v>
      </c>
      <c r="L10" s="3">
        <v>-25.107399999999998</v>
      </c>
      <c r="M10" s="3">
        <v>-57.546700000000001</v>
      </c>
      <c r="N10" s="3"/>
      <c r="O10" s="3"/>
      <c r="P10" s="3"/>
      <c r="Q10" s="3"/>
      <c r="R10" s="3">
        <v>7.6559999999999997</v>
      </c>
      <c r="S10" s="3">
        <v>-59.1</v>
      </c>
      <c r="T10" s="3">
        <v>4230</v>
      </c>
      <c r="U10" s="3">
        <v>2.2999999999999998</v>
      </c>
      <c r="V10" s="3">
        <v>24</v>
      </c>
      <c r="W10" s="3">
        <v>7.24</v>
      </c>
      <c r="X10" s="3">
        <v>87.5</v>
      </c>
      <c r="Y10" s="3">
        <v>19.3</v>
      </c>
      <c r="Z10" s="3">
        <v>2558</v>
      </c>
      <c r="AA10" s="3">
        <v>2538.3000000000002</v>
      </c>
      <c r="AB10" s="3">
        <v>19.7</v>
      </c>
      <c r="AC10" s="3">
        <v>90</v>
      </c>
      <c r="AD10" s="3">
        <v>202.8</v>
      </c>
      <c r="AE10" s="3">
        <v>0</v>
      </c>
      <c r="AF10" s="3">
        <v>140.4</v>
      </c>
      <c r="AG10" s="3">
        <v>1054.0999999999999</v>
      </c>
      <c r="AH10" s="3">
        <v>288.3</v>
      </c>
      <c r="AI10" s="3">
        <v>35</v>
      </c>
      <c r="AJ10" s="3">
        <v>24</v>
      </c>
      <c r="AK10" s="3">
        <v>800.1</v>
      </c>
      <c r="AL10" s="3">
        <v>85.14</v>
      </c>
      <c r="AM10" s="3">
        <v>40</v>
      </c>
      <c r="AN10" s="3">
        <v>25</v>
      </c>
      <c r="AO10" s="3">
        <v>820.25</v>
      </c>
      <c r="AP10" s="3">
        <v>99.55</v>
      </c>
      <c r="AQ10" s="3">
        <v>0.33</v>
      </c>
      <c r="AR10" s="3">
        <v>0.22</v>
      </c>
      <c r="AS10" s="3">
        <v>0.41</v>
      </c>
      <c r="AT10" s="3">
        <v>3.2000000000000001E-2</v>
      </c>
      <c r="AU10" s="3">
        <v>0.17299999999999999</v>
      </c>
      <c r="AV10" s="3">
        <v>0.29799999999999999</v>
      </c>
      <c r="AW10" s="3">
        <v>7.8</v>
      </c>
      <c r="AX10" s="3">
        <v>55.9</v>
      </c>
      <c r="AY10" s="3"/>
      <c r="AZ10" s="3">
        <v>9800</v>
      </c>
      <c r="BA10" s="3">
        <v>80</v>
      </c>
      <c r="BB10" s="3"/>
      <c r="BC10" s="3"/>
      <c r="BD10" s="3"/>
      <c r="BE10" s="3">
        <f t="shared" ref="BE10:BE46" si="26">0.5*0.2</f>
        <v>0.1</v>
      </c>
      <c r="BF10" s="3">
        <f t="shared" ref="BF10:BF31" si="27">0.5*3</f>
        <v>1.5</v>
      </c>
      <c r="BG10" s="3">
        <v>0.1</v>
      </c>
      <c r="BH10" s="3">
        <f t="shared" si="21"/>
        <v>0.5</v>
      </c>
      <c r="BI10" s="3">
        <v>0.2</v>
      </c>
      <c r="BJ10" s="3">
        <v>236</v>
      </c>
      <c r="BK10" s="3">
        <v>33</v>
      </c>
      <c r="BL10" s="3">
        <f t="shared" si="22"/>
        <v>1</v>
      </c>
      <c r="BM10" s="3">
        <v>12</v>
      </c>
      <c r="BN10" s="3">
        <v>4</v>
      </c>
      <c r="BO10" s="3">
        <v>0.2</v>
      </c>
      <c r="BP10" s="3">
        <f t="shared" si="23"/>
        <v>0.1</v>
      </c>
      <c r="BQ10" s="3">
        <f t="shared" si="4"/>
        <v>0.05</v>
      </c>
      <c r="BR10" s="3"/>
      <c r="BS10" s="3">
        <v>400</v>
      </c>
      <c r="BT10" s="3"/>
      <c r="BU10" s="3">
        <f t="shared" si="6"/>
        <v>1</v>
      </c>
      <c r="BV10" s="3">
        <f t="shared" si="20"/>
        <v>1.5</v>
      </c>
      <c r="BW10" s="3">
        <v>550</v>
      </c>
      <c r="BX10" s="3">
        <f t="shared" si="24"/>
        <v>12.5</v>
      </c>
      <c r="BY10" s="3">
        <f>0.5*25</f>
        <v>12.5</v>
      </c>
      <c r="BZ10" s="3">
        <v>35</v>
      </c>
      <c r="CA10" s="3">
        <v>4</v>
      </c>
      <c r="CB10" s="3">
        <f t="shared" ref="CB10:CB31" si="28">0.5*1</f>
        <v>0.5</v>
      </c>
      <c r="CC10" s="3">
        <v>3</v>
      </c>
      <c r="CD10" s="3">
        <f t="shared" si="25"/>
        <v>0.5</v>
      </c>
      <c r="CE10" s="3"/>
      <c r="CF10" s="3">
        <v>1351</v>
      </c>
      <c r="CG10" s="3">
        <v>250</v>
      </c>
      <c r="CH10" s="3">
        <v>25</v>
      </c>
      <c r="CI10" s="3"/>
      <c r="CJ10" s="3"/>
      <c r="CK10" s="3">
        <f t="shared" si="17"/>
        <v>5.0000000000000001E-4</v>
      </c>
      <c r="CL10" s="3">
        <f t="shared" ref="CL10:CL15" si="29">0.5*0.001</f>
        <v>5.0000000000000001E-4</v>
      </c>
      <c r="CM10" s="3">
        <v>0.74</v>
      </c>
      <c r="CN10" s="3"/>
      <c r="CO10" s="3">
        <v>1269.04</v>
      </c>
      <c r="CP10" s="3">
        <v>1167.51</v>
      </c>
      <c r="CQ10" s="3"/>
      <c r="CR10" s="3">
        <v>0</v>
      </c>
      <c r="CS10" s="3"/>
      <c r="CT10" s="3"/>
      <c r="CU10" s="3"/>
      <c r="CV10" s="3"/>
      <c r="CW10" s="3"/>
      <c r="CX10" s="3">
        <v>48274.11</v>
      </c>
      <c r="CY10" s="3">
        <v>15939.09</v>
      </c>
      <c r="CZ10" s="3"/>
      <c r="DA10" s="3"/>
    </row>
    <row r="11" spans="1:107" ht="15.75" customHeight="1" x14ac:dyDescent="0.25">
      <c r="A11" s="3" t="s">
        <v>167</v>
      </c>
      <c r="B11" s="3" t="s">
        <v>168</v>
      </c>
      <c r="C11" s="4" t="s">
        <v>169</v>
      </c>
      <c r="D11" s="4" t="s">
        <v>170</v>
      </c>
      <c r="E11" s="4" t="s">
        <v>163</v>
      </c>
      <c r="F11" s="3" t="s">
        <v>107</v>
      </c>
      <c r="G11" s="3" t="s">
        <v>108</v>
      </c>
      <c r="H11" s="3" t="s">
        <v>171</v>
      </c>
      <c r="J11" s="3" t="s">
        <v>172</v>
      </c>
      <c r="K11" s="3" t="s">
        <v>173</v>
      </c>
      <c r="L11" s="3">
        <v>-23.8932</v>
      </c>
      <c r="M11" s="3">
        <v>-58.446300000000001</v>
      </c>
      <c r="N11" s="3"/>
      <c r="O11" s="3"/>
      <c r="P11" s="3"/>
      <c r="Q11" s="3"/>
      <c r="R11" s="3">
        <v>8.1880000000000006</v>
      </c>
      <c r="S11" s="3">
        <v>-90.7</v>
      </c>
      <c r="T11" s="3">
        <v>47700</v>
      </c>
      <c r="U11" s="3">
        <v>31.1</v>
      </c>
      <c r="V11" s="3">
        <v>25.5</v>
      </c>
      <c r="W11" s="3">
        <v>5.0999999999999996</v>
      </c>
      <c r="X11" s="3">
        <v>75</v>
      </c>
      <c r="Y11" s="3">
        <v>16.8</v>
      </c>
      <c r="Z11" s="3">
        <v>21475</v>
      </c>
      <c r="AA11" s="3">
        <v>21415.8</v>
      </c>
      <c r="AB11" s="3">
        <v>59.2</v>
      </c>
      <c r="AC11" s="3">
        <v>80</v>
      </c>
      <c r="AD11" s="3">
        <v>2947.2</v>
      </c>
      <c r="AE11" s="3">
        <v>54</v>
      </c>
      <c r="AF11" s="3">
        <v>526.5</v>
      </c>
      <c r="AG11" s="3">
        <v>15448.2</v>
      </c>
      <c r="AH11" s="3">
        <v>7875.2</v>
      </c>
      <c r="AI11" s="3">
        <v>960</v>
      </c>
      <c r="AJ11" s="3">
        <v>133.08000000000001</v>
      </c>
      <c r="AK11" s="3">
        <v>14207</v>
      </c>
      <c r="AL11" s="3">
        <v>26.2</v>
      </c>
      <c r="AM11" s="3">
        <v>960</v>
      </c>
      <c r="AN11" s="3">
        <v>133.08000000000001</v>
      </c>
      <c r="AO11" s="3">
        <v>14316</v>
      </c>
      <c r="AP11" s="3">
        <v>30.14</v>
      </c>
      <c r="AQ11" s="3">
        <v>5.24</v>
      </c>
      <c r="AR11" s="3">
        <v>4.16</v>
      </c>
      <c r="AS11" s="3">
        <v>0.34300000000000003</v>
      </c>
      <c r="AT11" s="3">
        <v>1.0999999999999999E-2</v>
      </c>
      <c r="AU11" s="3">
        <f t="shared" ref="AU11:AU15" si="30">0.5*0.044</f>
        <v>2.1999999999999999E-2</v>
      </c>
      <c r="AV11" s="3">
        <v>0.40100000000000002</v>
      </c>
      <c r="AW11" s="3">
        <v>15.9</v>
      </c>
      <c r="AX11" s="3">
        <v>559</v>
      </c>
      <c r="AY11" s="3"/>
      <c r="AZ11" s="3">
        <v>12000</v>
      </c>
      <c r="BA11" s="3">
        <v>120</v>
      </c>
      <c r="BB11" s="3"/>
      <c r="BC11" s="3"/>
      <c r="BD11" s="3"/>
      <c r="BE11" s="3">
        <f t="shared" si="26"/>
        <v>0.1</v>
      </c>
      <c r="BF11" s="3">
        <f t="shared" si="27"/>
        <v>1.5</v>
      </c>
      <c r="BG11" s="3">
        <f t="shared" ref="BG11:BG25" si="31">0.5*0.1</f>
        <v>0.05</v>
      </c>
      <c r="BH11" s="3">
        <f t="shared" si="21"/>
        <v>0.5</v>
      </c>
      <c r="BI11" s="3">
        <v>0.8</v>
      </c>
      <c r="BJ11" s="3">
        <v>5</v>
      </c>
      <c r="BK11" s="3">
        <v>5</v>
      </c>
      <c r="BL11" s="3">
        <f t="shared" si="22"/>
        <v>1</v>
      </c>
      <c r="BM11" s="3">
        <f t="shared" ref="BM11:BM12" si="32">0.5*2</f>
        <v>1</v>
      </c>
      <c r="BN11" s="3">
        <v>3</v>
      </c>
      <c r="BO11" s="3">
        <f t="shared" ref="BO11:BO25" si="33">0.5*0.1</f>
        <v>0.05</v>
      </c>
      <c r="BP11" s="3">
        <f t="shared" si="23"/>
        <v>0.1</v>
      </c>
      <c r="BQ11" s="3">
        <f t="shared" si="4"/>
        <v>0.05</v>
      </c>
      <c r="BR11" s="3"/>
      <c r="BS11" s="3">
        <v>316</v>
      </c>
      <c r="BT11" s="3">
        <v>1838</v>
      </c>
      <c r="BU11" s="3">
        <f t="shared" si="6"/>
        <v>1</v>
      </c>
      <c r="BV11" s="3">
        <v>3</v>
      </c>
      <c r="BW11" s="3">
        <v>275</v>
      </c>
      <c r="BX11" s="3">
        <f t="shared" si="24"/>
        <v>12.5</v>
      </c>
      <c r="BY11" s="3">
        <v>59</v>
      </c>
      <c r="BZ11" s="3">
        <v>39</v>
      </c>
      <c r="CA11" s="3">
        <v>62</v>
      </c>
      <c r="CB11" s="3">
        <f t="shared" si="28"/>
        <v>0.5</v>
      </c>
      <c r="CC11" s="3">
        <v>9</v>
      </c>
      <c r="CD11" s="3">
        <f t="shared" si="25"/>
        <v>0.5</v>
      </c>
      <c r="CE11" s="3"/>
      <c r="CF11" s="3">
        <v>3363</v>
      </c>
      <c r="CG11" s="3">
        <v>12264</v>
      </c>
      <c r="CH11" s="3">
        <v>128</v>
      </c>
      <c r="CI11" s="3"/>
      <c r="CJ11" s="3"/>
      <c r="CK11" s="3">
        <f t="shared" si="17"/>
        <v>5.0000000000000001E-4</v>
      </c>
      <c r="CL11" s="3">
        <f t="shared" si="29"/>
        <v>5.0000000000000001E-4</v>
      </c>
      <c r="CM11" s="3">
        <v>0.54</v>
      </c>
      <c r="CN11" s="3"/>
      <c r="CO11" s="3">
        <v>2162.16</v>
      </c>
      <c r="CP11" s="3">
        <v>658.78</v>
      </c>
      <c r="CQ11" s="3"/>
      <c r="CR11" s="3">
        <v>996.62</v>
      </c>
      <c r="CS11" s="3"/>
      <c r="CT11" s="3">
        <v>176114.86</v>
      </c>
      <c r="CU11" s="3"/>
      <c r="CV11" s="3">
        <v>996.62</v>
      </c>
      <c r="CW11" s="3">
        <v>37.159999999999997</v>
      </c>
      <c r="CX11" s="3">
        <v>51469.59</v>
      </c>
      <c r="CY11" s="3">
        <v>4560.8100000000004</v>
      </c>
      <c r="CZ11" s="3"/>
      <c r="DA11" s="3"/>
    </row>
    <row r="12" spans="1:107" ht="15.75" customHeight="1" x14ac:dyDescent="0.25">
      <c r="A12" s="3" t="s">
        <v>174</v>
      </c>
      <c r="B12" s="3" t="s">
        <v>175</v>
      </c>
      <c r="C12" s="4" t="s">
        <v>169</v>
      </c>
      <c r="D12" s="4" t="s">
        <v>176</v>
      </c>
      <c r="E12" s="4" t="s">
        <v>163</v>
      </c>
      <c r="F12" s="3" t="s">
        <v>107</v>
      </c>
      <c r="G12" s="3" t="s">
        <v>108</v>
      </c>
      <c r="H12" s="3" t="s">
        <v>177</v>
      </c>
      <c r="J12" s="3" t="s">
        <v>178</v>
      </c>
      <c r="K12" s="3" t="s">
        <v>179</v>
      </c>
      <c r="L12" s="3">
        <v>-24.189399999999999</v>
      </c>
      <c r="M12" s="3">
        <v>-58.299599999999998</v>
      </c>
      <c r="N12" s="3"/>
      <c r="O12" s="3"/>
      <c r="P12" s="3"/>
      <c r="Q12" s="3"/>
      <c r="R12" s="3">
        <v>7.8150000000000004</v>
      </c>
      <c r="S12" s="3">
        <v>-68.5</v>
      </c>
      <c r="T12" s="3">
        <v>5670</v>
      </c>
      <c r="U12" s="3">
        <v>3.1</v>
      </c>
      <c r="V12" s="3">
        <v>23.9</v>
      </c>
      <c r="W12" s="3">
        <v>5.23</v>
      </c>
      <c r="X12" s="3">
        <v>63.9</v>
      </c>
      <c r="Y12" s="3">
        <v>59.7</v>
      </c>
      <c r="Z12" s="3">
        <v>3673</v>
      </c>
      <c r="AA12" s="3">
        <v>3610</v>
      </c>
      <c r="AB12" s="3">
        <v>63</v>
      </c>
      <c r="AC12" s="3">
        <v>175</v>
      </c>
      <c r="AD12" s="3">
        <v>408</v>
      </c>
      <c r="AE12" s="3">
        <v>0</v>
      </c>
      <c r="AF12" s="3">
        <v>167.4</v>
      </c>
      <c r="AG12" s="3">
        <v>1383.3</v>
      </c>
      <c r="AH12" s="3">
        <v>663</v>
      </c>
      <c r="AI12" s="3">
        <v>123</v>
      </c>
      <c r="AJ12" s="3">
        <v>25</v>
      </c>
      <c r="AK12" s="3">
        <v>1200.0999999999999</v>
      </c>
      <c r="AL12" s="3">
        <v>24.72</v>
      </c>
      <c r="AM12" s="3">
        <v>123</v>
      </c>
      <c r="AN12" s="3">
        <v>25</v>
      </c>
      <c r="AO12" s="3">
        <v>1204.07</v>
      </c>
      <c r="AP12" s="3">
        <v>24.82</v>
      </c>
      <c r="AQ12" s="3">
        <v>1.02</v>
      </c>
      <c r="AR12" s="3">
        <v>0.86</v>
      </c>
      <c r="AS12" s="3">
        <v>0.24099999999999999</v>
      </c>
      <c r="AT12" s="3">
        <v>7.2999999999999995E-2</v>
      </c>
      <c r="AU12" s="3">
        <f t="shared" si="30"/>
        <v>2.1999999999999999E-2</v>
      </c>
      <c r="AV12" s="3">
        <v>0.35799999999999998</v>
      </c>
      <c r="AW12" s="3">
        <v>6.3</v>
      </c>
      <c r="AX12" s="3">
        <v>70.81</v>
      </c>
      <c r="AY12" s="3"/>
      <c r="AZ12" s="3">
        <v>8000</v>
      </c>
      <c r="BA12" s="3">
        <v>460</v>
      </c>
      <c r="BB12" s="3"/>
      <c r="BC12" s="3"/>
      <c r="BD12" s="3"/>
      <c r="BE12" s="3">
        <f t="shared" si="26"/>
        <v>0.1</v>
      </c>
      <c r="BF12" s="3">
        <f t="shared" si="27"/>
        <v>1.5</v>
      </c>
      <c r="BG12" s="3">
        <f t="shared" si="31"/>
        <v>0.05</v>
      </c>
      <c r="BH12" s="3">
        <f t="shared" si="21"/>
        <v>0.5</v>
      </c>
      <c r="BI12" s="3">
        <v>0.4</v>
      </c>
      <c r="BJ12" s="3">
        <v>27</v>
      </c>
      <c r="BK12" s="3">
        <v>2</v>
      </c>
      <c r="BL12" s="3">
        <f t="shared" si="22"/>
        <v>1</v>
      </c>
      <c r="BM12" s="3">
        <f t="shared" si="32"/>
        <v>1</v>
      </c>
      <c r="BN12" s="3">
        <v>4</v>
      </c>
      <c r="BO12" s="3">
        <f t="shared" si="33"/>
        <v>0.05</v>
      </c>
      <c r="BP12" s="3">
        <f t="shared" si="23"/>
        <v>0.1</v>
      </c>
      <c r="BQ12" s="3">
        <f t="shared" si="4"/>
        <v>0.05</v>
      </c>
      <c r="BR12" s="3"/>
      <c r="BS12" s="3">
        <v>137</v>
      </c>
      <c r="BT12" s="3">
        <v>625</v>
      </c>
      <c r="BU12" s="3">
        <f t="shared" si="6"/>
        <v>1</v>
      </c>
      <c r="BV12" s="3">
        <v>3</v>
      </c>
      <c r="BW12" s="3">
        <v>442</v>
      </c>
      <c r="BX12" s="3">
        <f t="shared" si="24"/>
        <v>12.5</v>
      </c>
      <c r="BY12" s="3">
        <f t="shared" ref="BY12:BZ12" si="34">0.5*25</f>
        <v>12.5</v>
      </c>
      <c r="BZ12" s="3">
        <f t="shared" si="34"/>
        <v>12.5</v>
      </c>
      <c r="CA12" s="3">
        <v>7</v>
      </c>
      <c r="CB12" s="3">
        <f t="shared" si="28"/>
        <v>0.5</v>
      </c>
      <c r="CC12" s="3">
        <v>4</v>
      </c>
      <c r="CD12" s="3">
        <f t="shared" si="25"/>
        <v>0.5</v>
      </c>
      <c r="CE12" s="3"/>
      <c r="CF12" s="3">
        <v>3112</v>
      </c>
      <c r="CG12" s="3">
        <v>730</v>
      </c>
      <c r="CH12" s="3">
        <v>26</v>
      </c>
      <c r="CI12" s="3"/>
      <c r="CJ12" s="3"/>
      <c r="CK12" s="3">
        <f t="shared" si="17"/>
        <v>5.0000000000000001E-4</v>
      </c>
      <c r="CL12" s="3">
        <f t="shared" si="29"/>
        <v>5.0000000000000001E-4</v>
      </c>
      <c r="CM12" s="3">
        <f t="shared" ref="CM12:CM13" si="35">0.5*0.5</f>
        <v>0.25</v>
      </c>
      <c r="CN12" s="3"/>
      <c r="CO12" s="3">
        <v>412.7</v>
      </c>
      <c r="CP12" s="3"/>
      <c r="CQ12" s="3"/>
      <c r="CR12" s="3">
        <v>47.62</v>
      </c>
      <c r="CS12" s="3"/>
      <c r="CT12" s="3">
        <v>1666.67</v>
      </c>
      <c r="CU12" s="3"/>
      <c r="CV12" s="3"/>
      <c r="CW12" s="3">
        <v>41.27</v>
      </c>
      <c r="CX12" s="3">
        <v>47222.22</v>
      </c>
      <c r="CY12" s="3">
        <v>6587.3</v>
      </c>
      <c r="CZ12" s="3"/>
      <c r="DA12" s="3"/>
    </row>
    <row r="13" spans="1:107" ht="15.75" customHeight="1" x14ac:dyDescent="0.25">
      <c r="A13" s="3" t="s">
        <v>180</v>
      </c>
      <c r="B13" s="3" t="s">
        <v>181</v>
      </c>
      <c r="C13" s="4" t="s">
        <v>182</v>
      </c>
      <c r="D13" s="4" t="s">
        <v>183</v>
      </c>
      <c r="E13" s="4" t="s">
        <v>163</v>
      </c>
      <c r="F13" s="3" t="s">
        <v>107</v>
      </c>
      <c r="G13" s="3" t="s">
        <v>108</v>
      </c>
      <c r="H13" s="3" t="s">
        <v>109</v>
      </c>
      <c r="I13" s="3" t="s">
        <v>184</v>
      </c>
      <c r="J13" s="3" t="s">
        <v>185</v>
      </c>
      <c r="K13" s="3" t="s">
        <v>186</v>
      </c>
      <c r="L13" s="3">
        <v>-25.264500000000002</v>
      </c>
      <c r="M13" s="3">
        <v>-57.724600000000002</v>
      </c>
      <c r="N13" s="3"/>
      <c r="O13" s="3"/>
      <c r="P13" s="3"/>
      <c r="Q13" s="3"/>
      <c r="R13" s="3">
        <v>8.2780000000000005</v>
      </c>
      <c r="S13" s="3">
        <v>-95.7</v>
      </c>
      <c r="T13" s="3">
        <v>4550</v>
      </c>
      <c r="U13" s="3">
        <v>2.4</v>
      </c>
      <c r="V13" s="3">
        <v>24.4</v>
      </c>
      <c r="W13" s="3">
        <v>10.86</v>
      </c>
      <c r="X13" s="3">
        <v>132.6</v>
      </c>
      <c r="Y13" s="3">
        <v>20.3</v>
      </c>
      <c r="Z13" s="3">
        <v>2998</v>
      </c>
      <c r="AA13" s="3">
        <v>2958</v>
      </c>
      <c r="AB13" s="3">
        <v>40</v>
      </c>
      <c r="AC13" s="3">
        <v>40</v>
      </c>
      <c r="AD13" s="3">
        <v>331.55</v>
      </c>
      <c r="AE13" s="3">
        <v>0</v>
      </c>
      <c r="AF13" s="3">
        <v>224.1</v>
      </c>
      <c r="AG13" s="3">
        <v>928.9</v>
      </c>
      <c r="AH13" s="3">
        <v>726.3</v>
      </c>
      <c r="AI13" s="3">
        <v>90.24</v>
      </c>
      <c r="AJ13" s="3">
        <v>24.51</v>
      </c>
      <c r="AK13" s="3">
        <v>1000.1</v>
      </c>
      <c r="AL13" s="3">
        <v>40.51</v>
      </c>
      <c r="AM13" s="3">
        <v>91.5</v>
      </c>
      <c r="AN13" s="3">
        <v>25</v>
      </c>
      <c r="AO13" s="3">
        <v>1005.4</v>
      </c>
      <c r="AP13" s="3">
        <v>42.79</v>
      </c>
      <c r="AQ13" s="3">
        <v>0.54</v>
      </c>
      <c r="AR13" s="3">
        <v>0.43</v>
      </c>
      <c r="AS13" s="3">
        <v>0.28699999999999998</v>
      </c>
      <c r="AT13" s="3">
        <v>5.5E-2</v>
      </c>
      <c r="AU13" s="3">
        <f t="shared" si="30"/>
        <v>2.1999999999999999E-2</v>
      </c>
      <c r="AV13" s="3">
        <v>0.19900000000000001</v>
      </c>
      <c r="AW13" s="3">
        <v>5.7</v>
      </c>
      <c r="AX13" s="3">
        <v>45.34</v>
      </c>
      <c r="AY13" s="3"/>
      <c r="AZ13" s="3">
        <v>19000</v>
      </c>
      <c r="BA13" s="3">
        <v>240</v>
      </c>
      <c r="BB13" s="3"/>
      <c r="BC13" s="3"/>
      <c r="BD13" s="3"/>
      <c r="BE13" s="3">
        <f t="shared" si="26"/>
        <v>0.1</v>
      </c>
      <c r="BF13" s="3">
        <f t="shared" si="27"/>
        <v>1.5</v>
      </c>
      <c r="BG13" s="3">
        <f t="shared" si="31"/>
        <v>0.05</v>
      </c>
      <c r="BH13" s="3">
        <f t="shared" si="21"/>
        <v>0.5</v>
      </c>
      <c r="BI13" s="3">
        <v>11</v>
      </c>
      <c r="BJ13" s="3">
        <f>0.5*2</f>
        <v>1</v>
      </c>
      <c r="BK13" s="3">
        <v>6</v>
      </c>
      <c r="BL13" s="3">
        <f t="shared" si="22"/>
        <v>1</v>
      </c>
      <c r="BM13" s="3">
        <v>2</v>
      </c>
      <c r="BN13" s="3">
        <v>2</v>
      </c>
      <c r="BO13" s="3">
        <f t="shared" si="33"/>
        <v>0.05</v>
      </c>
      <c r="BP13" s="3">
        <f t="shared" si="23"/>
        <v>0.1</v>
      </c>
      <c r="BQ13" s="3">
        <f t="shared" si="4"/>
        <v>0.05</v>
      </c>
      <c r="BR13" s="3"/>
      <c r="BS13" s="3">
        <v>397</v>
      </c>
      <c r="BT13" s="3"/>
      <c r="BU13" s="3">
        <f t="shared" si="6"/>
        <v>1</v>
      </c>
      <c r="BV13" s="3">
        <f t="shared" ref="BV13:BV14" si="36">0.5*3</f>
        <v>1.5</v>
      </c>
      <c r="BW13" s="3">
        <v>351</v>
      </c>
      <c r="BX13" s="3">
        <f t="shared" si="24"/>
        <v>12.5</v>
      </c>
      <c r="BY13" s="3">
        <f t="shared" ref="BY13:BZ13" si="37">0.5*25</f>
        <v>12.5</v>
      </c>
      <c r="BZ13" s="3">
        <f t="shared" si="37"/>
        <v>12.5</v>
      </c>
      <c r="CA13" s="3">
        <v>5</v>
      </c>
      <c r="CB13" s="3">
        <f t="shared" si="28"/>
        <v>0.5</v>
      </c>
      <c r="CC13" s="3">
        <f t="shared" ref="CC13:CC14" si="38">0.5*3</f>
        <v>1.5</v>
      </c>
      <c r="CD13" s="3">
        <f t="shared" si="25"/>
        <v>0.5</v>
      </c>
      <c r="CE13" s="3"/>
      <c r="CF13" s="3">
        <v>1424</v>
      </c>
      <c r="CG13" s="3"/>
      <c r="CH13" s="3">
        <f t="shared" ref="CH13:CH14" si="39">0.5*25</f>
        <v>12.5</v>
      </c>
      <c r="CI13" s="3"/>
      <c r="CJ13" s="3"/>
      <c r="CK13" s="3">
        <f t="shared" si="17"/>
        <v>5.0000000000000001E-4</v>
      </c>
      <c r="CL13" s="3">
        <f t="shared" si="29"/>
        <v>5.0000000000000001E-4</v>
      </c>
      <c r="CM13" s="3">
        <f t="shared" si="35"/>
        <v>0.25</v>
      </c>
      <c r="CN13" s="3"/>
      <c r="CO13" s="3"/>
      <c r="CP13" s="3"/>
      <c r="CQ13" s="3"/>
      <c r="CR13" s="3">
        <v>75</v>
      </c>
      <c r="CS13" s="3"/>
      <c r="CT13" s="3"/>
      <c r="CU13" s="3"/>
      <c r="CV13" s="3"/>
      <c r="CW13" s="3"/>
      <c r="CX13" s="3">
        <v>25675</v>
      </c>
      <c r="CY13" s="3">
        <v>8775</v>
      </c>
      <c r="CZ13" s="3"/>
      <c r="DA13" s="3"/>
    </row>
    <row r="14" spans="1:107" ht="15.75" customHeight="1" x14ac:dyDescent="0.25">
      <c r="A14" s="3" t="s">
        <v>187</v>
      </c>
      <c r="B14" s="3" t="s">
        <v>188</v>
      </c>
      <c r="C14" s="4" t="s">
        <v>182</v>
      </c>
      <c r="D14" s="4" t="s">
        <v>170</v>
      </c>
      <c r="E14" s="4" t="s">
        <v>163</v>
      </c>
      <c r="F14" s="3" t="s">
        <v>107</v>
      </c>
      <c r="G14" s="3" t="s">
        <v>108</v>
      </c>
      <c r="H14" s="3" t="s">
        <v>171</v>
      </c>
      <c r="J14" s="3" t="s">
        <v>189</v>
      </c>
      <c r="K14" s="3" t="s">
        <v>190</v>
      </c>
      <c r="L14" s="3">
        <v>-25.787800000000001</v>
      </c>
      <c r="M14" s="3">
        <v>-58.021299999999997</v>
      </c>
      <c r="N14" s="3"/>
      <c r="O14" s="3"/>
      <c r="P14" s="3"/>
      <c r="Q14" s="3"/>
      <c r="R14" s="3">
        <v>8.1869999999999994</v>
      </c>
      <c r="S14" s="3">
        <v>-89.5</v>
      </c>
      <c r="T14" s="3">
        <v>4250</v>
      </c>
      <c r="U14" s="3">
        <v>2.2999999999999998</v>
      </c>
      <c r="V14" s="3">
        <v>22.4</v>
      </c>
      <c r="W14" s="3">
        <v>8.44</v>
      </c>
      <c r="X14" s="3">
        <v>99.6</v>
      </c>
      <c r="Y14" s="3">
        <v>46.3</v>
      </c>
      <c r="Z14" s="3">
        <v>3005</v>
      </c>
      <c r="AA14" s="3">
        <v>2925.6</v>
      </c>
      <c r="AB14" s="3">
        <v>79.400000000000006</v>
      </c>
      <c r="AC14" s="3">
        <v>40</v>
      </c>
      <c r="AD14" s="3">
        <v>352</v>
      </c>
      <c r="AE14" s="3">
        <v>13.5</v>
      </c>
      <c r="AF14" s="3">
        <v>275.39999999999998</v>
      </c>
      <c r="AG14" s="3">
        <v>727</v>
      </c>
      <c r="AH14" s="3">
        <v>952.1</v>
      </c>
      <c r="AI14" s="3">
        <v>109.1</v>
      </c>
      <c r="AJ14" s="3">
        <v>17.84</v>
      </c>
      <c r="AK14" s="3">
        <v>1007.54</v>
      </c>
      <c r="AL14" s="3">
        <v>18.100000000000001</v>
      </c>
      <c r="AM14" s="3">
        <v>110.17</v>
      </c>
      <c r="AN14" s="3">
        <v>18.54</v>
      </c>
      <c r="AO14" s="3">
        <v>1009.17</v>
      </c>
      <c r="AP14" s="3">
        <v>19.29</v>
      </c>
      <c r="AQ14" s="3">
        <v>1.48</v>
      </c>
      <c r="AR14" s="3">
        <v>1.44</v>
      </c>
      <c r="AS14" s="3">
        <v>0.14399999999999999</v>
      </c>
      <c r="AT14" s="3">
        <v>0.08</v>
      </c>
      <c r="AU14" s="3">
        <f t="shared" si="30"/>
        <v>2.1999999999999999E-2</v>
      </c>
      <c r="AV14" s="3">
        <v>0.22</v>
      </c>
      <c r="AW14" s="3">
        <v>3.6</v>
      </c>
      <c r="AX14" s="3">
        <v>41.62</v>
      </c>
      <c r="AY14" s="3"/>
      <c r="AZ14" s="3">
        <v>24000</v>
      </c>
      <c r="BA14" s="3">
        <v>200</v>
      </c>
      <c r="BB14" s="3"/>
      <c r="BC14" s="3"/>
      <c r="BD14" s="3"/>
      <c r="BE14" s="3">
        <f t="shared" si="26"/>
        <v>0.1</v>
      </c>
      <c r="BF14" s="3">
        <f t="shared" si="27"/>
        <v>1.5</v>
      </c>
      <c r="BG14" s="3">
        <f t="shared" si="31"/>
        <v>0.05</v>
      </c>
      <c r="BH14" s="3">
        <f t="shared" si="21"/>
        <v>0.5</v>
      </c>
      <c r="BI14" s="3">
        <v>6</v>
      </c>
      <c r="BJ14" s="3">
        <v>51</v>
      </c>
      <c r="BK14" s="3">
        <v>8</v>
      </c>
      <c r="BL14" s="3">
        <v>4</v>
      </c>
      <c r="BM14" s="3">
        <v>3</v>
      </c>
      <c r="BN14" s="3">
        <v>10</v>
      </c>
      <c r="BO14" s="3">
        <f t="shared" si="33"/>
        <v>0.05</v>
      </c>
      <c r="BP14" s="3">
        <f t="shared" si="23"/>
        <v>0.1</v>
      </c>
      <c r="BQ14" s="3">
        <f t="shared" si="4"/>
        <v>0.05</v>
      </c>
      <c r="BR14" s="3"/>
      <c r="BS14" s="3">
        <v>456</v>
      </c>
      <c r="BT14" s="3">
        <v>971</v>
      </c>
      <c r="BU14" s="3">
        <v>6</v>
      </c>
      <c r="BV14" s="3">
        <f t="shared" si="36"/>
        <v>1.5</v>
      </c>
      <c r="BW14" s="3">
        <v>228</v>
      </c>
      <c r="BX14" s="3">
        <f t="shared" si="24"/>
        <v>12.5</v>
      </c>
      <c r="BY14" s="3">
        <f t="shared" ref="BY14:BZ14" si="40">0.5*25</f>
        <v>12.5</v>
      </c>
      <c r="BZ14" s="3">
        <f t="shared" si="40"/>
        <v>12.5</v>
      </c>
      <c r="CA14" s="3">
        <v>6</v>
      </c>
      <c r="CB14" s="3">
        <f t="shared" si="28"/>
        <v>0.5</v>
      </c>
      <c r="CC14" s="3">
        <f t="shared" si="38"/>
        <v>1.5</v>
      </c>
      <c r="CD14" s="3">
        <f t="shared" si="25"/>
        <v>0.5</v>
      </c>
      <c r="CE14" s="3"/>
      <c r="CF14" s="3">
        <v>1554</v>
      </c>
      <c r="CG14" s="3">
        <v>1380</v>
      </c>
      <c r="CH14" s="3">
        <f t="shared" si="39"/>
        <v>12.5</v>
      </c>
      <c r="CI14" s="3"/>
      <c r="CJ14" s="3"/>
      <c r="CK14" s="3">
        <f t="shared" si="17"/>
        <v>5.0000000000000001E-4</v>
      </c>
      <c r="CL14" s="3">
        <f t="shared" si="29"/>
        <v>5.0000000000000001E-4</v>
      </c>
      <c r="CM14" s="3">
        <v>0.82</v>
      </c>
      <c r="CN14" s="3"/>
      <c r="CO14" s="3"/>
      <c r="CP14" s="3"/>
      <c r="CQ14" s="3"/>
      <c r="CR14" s="3"/>
      <c r="CS14" s="3"/>
      <c r="CT14" s="3">
        <v>5151.13</v>
      </c>
      <c r="CU14" s="3"/>
      <c r="CV14" s="3"/>
      <c r="CW14" s="3"/>
      <c r="CX14" s="3">
        <v>13828.72</v>
      </c>
      <c r="CY14" s="3">
        <v>2229.2199999999998</v>
      </c>
      <c r="CZ14" s="3"/>
      <c r="DA14" s="3"/>
    </row>
    <row r="15" spans="1:107" ht="15.75" customHeight="1" x14ac:dyDescent="0.25">
      <c r="A15" s="3" t="s">
        <v>191</v>
      </c>
      <c r="B15" s="3" t="s">
        <v>192</v>
      </c>
      <c r="C15" s="4" t="s">
        <v>193</v>
      </c>
      <c r="D15" s="4" t="s">
        <v>194</v>
      </c>
      <c r="E15" s="4" t="s">
        <v>163</v>
      </c>
      <c r="F15" s="3" t="s">
        <v>107</v>
      </c>
      <c r="G15" s="3" t="s">
        <v>108</v>
      </c>
      <c r="H15" s="3" t="s">
        <v>109</v>
      </c>
      <c r="I15" s="3" t="s">
        <v>195</v>
      </c>
      <c r="J15" s="3" t="s">
        <v>196</v>
      </c>
      <c r="K15" s="3" t="s">
        <v>197</v>
      </c>
      <c r="L15" s="3">
        <v>-24.7483</v>
      </c>
      <c r="M15" s="3">
        <v>-58.833100000000002</v>
      </c>
      <c r="N15" s="3"/>
      <c r="O15" s="3"/>
      <c r="P15" s="3"/>
      <c r="Q15" s="3"/>
      <c r="R15" s="3">
        <v>8.4740000000000002</v>
      </c>
      <c r="S15" s="3">
        <v>-107.7</v>
      </c>
      <c r="T15" s="3">
        <v>32600</v>
      </c>
      <c r="U15" s="3">
        <v>20.5</v>
      </c>
      <c r="V15" s="3">
        <v>25.5</v>
      </c>
      <c r="W15" s="3">
        <v>8.82</v>
      </c>
      <c r="X15" s="3">
        <v>123.1</v>
      </c>
      <c r="Y15" s="3">
        <v>4.32</v>
      </c>
      <c r="Z15" s="3">
        <v>19059.099999999999</v>
      </c>
      <c r="AA15" s="3">
        <v>19005</v>
      </c>
      <c r="AB15" s="3">
        <v>54.1</v>
      </c>
      <c r="AC15" s="3">
        <v>10</v>
      </c>
      <c r="AD15" s="3">
        <v>1586.18</v>
      </c>
      <c r="AE15" s="3">
        <v>83.7</v>
      </c>
      <c r="AF15" s="3">
        <v>515.70000000000005</v>
      </c>
      <c r="AG15" s="3">
        <v>10016.1</v>
      </c>
      <c r="AH15" s="3">
        <v>7600.9</v>
      </c>
      <c r="AI15" s="3">
        <v>465</v>
      </c>
      <c r="AJ15" s="3">
        <v>95</v>
      </c>
      <c r="AK15" s="3">
        <v>10040.700000000001</v>
      </c>
      <c r="AL15" s="3">
        <v>24.93</v>
      </c>
      <c r="AM15" s="3">
        <v>470</v>
      </c>
      <c r="AN15" s="3">
        <v>100</v>
      </c>
      <c r="AO15" s="3">
        <v>10045.200000000001</v>
      </c>
      <c r="AP15" s="3">
        <v>25.41</v>
      </c>
      <c r="AQ15" s="3">
        <v>2.16</v>
      </c>
      <c r="AR15" s="3">
        <v>7.0000000000000007E-2</v>
      </c>
      <c r="AS15" s="3">
        <f>0.5*0.005</f>
        <v>2.5000000000000001E-3</v>
      </c>
      <c r="AT15" s="3">
        <v>2.1999999999999999E-2</v>
      </c>
      <c r="AU15" s="3">
        <f t="shared" si="30"/>
        <v>2.1999999999999999E-2</v>
      </c>
      <c r="AV15" s="3">
        <v>0.21</v>
      </c>
      <c r="AW15" s="3">
        <v>2.7</v>
      </c>
      <c r="AX15" s="3">
        <v>521.74</v>
      </c>
      <c r="AY15" s="3"/>
      <c r="AZ15" s="3">
        <v>42000</v>
      </c>
      <c r="BA15" s="3">
        <v>100</v>
      </c>
      <c r="BB15" s="3"/>
      <c r="BC15" s="3"/>
      <c r="BD15" s="3"/>
      <c r="BE15" s="3">
        <f t="shared" si="26"/>
        <v>0.1</v>
      </c>
      <c r="BF15" s="3">
        <f t="shared" si="27"/>
        <v>1.5</v>
      </c>
      <c r="BG15" s="3">
        <f t="shared" si="31"/>
        <v>0.05</v>
      </c>
      <c r="BH15" s="3">
        <f t="shared" si="21"/>
        <v>0.5</v>
      </c>
      <c r="BI15" s="3">
        <v>0.6</v>
      </c>
      <c r="BJ15" s="3">
        <v>43</v>
      </c>
      <c r="BK15" s="3">
        <v>3</v>
      </c>
      <c r="BL15" s="3">
        <f t="shared" ref="BL15:BL17" si="41">0.5*2</f>
        <v>1</v>
      </c>
      <c r="BM15" s="3">
        <v>6</v>
      </c>
      <c r="BN15" s="3">
        <v>10</v>
      </c>
      <c r="BO15" s="3">
        <f t="shared" si="33"/>
        <v>0.05</v>
      </c>
      <c r="BP15" s="3">
        <f t="shared" si="23"/>
        <v>0.1</v>
      </c>
      <c r="BQ15" s="3">
        <f t="shared" si="4"/>
        <v>0.05</v>
      </c>
      <c r="BR15" s="3"/>
      <c r="BS15" s="3">
        <v>179</v>
      </c>
      <c r="BT15" s="3">
        <v>836</v>
      </c>
      <c r="BU15" s="3">
        <v>2</v>
      </c>
      <c r="BV15" s="3">
        <v>3</v>
      </c>
      <c r="BW15" s="3">
        <v>44</v>
      </c>
      <c r="BX15" s="3">
        <f t="shared" si="24"/>
        <v>12.5</v>
      </c>
      <c r="BY15" s="3">
        <v>40</v>
      </c>
      <c r="BZ15" s="3">
        <v>49</v>
      </c>
      <c r="CA15" s="3">
        <v>29</v>
      </c>
      <c r="CB15" s="3">
        <f t="shared" si="28"/>
        <v>0.5</v>
      </c>
      <c r="CC15" s="3">
        <v>4</v>
      </c>
      <c r="CD15" s="3">
        <f t="shared" si="25"/>
        <v>0.5</v>
      </c>
      <c r="CE15" s="3"/>
      <c r="CF15" s="3">
        <v>1662</v>
      </c>
      <c r="CG15" s="3">
        <v>4648</v>
      </c>
      <c r="CH15" s="3">
        <v>83</v>
      </c>
      <c r="CI15" s="3"/>
      <c r="CJ15" s="3"/>
      <c r="CK15" s="3">
        <f t="shared" si="17"/>
        <v>5.0000000000000001E-4</v>
      </c>
      <c r="CL15" s="3">
        <f t="shared" si="29"/>
        <v>5.0000000000000001E-4</v>
      </c>
      <c r="CM15" s="3">
        <v>0.62</v>
      </c>
      <c r="CN15" s="3"/>
      <c r="CO15" s="3">
        <v>1497.23</v>
      </c>
      <c r="CP15" s="3">
        <v>794.82</v>
      </c>
      <c r="CQ15" s="3"/>
      <c r="CR15" s="3">
        <v>351.2</v>
      </c>
      <c r="CS15" s="3"/>
      <c r="CT15" s="3">
        <v>70462.11</v>
      </c>
      <c r="CU15" s="3"/>
      <c r="CV15" s="3">
        <v>739.37</v>
      </c>
      <c r="CW15" s="3">
        <v>44.36</v>
      </c>
      <c r="CX15" s="3">
        <v>27412.2</v>
      </c>
      <c r="CY15" s="3">
        <v>18.48</v>
      </c>
      <c r="CZ15" s="3"/>
      <c r="DA15" s="3"/>
    </row>
    <row r="16" spans="1:107" ht="15.75" customHeight="1" x14ac:dyDescent="0.25">
      <c r="A16" s="3" t="s">
        <v>198</v>
      </c>
      <c r="B16" s="3" t="s">
        <v>199</v>
      </c>
      <c r="C16" s="4" t="s">
        <v>200</v>
      </c>
      <c r="D16" s="4" t="s">
        <v>201</v>
      </c>
      <c r="E16" s="4" t="s">
        <v>163</v>
      </c>
      <c r="F16" s="3" t="s">
        <v>107</v>
      </c>
      <c r="G16" s="3" t="s">
        <v>108</v>
      </c>
      <c r="H16" s="3" t="s">
        <v>202</v>
      </c>
      <c r="I16" s="3" t="s">
        <v>203</v>
      </c>
      <c r="J16" s="3" t="s">
        <v>204</v>
      </c>
      <c r="K16" s="3" t="s">
        <v>205</v>
      </c>
      <c r="L16" s="3">
        <v>-21.152200000000001</v>
      </c>
      <c r="M16" s="3">
        <v>-64.233800000000002</v>
      </c>
      <c r="N16" s="3">
        <v>0.44600000000000001</v>
      </c>
      <c r="O16" s="3">
        <v>8</v>
      </c>
      <c r="P16" s="3"/>
      <c r="Q16" s="3"/>
      <c r="R16" s="3">
        <v>8.4570000000000007</v>
      </c>
      <c r="S16" s="3">
        <v>-107</v>
      </c>
      <c r="T16" s="3">
        <v>1171</v>
      </c>
      <c r="U16" s="3">
        <v>0.5</v>
      </c>
      <c r="V16" s="3">
        <v>22.3</v>
      </c>
      <c r="W16" s="3">
        <v>8.43</v>
      </c>
      <c r="X16" s="3">
        <v>107.8</v>
      </c>
      <c r="Y16" s="3">
        <v>12.8</v>
      </c>
      <c r="Z16" s="3">
        <v>1014</v>
      </c>
      <c r="AA16" s="3">
        <v>986</v>
      </c>
      <c r="AB16" s="3">
        <v>22</v>
      </c>
      <c r="AC16" s="3">
        <v>24.5</v>
      </c>
      <c r="AD16" s="3">
        <v>552</v>
      </c>
      <c r="AE16" s="3">
        <v>31.25</v>
      </c>
      <c r="AF16" s="3">
        <v>156</v>
      </c>
      <c r="AG16" s="3">
        <v>56.8</v>
      </c>
      <c r="AH16" s="3">
        <v>512</v>
      </c>
      <c r="AI16" s="3">
        <v>90.9</v>
      </c>
      <c r="AJ16" s="3">
        <v>77.900000000000006</v>
      </c>
      <c r="AK16" s="3">
        <v>90.5</v>
      </c>
      <c r="AL16" s="3">
        <v>7.86</v>
      </c>
      <c r="AM16" s="3">
        <v>95.2</v>
      </c>
      <c r="AN16" s="3">
        <v>85</v>
      </c>
      <c r="AO16" s="3">
        <v>97.5</v>
      </c>
      <c r="AP16" s="3">
        <v>11.5</v>
      </c>
      <c r="AQ16" s="3">
        <f>0.5*0.03</f>
        <v>1.4999999999999999E-2</v>
      </c>
      <c r="AR16" s="3">
        <v>0.09</v>
      </c>
      <c r="AS16" s="3"/>
      <c r="AT16" s="3">
        <f t="shared" ref="AT16:AU16" si="42">0.5*0.01</f>
        <v>5.0000000000000001E-3</v>
      </c>
      <c r="AU16" s="3">
        <f t="shared" si="42"/>
        <v>5.0000000000000001E-3</v>
      </c>
      <c r="AV16" s="3">
        <v>0.3</v>
      </c>
      <c r="AW16" s="3">
        <v>9.8000000000000007</v>
      </c>
      <c r="AX16" s="3">
        <v>17</v>
      </c>
      <c r="AY16" s="3"/>
      <c r="AZ16" s="3"/>
      <c r="BA16" s="3"/>
      <c r="BB16" s="3">
        <v>900</v>
      </c>
      <c r="BC16" s="3">
        <v>34</v>
      </c>
      <c r="BD16" s="3">
        <v>18000</v>
      </c>
      <c r="BE16" s="3">
        <f t="shared" si="26"/>
        <v>0.1</v>
      </c>
      <c r="BF16" s="3">
        <f t="shared" si="27"/>
        <v>1.5</v>
      </c>
      <c r="BG16" s="3">
        <f t="shared" si="31"/>
        <v>0.05</v>
      </c>
      <c r="BH16" s="3">
        <f t="shared" si="21"/>
        <v>0.5</v>
      </c>
      <c r="BI16" s="3">
        <v>2</v>
      </c>
      <c r="BJ16" s="3">
        <v>22</v>
      </c>
      <c r="BK16" s="3">
        <v>5</v>
      </c>
      <c r="BL16" s="3">
        <f t="shared" si="41"/>
        <v>1</v>
      </c>
      <c r="BM16" s="3">
        <v>2</v>
      </c>
      <c r="BN16" s="3">
        <v>6</v>
      </c>
      <c r="BO16" s="3">
        <f t="shared" si="33"/>
        <v>0.05</v>
      </c>
      <c r="BP16" s="3">
        <f t="shared" si="23"/>
        <v>0.1</v>
      </c>
      <c r="BQ16" s="3">
        <f t="shared" si="4"/>
        <v>0.05</v>
      </c>
      <c r="BR16" s="3"/>
      <c r="BS16" s="3">
        <v>314</v>
      </c>
      <c r="BT16" s="3">
        <v>908</v>
      </c>
      <c r="BU16" s="3">
        <f t="shared" ref="BU16:BU25" si="43">0.5*2</f>
        <v>1</v>
      </c>
      <c r="BV16" s="3">
        <f t="shared" ref="BV16:BV20" si="44">0.5*3</f>
        <v>1.5</v>
      </c>
      <c r="BW16" s="3">
        <v>59</v>
      </c>
      <c r="BX16" s="3">
        <f t="shared" si="24"/>
        <v>12.5</v>
      </c>
      <c r="BY16" s="3">
        <f t="shared" ref="BY16:BZ16" si="45">0.5*25</f>
        <v>12.5</v>
      </c>
      <c r="BZ16" s="3">
        <f t="shared" si="45"/>
        <v>12.5</v>
      </c>
      <c r="CA16" s="3">
        <v>5</v>
      </c>
      <c r="CB16" s="3">
        <f t="shared" si="28"/>
        <v>0.5</v>
      </c>
      <c r="CC16" s="3">
        <f t="shared" ref="CC16:CC20" si="46">0.5*3</f>
        <v>1.5</v>
      </c>
      <c r="CD16" s="3">
        <f t="shared" si="25"/>
        <v>0.5</v>
      </c>
      <c r="CE16" s="3"/>
      <c r="CF16" s="3">
        <v>766</v>
      </c>
      <c r="CG16" s="3">
        <v>1303</v>
      </c>
      <c r="CH16" s="3">
        <f t="shared" ref="CH16:CH46" si="47">0.5*25</f>
        <v>12.5</v>
      </c>
      <c r="CI16" s="3"/>
      <c r="CJ16" s="3">
        <f t="shared" ref="CJ16:CJ18" si="48">0.5*0.02</f>
        <v>0.01</v>
      </c>
      <c r="CK16" s="3">
        <f t="shared" ref="CK16:CK18" si="49">0.5*1</f>
        <v>0.5</v>
      </c>
      <c r="CL16" s="3"/>
      <c r="CM16" s="3">
        <f t="shared" ref="CM16:CM18" si="50">0.5*0.038</f>
        <v>1.9E-2</v>
      </c>
      <c r="CN16" s="3"/>
      <c r="CO16" s="3"/>
      <c r="CP16" s="3"/>
      <c r="CQ16" s="3"/>
      <c r="CR16" s="3"/>
      <c r="CS16" s="3"/>
      <c r="CT16" s="3">
        <v>17954.55</v>
      </c>
      <c r="CU16" s="3"/>
      <c r="CV16" s="3"/>
      <c r="CW16" s="3"/>
      <c r="CX16" s="3">
        <v>20545.45</v>
      </c>
      <c r="CY16" s="3">
        <v>1681.82</v>
      </c>
      <c r="CZ16" s="3"/>
      <c r="DA16" s="3"/>
    </row>
    <row r="17" spans="1:105" ht="15.75" customHeight="1" x14ac:dyDescent="0.25">
      <c r="A17" s="3" t="s">
        <v>206</v>
      </c>
      <c r="B17" s="3" t="s">
        <v>207</v>
      </c>
      <c r="C17" s="4" t="s">
        <v>200</v>
      </c>
      <c r="D17" s="4" t="s">
        <v>208</v>
      </c>
      <c r="E17" s="4" t="s">
        <v>163</v>
      </c>
      <c r="F17" s="3" t="s">
        <v>107</v>
      </c>
      <c r="G17" s="3" t="s">
        <v>108</v>
      </c>
      <c r="H17" s="3" t="s">
        <v>109</v>
      </c>
      <c r="I17" s="3" t="s">
        <v>110</v>
      </c>
      <c r="J17" s="3" t="s">
        <v>209</v>
      </c>
      <c r="K17" s="3" t="s">
        <v>210</v>
      </c>
      <c r="L17" s="3">
        <v>-20.913599999999999</v>
      </c>
      <c r="M17" s="3">
        <v>-64.110500000000002</v>
      </c>
      <c r="N17" s="3">
        <v>0.28399999999999997</v>
      </c>
      <c r="O17" s="3">
        <v>22</v>
      </c>
      <c r="P17" s="3"/>
      <c r="Q17" s="3"/>
      <c r="R17" s="3">
        <v>8.1950000000000003</v>
      </c>
      <c r="S17" s="3">
        <v>-90</v>
      </c>
      <c r="T17" s="3">
        <v>1272</v>
      </c>
      <c r="U17" s="3">
        <v>0.6</v>
      </c>
      <c r="V17" s="3">
        <v>17.7</v>
      </c>
      <c r="W17" s="3">
        <v>8.43</v>
      </c>
      <c r="X17" s="3">
        <v>95.5</v>
      </c>
      <c r="Y17" s="3">
        <v>11.2</v>
      </c>
      <c r="Z17" s="3">
        <v>885</v>
      </c>
      <c r="AA17" s="3">
        <v>862</v>
      </c>
      <c r="AB17" s="3">
        <v>12</v>
      </c>
      <c r="AC17" s="3">
        <v>37.5</v>
      </c>
      <c r="AD17" s="3">
        <v>429</v>
      </c>
      <c r="AE17" s="3">
        <v>27.9</v>
      </c>
      <c r="AF17" s="3">
        <v>141</v>
      </c>
      <c r="AG17" s="3">
        <v>185</v>
      </c>
      <c r="AH17" s="3">
        <v>352</v>
      </c>
      <c r="AI17" s="3">
        <v>67.099999999999994</v>
      </c>
      <c r="AJ17" s="3">
        <v>62.7</v>
      </c>
      <c r="AK17" s="3">
        <v>145</v>
      </c>
      <c r="AL17" s="3">
        <v>11.3</v>
      </c>
      <c r="AM17" s="3">
        <v>71.099999999999994</v>
      </c>
      <c r="AN17" s="3">
        <v>81</v>
      </c>
      <c r="AO17" s="3">
        <v>169</v>
      </c>
      <c r="AP17" s="3">
        <v>13.3</v>
      </c>
      <c r="AQ17" s="3">
        <v>0.09</v>
      </c>
      <c r="AR17" s="3">
        <v>0.06</v>
      </c>
      <c r="AS17" s="3"/>
      <c r="AT17" s="3"/>
      <c r="AU17" s="3"/>
      <c r="AV17" s="3">
        <v>0.1</v>
      </c>
      <c r="AW17" s="3">
        <v>13.7</v>
      </c>
      <c r="AX17" s="3">
        <v>15</v>
      </c>
      <c r="AY17" s="3"/>
      <c r="AZ17" s="3"/>
      <c r="BA17" s="3"/>
      <c r="BB17" s="3">
        <v>1500</v>
      </c>
      <c r="BC17" s="3">
        <v>90</v>
      </c>
      <c r="BD17" s="3">
        <v>52000</v>
      </c>
      <c r="BE17" s="3">
        <f t="shared" si="26"/>
        <v>0.1</v>
      </c>
      <c r="BF17" s="3">
        <f t="shared" si="27"/>
        <v>1.5</v>
      </c>
      <c r="BG17" s="3">
        <f t="shared" si="31"/>
        <v>0.05</v>
      </c>
      <c r="BH17" s="3">
        <f t="shared" si="21"/>
        <v>0.5</v>
      </c>
      <c r="BI17" s="3">
        <v>2</v>
      </c>
      <c r="BJ17" s="3">
        <v>11</v>
      </c>
      <c r="BK17" s="3">
        <v>3</v>
      </c>
      <c r="BL17" s="3">
        <f t="shared" si="41"/>
        <v>1</v>
      </c>
      <c r="BM17" s="3">
        <f t="shared" ref="BM17:BM18" si="51">0.5*2</f>
        <v>1</v>
      </c>
      <c r="BN17" s="3">
        <v>6</v>
      </c>
      <c r="BO17" s="3">
        <f t="shared" si="33"/>
        <v>0.05</v>
      </c>
      <c r="BP17" s="3">
        <f t="shared" si="23"/>
        <v>0.1</v>
      </c>
      <c r="BQ17" s="3">
        <f t="shared" si="4"/>
        <v>0.05</v>
      </c>
      <c r="BR17" s="3"/>
      <c r="BS17" s="3">
        <v>228</v>
      </c>
      <c r="BT17" s="3">
        <v>542</v>
      </c>
      <c r="BU17" s="3">
        <f t="shared" si="43"/>
        <v>1</v>
      </c>
      <c r="BV17" s="3">
        <f t="shared" si="44"/>
        <v>1.5</v>
      </c>
      <c r="BW17" s="3">
        <v>49</v>
      </c>
      <c r="BX17" s="3">
        <f t="shared" si="24"/>
        <v>12.5</v>
      </c>
      <c r="BY17" s="3">
        <f t="shared" ref="BY17:BZ17" si="52">0.5*25</f>
        <v>12.5</v>
      </c>
      <c r="BZ17" s="3">
        <f t="shared" si="52"/>
        <v>12.5</v>
      </c>
      <c r="CA17" s="3">
        <v>4</v>
      </c>
      <c r="CB17" s="3">
        <f t="shared" si="28"/>
        <v>0.5</v>
      </c>
      <c r="CC17" s="3">
        <f t="shared" si="46"/>
        <v>1.5</v>
      </c>
      <c r="CD17" s="3">
        <f t="shared" si="25"/>
        <v>0.5</v>
      </c>
      <c r="CE17" s="3"/>
      <c r="CF17" s="3">
        <v>483</v>
      </c>
      <c r="CG17" s="3">
        <v>745</v>
      </c>
      <c r="CH17" s="3">
        <f t="shared" si="47"/>
        <v>12.5</v>
      </c>
      <c r="CI17" s="3"/>
      <c r="CJ17" s="3">
        <f t="shared" si="48"/>
        <v>0.01</v>
      </c>
      <c r="CK17" s="3">
        <f t="shared" si="49"/>
        <v>0.5</v>
      </c>
      <c r="CL17" s="3">
        <f t="shared" ref="CL17:CL18" si="53">0.5*0.001</f>
        <v>5.0000000000000001E-4</v>
      </c>
      <c r="CM17" s="3">
        <f t="shared" si="50"/>
        <v>1.9E-2</v>
      </c>
      <c r="CN17" s="3"/>
      <c r="CO17" s="3"/>
      <c r="CP17" s="3"/>
      <c r="CQ17" s="3"/>
      <c r="CR17" s="3"/>
      <c r="CS17" s="3"/>
      <c r="CT17" s="3">
        <v>16916.669999999998</v>
      </c>
      <c r="CU17" s="3"/>
      <c r="CV17" s="3"/>
      <c r="CW17" s="3"/>
      <c r="CX17" s="3">
        <v>21250</v>
      </c>
      <c r="CY17" s="3">
        <v>3166.67</v>
      </c>
      <c r="CZ17" s="3"/>
      <c r="DA17" s="3"/>
    </row>
    <row r="18" spans="1:105" ht="15.75" customHeight="1" x14ac:dyDescent="0.25">
      <c r="A18" s="3" t="s">
        <v>102</v>
      </c>
      <c r="B18" s="3" t="s">
        <v>103</v>
      </c>
      <c r="C18" s="4" t="s">
        <v>211</v>
      </c>
      <c r="D18" s="4" t="s">
        <v>212</v>
      </c>
      <c r="E18" s="4" t="s">
        <v>213</v>
      </c>
      <c r="F18" s="3" t="s">
        <v>107</v>
      </c>
      <c r="G18" s="3" t="s">
        <v>108</v>
      </c>
      <c r="H18" s="3" t="s">
        <v>109</v>
      </c>
      <c r="I18" s="3" t="s">
        <v>110</v>
      </c>
      <c r="J18" s="3" t="s">
        <v>214</v>
      </c>
      <c r="K18" s="3" t="s">
        <v>215</v>
      </c>
      <c r="L18" s="3">
        <v>-21.258800000000001</v>
      </c>
      <c r="M18" s="3">
        <v>-63.511400000000002</v>
      </c>
      <c r="N18" s="3">
        <v>0.221</v>
      </c>
      <c r="O18" s="3">
        <v>23</v>
      </c>
      <c r="P18" s="3"/>
      <c r="Q18" s="3"/>
      <c r="R18" s="3">
        <v>8.3109999999999999</v>
      </c>
      <c r="S18" s="3">
        <v>-98</v>
      </c>
      <c r="T18" s="3">
        <v>1466</v>
      </c>
      <c r="U18" s="3">
        <v>0.7</v>
      </c>
      <c r="V18" s="3">
        <v>20.6</v>
      </c>
      <c r="W18" s="3">
        <v>8.52</v>
      </c>
      <c r="X18" s="3">
        <v>100.4</v>
      </c>
      <c r="Y18" s="3">
        <v>14.8</v>
      </c>
      <c r="Z18" s="3">
        <v>970</v>
      </c>
      <c r="AA18" s="3">
        <v>940</v>
      </c>
      <c r="AB18" s="3">
        <v>16</v>
      </c>
      <c r="AC18" s="3">
        <v>62</v>
      </c>
      <c r="AD18" s="3">
        <v>390</v>
      </c>
      <c r="AE18" s="3">
        <v>28.7</v>
      </c>
      <c r="AF18" s="3">
        <v>144</v>
      </c>
      <c r="AG18" s="3">
        <v>295</v>
      </c>
      <c r="AH18" s="3">
        <v>279</v>
      </c>
      <c r="AI18" s="3">
        <v>72.900000000000006</v>
      </c>
      <c r="AJ18" s="3">
        <v>50</v>
      </c>
      <c r="AK18" s="3">
        <v>163</v>
      </c>
      <c r="AL18" s="3">
        <v>9.0299999999999994</v>
      </c>
      <c r="AM18" s="3">
        <v>73.8</v>
      </c>
      <c r="AN18" s="3">
        <v>69.2</v>
      </c>
      <c r="AO18" s="3">
        <v>183</v>
      </c>
      <c r="AP18" s="3">
        <v>15.5</v>
      </c>
      <c r="AQ18" s="3">
        <v>0.09</v>
      </c>
      <c r="AR18" s="3">
        <v>0.06</v>
      </c>
      <c r="AS18" s="3"/>
      <c r="AT18" s="3"/>
      <c r="AU18" s="3"/>
      <c r="AV18" s="3">
        <v>0.3</v>
      </c>
      <c r="AW18" s="3">
        <v>15.8</v>
      </c>
      <c r="AX18" s="3">
        <v>18</v>
      </c>
      <c r="AY18" s="3"/>
      <c r="AZ18" s="3"/>
      <c r="BA18" s="3"/>
      <c r="BB18" s="3">
        <v>280</v>
      </c>
      <c r="BC18" s="3">
        <v>17</v>
      </c>
      <c r="BD18" s="3">
        <v>17000</v>
      </c>
      <c r="BE18" s="3">
        <f t="shared" si="26"/>
        <v>0.1</v>
      </c>
      <c r="BF18" s="3">
        <f t="shared" si="27"/>
        <v>1.5</v>
      </c>
      <c r="BG18" s="3">
        <f t="shared" si="31"/>
        <v>0.05</v>
      </c>
      <c r="BH18" s="3">
        <f t="shared" si="21"/>
        <v>0.5</v>
      </c>
      <c r="BI18" s="3">
        <v>2</v>
      </c>
      <c r="BJ18" s="3">
        <v>7</v>
      </c>
      <c r="BK18" s="3">
        <v>4</v>
      </c>
      <c r="BL18" s="3">
        <v>2</v>
      </c>
      <c r="BM18" s="3">
        <f t="shared" si="51"/>
        <v>1</v>
      </c>
      <c r="BN18" s="3">
        <v>6</v>
      </c>
      <c r="BO18" s="3">
        <f t="shared" si="33"/>
        <v>0.05</v>
      </c>
      <c r="BP18" s="3">
        <f t="shared" si="23"/>
        <v>0.1</v>
      </c>
      <c r="BQ18" s="3">
        <f t="shared" si="4"/>
        <v>0.05</v>
      </c>
      <c r="BR18" s="3"/>
      <c r="BS18" s="3">
        <v>255</v>
      </c>
      <c r="BT18" s="3">
        <v>536</v>
      </c>
      <c r="BU18" s="3">
        <f t="shared" si="43"/>
        <v>1</v>
      </c>
      <c r="BV18" s="3">
        <f t="shared" si="44"/>
        <v>1.5</v>
      </c>
      <c r="BW18" s="3">
        <v>38</v>
      </c>
      <c r="BX18" s="3">
        <f t="shared" si="24"/>
        <v>12.5</v>
      </c>
      <c r="BY18" s="3">
        <f t="shared" ref="BY18:BY22" si="54">0.5*25</f>
        <v>12.5</v>
      </c>
      <c r="BZ18" s="3">
        <v>31</v>
      </c>
      <c r="CA18" s="3">
        <v>4</v>
      </c>
      <c r="CB18" s="3">
        <f t="shared" si="28"/>
        <v>0.5</v>
      </c>
      <c r="CC18" s="3">
        <f t="shared" si="46"/>
        <v>1.5</v>
      </c>
      <c r="CD18" s="3">
        <f t="shared" si="25"/>
        <v>0.5</v>
      </c>
      <c r="CE18" s="3"/>
      <c r="CF18" s="3">
        <v>528</v>
      </c>
      <c r="CG18" s="3">
        <v>594</v>
      </c>
      <c r="CH18" s="3">
        <f t="shared" si="47"/>
        <v>12.5</v>
      </c>
      <c r="CI18" s="3"/>
      <c r="CJ18" s="3">
        <f t="shared" si="48"/>
        <v>0.01</v>
      </c>
      <c r="CK18" s="3">
        <f t="shared" si="49"/>
        <v>0.5</v>
      </c>
      <c r="CL18" s="3">
        <f t="shared" si="53"/>
        <v>5.0000000000000001E-4</v>
      </c>
      <c r="CM18" s="3">
        <f t="shared" si="50"/>
        <v>1.9E-2</v>
      </c>
      <c r="CN18" s="3"/>
      <c r="CO18" s="3"/>
      <c r="CP18" s="3">
        <v>1937.5</v>
      </c>
      <c r="CQ18" s="3"/>
      <c r="CR18" s="3"/>
      <c r="CS18" s="3"/>
      <c r="CT18" s="3">
        <v>3625</v>
      </c>
      <c r="CU18" s="3"/>
      <c r="CV18" s="3"/>
      <c r="CW18" s="3"/>
      <c r="CX18" s="3">
        <v>17062.5</v>
      </c>
      <c r="CY18" s="3">
        <v>1937.5</v>
      </c>
      <c r="CZ18" s="3"/>
      <c r="DA18" s="3"/>
    </row>
    <row r="19" spans="1:105" ht="15.75" customHeight="1" x14ac:dyDescent="0.25">
      <c r="A19" s="3" t="s">
        <v>120</v>
      </c>
      <c r="B19" s="3" t="s">
        <v>121</v>
      </c>
      <c r="C19" s="4" t="s">
        <v>216</v>
      </c>
      <c r="D19" s="4" t="s">
        <v>217</v>
      </c>
      <c r="E19" s="4" t="s">
        <v>213</v>
      </c>
      <c r="F19" s="3" t="s">
        <v>107</v>
      </c>
      <c r="G19" s="3" t="s">
        <v>108</v>
      </c>
      <c r="H19" s="3" t="s">
        <v>124</v>
      </c>
      <c r="I19" s="3" t="s">
        <v>125</v>
      </c>
      <c r="J19" s="3" t="s">
        <v>218</v>
      </c>
      <c r="K19" s="3" t="s">
        <v>219</v>
      </c>
      <c r="L19" s="3">
        <v>-21.2393</v>
      </c>
      <c r="M19" s="3">
        <v>-65.209599999999995</v>
      </c>
      <c r="N19" s="3">
        <v>0.3</v>
      </c>
      <c r="O19" s="3">
        <v>2</v>
      </c>
      <c r="P19" s="3"/>
      <c r="Q19" s="3"/>
      <c r="R19" s="3">
        <v>8.4139999999999997</v>
      </c>
      <c r="S19" s="3">
        <v>-103.1</v>
      </c>
      <c r="T19" s="3">
        <v>1492</v>
      </c>
      <c r="U19" s="3">
        <v>0.7</v>
      </c>
      <c r="V19" s="3">
        <v>19</v>
      </c>
      <c r="W19" s="3">
        <v>7.94</v>
      </c>
      <c r="X19" s="3">
        <v>114.4</v>
      </c>
      <c r="Y19" s="3">
        <v>13.4</v>
      </c>
      <c r="Z19" s="3">
        <v>1322</v>
      </c>
      <c r="AA19" s="3">
        <v>1312</v>
      </c>
      <c r="AB19" s="3">
        <v>10</v>
      </c>
      <c r="AC19" s="3">
        <v>11</v>
      </c>
      <c r="AD19" s="3">
        <v>663.2</v>
      </c>
      <c r="AE19" s="3">
        <v>10</v>
      </c>
      <c r="AF19" s="3">
        <v>160</v>
      </c>
      <c r="AG19" s="3">
        <v>101.9</v>
      </c>
      <c r="AH19" s="3">
        <v>460.3</v>
      </c>
      <c r="AI19" s="3">
        <v>111.75</v>
      </c>
      <c r="AJ19" s="3">
        <v>85.61</v>
      </c>
      <c r="AK19" s="3">
        <v>108.6</v>
      </c>
      <c r="AL19" s="3">
        <v>9.6999999999999993</v>
      </c>
      <c r="AM19" s="3">
        <v>113.79</v>
      </c>
      <c r="AN19" s="3">
        <v>85.61</v>
      </c>
      <c r="AO19" s="3">
        <v>109.1</v>
      </c>
      <c r="AP19" s="3">
        <v>11.5</v>
      </c>
      <c r="AQ19" s="3">
        <v>0.18</v>
      </c>
      <c r="AR19" s="3">
        <v>0.09</v>
      </c>
      <c r="AS19" s="3">
        <v>0.45</v>
      </c>
      <c r="AT19" s="3">
        <f t="shared" ref="AT19:AT20" si="55">0.5*0.02</f>
        <v>0.01</v>
      </c>
      <c r="AU19" s="3">
        <f>0.5*0.01</f>
        <v>5.0000000000000001E-3</v>
      </c>
      <c r="AV19" s="3">
        <v>2.9</v>
      </c>
      <c r="AW19" s="3">
        <f>0.5*5</f>
        <v>2.5</v>
      </c>
      <c r="AX19" s="3">
        <v>2</v>
      </c>
      <c r="AY19" s="3">
        <v>12</v>
      </c>
      <c r="AZ19" s="3">
        <v>0</v>
      </c>
      <c r="BA19" s="3">
        <v>0</v>
      </c>
      <c r="BB19" s="3"/>
      <c r="BC19" s="3"/>
      <c r="BD19" s="3">
        <v>3</v>
      </c>
      <c r="BE19" s="3">
        <f t="shared" si="26"/>
        <v>0.1</v>
      </c>
      <c r="BF19" s="3">
        <f t="shared" si="27"/>
        <v>1.5</v>
      </c>
      <c r="BG19" s="3">
        <f t="shared" si="31"/>
        <v>0.05</v>
      </c>
      <c r="BH19" s="3">
        <f t="shared" si="21"/>
        <v>0.5</v>
      </c>
      <c r="BI19" s="3">
        <v>3</v>
      </c>
      <c r="BJ19" s="3">
        <v>29</v>
      </c>
      <c r="BK19" s="3">
        <v>7</v>
      </c>
      <c r="BL19" s="3">
        <f t="shared" ref="BL19:BM19" si="56">0.5*2</f>
        <v>1</v>
      </c>
      <c r="BM19" s="3">
        <f t="shared" si="56"/>
        <v>1</v>
      </c>
      <c r="BN19" s="3">
        <v>4</v>
      </c>
      <c r="BO19" s="3">
        <f t="shared" si="33"/>
        <v>0.05</v>
      </c>
      <c r="BP19" s="3">
        <f t="shared" si="23"/>
        <v>0.1</v>
      </c>
      <c r="BQ19" s="3">
        <f t="shared" si="4"/>
        <v>0.05</v>
      </c>
      <c r="BR19" s="3"/>
      <c r="BS19" s="3">
        <v>438</v>
      </c>
      <c r="BT19" s="3">
        <v>1833</v>
      </c>
      <c r="BU19" s="3">
        <f t="shared" si="43"/>
        <v>1</v>
      </c>
      <c r="BV19" s="3">
        <f t="shared" si="44"/>
        <v>1.5</v>
      </c>
      <c r="BW19" s="3">
        <v>50</v>
      </c>
      <c r="BX19" s="3">
        <f t="shared" si="24"/>
        <v>12.5</v>
      </c>
      <c r="BY19" s="3">
        <f t="shared" si="54"/>
        <v>12.5</v>
      </c>
      <c r="BZ19" s="3">
        <f t="shared" ref="BZ19:BZ20" si="57">0.5*25</f>
        <v>12.5</v>
      </c>
      <c r="CA19" s="3">
        <v>4</v>
      </c>
      <c r="CB19" s="3">
        <f t="shared" si="28"/>
        <v>0.5</v>
      </c>
      <c r="CC19" s="3">
        <f t="shared" si="46"/>
        <v>1.5</v>
      </c>
      <c r="CD19" s="3">
        <f t="shared" si="25"/>
        <v>0.5</v>
      </c>
      <c r="CE19" s="3"/>
      <c r="CF19" s="3">
        <v>1210</v>
      </c>
      <c r="CG19" s="3">
        <v>2715</v>
      </c>
      <c r="CH19" s="3">
        <f t="shared" si="47"/>
        <v>12.5</v>
      </c>
      <c r="CI19" s="3"/>
      <c r="CJ19" s="3">
        <f t="shared" ref="CJ19:CJ20" si="58">0.5*0.002</f>
        <v>1E-3</v>
      </c>
      <c r="CK19" s="3">
        <f t="shared" ref="CK19:CL19" si="59">0.5*0.001</f>
        <v>5.0000000000000001E-4</v>
      </c>
      <c r="CL19" s="3">
        <f t="shared" si="59"/>
        <v>5.0000000000000001E-4</v>
      </c>
      <c r="CM19" s="3"/>
      <c r="CN19" s="3"/>
      <c r="CO19" s="3"/>
      <c r="CP19" s="3"/>
      <c r="CQ19" s="3"/>
      <c r="CR19" s="3">
        <v>0</v>
      </c>
      <c r="CS19" s="3"/>
      <c r="CT19" s="3">
        <v>88200</v>
      </c>
      <c r="CU19" s="3"/>
      <c r="CV19" s="3"/>
      <c r="CW19" s="3"/>
      <c r="CX19" s="3">
        <v>77200</v>
      </c>
      <c r="CY19" s="3">
        <v>2100</v>
      </c>
      <c r="CZ19" s="3"/>
      <c r="DA19" s="3"/>
    </row>
    <row r="20" spans="1:105" ht="15.75" customHeight="1" x14ac:dyDescent="0.25">
      <c r="A20" s="3" t="s">
        <v>128</v>
      </c>
      <c r="B20" s="3" t="s">
        <v>129</v>
      </c>
      <c r="C20" s="4" t="s">
        <v>216</v>
      </c>
      <c r="D20" s="4" t="s">
        <v>116</v>
      </c>
      <c r="E20" s="4" t="s">
        <v>213</v>
      </c>
      <c r="F20" s="3" t="s">
        <v>107</v>
      </c>
      <c r="G20" s="3" t="s">
        <v>108</v>
      </c>
      <c r="H20" s="3" t="s">
        <v>131</v>
      </c>
      <c r="I20" s="3" t="s">
        <v>132</v>
      </c>
      <c r="J20" s="3" t="s">
        <v>220</v>
      </c>
      <c r="K20" s="3" t="s">
        <v>221</v>
      </c>
      <c r="L20" s="3">
        <v>-20.7422</v>
      </c>
      <c r="M20" s="3">
        <v>-65.241200000000006</v>
      </c>
      <c r="N20" s="3">
        <v>0.42799999999999999</v>
      </c>
      <c r="O20" s="3">
        <v>3</v>
      </c>
      <c r="P20" s="3"/>
      <c r="Q20" s="3"/>
      <c r="R20" s="3">
        <v>8.3379999999999992</v>
      </c>
      <c r="S20" s="3">
        <v>-97.6</v>
      </c>
      <c r="T20" s="3">
        <v>1297</v>
      </c>
      <c r="U20" s="3">
        <v>0.6</v>
      </c>
      <c r="V20" s="3">
        <v>15.5</v>
      </c>
      <c r="W20" s="3">
        <v>8.42</v>
      </c>
      <c r="X20" s="3">
        <v>111.8</v>
      </c>
      <c r="Y20" s="3">
        <v>59</v>
      </c>
      <c r="Z20" s="3">
        <v>1113</v>
      </c>
      <c r="AA20" s="3">
        <v>1062</v>
      </c>
      <c r="AB20" s="3">
        <v>51</v>
      </c>
      <c r="AC20" s="3">
        <v>18</v>
      </c>
      <c r="AD20" s="3">
        <v>498.2</v>
      </c>
      <c r="AE20" s="3">
        <v>10</v>
      </c>
      <c r="AF20" s="3">
        <v>130</v>
      </c>
      <c r="AG20" s="3">
        <v>74.900000000000006</v>
      </c>
      <c r="AH20" s="3">
        <v>349.9</v>
      </c>
      <c r="AI20" s="3">
        <v>74.489999999999995</v>
      </c>
      <c r="AJ20" s="3">
        <v>68.98</v>
      </c>
      <c r="AK20" s="3">
        <v>81.3</v>
      </c>
      <c r="AL20" s="3">
        <v>9.9</v>
      </c>
      <c r="AM20" s="3">
        <v>74.489999999999995</v>
      </c>
      <c r="AN20" s="3">
        <v>68.98</v>
      </c>
      <c r="AO20" s="3">
        <v>88.3</v>
      </c>
      <c r="AP20" s="3">
        <v>11.8</v>
      </c>
      <c r="AQ20" s="3">
        <v>0.09</v>
      </c>
      <c r="AR20" s="3">
        <v>0.09</v>
      </c>
      <c r="AS20" s="3">
        <v>0.49</v>
      </c>
      <c r="AT20" s="3">
        <f t="shared" si="55"/>
        <v>0.01</v>
      </c>
      <c r="AU20" s="3">
        <v>2.15</v>
      </c>
      <c r="AV20" s="3">
        <v>2.2000000000000002</v>
      </c>
      <c r="AW20" s="3">
        <v>5</v>
      </c>
      <c r="AX20" s="3">
        <v>7</v>
      </c>
      <c r="AY20" s="3">
        <v>39</v>
      </c>
      <c r="AZ20" s="3">
        <v>4</v>
      </c>
      <c r="BA20" s="3">
        <v>1</v>
      </c>
      <c r="BB20" s="3"/>
      <c r="BC20" s="3"/>
      <c r="BD20" s="3">
        <v>23</v>
      </c>
      <c r="BE20" s="3">
        <f t="shared" si="26"/>
        <v>0.1</v>
      </c>
      <c r="BF20" s="3">
        <f t="shared" si="27"/>
        <v>1.5</v>
      </c>
      <c r="BG20" s="3">
        <f t="shared" si="31"/>
        <v>0.05</v>
      </c>
      <c r="BH20" s="3">
        <f t="shared" si="21"/>
        <v>0.5</v>
      </c>
      <c r="BI20" s="3">
        <v>2</v>
      </c>
      <c r="BJ20" s="3">
        <v>140</v>
      </c>
      <c r="BK20" s="3">
        <v>6</v>
      </c>
      <c r="BL20" s="3">
        <f>0.5*2</f>
        <v>1</v>
      </c>
      <c r="BM20" s="3">
        <v>2</v>
      </c>
      <c r="BN20" s="3">
        <v>7</v>
      </c>
      <c r="BO20" s="3">
        <f t="shared" si="33"/>
        <v>0.05</v>
      </c>
      <c r="BP20" s="3">
        <f t="shared" si="23"/>
        <v>0.1</v>
      </c>
      <c r="BQ20" s="3">
        <f t="shared" si="4"/>
        <v>0.05</v>
      </c>
      <c r="BR20" s="3"/>
      <c r="BS20" s="3">
        <v>272</v>
      </c>
      <c r="BT20" s="3">
        <v>858</v>
      </c>
      <c r="BU20" s="3">
        <f t="shared" si="43"/>
        <v>1</v>
      </c>
      <c r="BV20" s="3">
        <f t="shared" si="44"/>
        <v>1.5</v>
      </c>
      <c r="BW20" s="3">
        <v>190</v>
      </c>
      <c r="BX20" s="3">
        <f t="shared" si="24"/>
        <v>12.5</v>
      </c>
      <c r="BY20" s="3">
        <f t="shared" si="54"/>
        <v>12.5</v>
      </c>
      <c r="BZ20" s="3">
        <f t="shared" si="57"/>
        <v>12.5</v>
      </c>
      <c r="CA20" s="3">
        <v>5</v>
      </c>
      <c r="CB20" s="3">
        <f t="shared" si="28"/>
        <v>0.5</v>
      </c>
      <c r="CC20" s="3">
        <f t="shared" si="46"/>
        <v>1.5</v>
      </c>
      <c r="CD20" s="3">
        <f t="shared" si="25"/>
        <v>0.5</v>
      </c>
      <c r="CE20" s="3"/>
      <c r="CF20" s="3">
        <v>1525</v>
      </c>
      <c r="CG20" s="3">
        <v>1000</v>
      </c>
      <c r="CH20" s="3">
        <f t="shared" si="47"/>
        <v>12.5</v>
      </c>
      <c r="CI20" s="3"/>
      <c r="CJ20" s="3">
        <f t="shared" si="58"/>
        <v>1E-3</v>
      </c>
      <c r="CK20" s="3">
        <f t="shared" ref="CK20:CL20" si="60">0.5*0.001</f>
        <v>5.0000000000000001E-4</v>
      </c>
      <c r="CL20" s="3">
        <f t="shared" si="60"/>
        <v>5.0000000000000001E-4</v>
      </c>
      <c r="CM20" s="3"/>
      <c r="CN20" s="3"/>
      <c r="CO20" s="3"/>
      <c r="CP20" s="3"/>
      <c r="CQ20" s="3"/>
      <c r="CR20" s="3"/>
      <c r="CS20" s="3"/>
      <c r="CT20" s="3">
        <v>2784.31</v>
      </c>
      <c r="CU20" s="3"/>
      <c r="CV20" s="3"/>
      <c r="CW20" s="3"/>
      <c r="CX20" s="3">
        <v>24568.63</v>
      </c>
      <c r="CY20" s="3">
        <v>980.39</v>
      </c>
      <c r="CZ20" s="3"/>
      <c r="DA20" s="3"/>
    </row>
    <row r="21" spans="1:105" ht="15.75" customHeight="1" x14ac:dyDescent="0.25">
      <c r="A21" s="3" t="s">
        <v>222</v>
      </c>
      <c r="B21" s="3" t="s">
        <v>223</v>
      </c>
      <c r="C21" s="4" t="s">
        <v>224</v>
      </c>
      <c r="D21" s="4" t="s">
        <v>194</v>
      </c>
      <c r="E21" s="4" t="s">
        <v>213</v>
      </c>
      <c r="F21" s="3" t="s">
        <v>107</v>
      </c>
      <c r="G21" s="3" t="s">
        <v>108</v>
      </c>
      <c r="H21" s="3" t="s">
        <v>109</v>
      </c>
      <c r="J21" s="3" t="s">
        <v>225</v>
      </c>
      <c r="K21" s="3" t="s">
        <v>226</v>
      </c>
      <c r="L21" s="3">
        <v>-22.2136</v>
      </c>
      <c r="M21" s="3">
        <v>-62.688000000000002</v>
      </c>
      <c r="N21" s="3"/>
      <c r="O21" s="3"/>
      <c r="P21" s="3"/>
      <c r="Q21" s="3"/>
      <c r="R21" s="3">
        <v>8.2029999999999994</v>
      </c>
      <c r="S21" s="3">
        <v>-85.6</v>
      </c>
      <c r="T21" s="3">
        <v>1253</v>
      </c>
      <c r="U21" s="3">
        <v>0.6</v>
      </c>
      <c r="V21" s="3">
        <v>26.7</v>
      </c>
      <c r="W21" s="3">
        <v>7.62</v>
      </c>
      <c r="X21" s="3">
        <v>99.2</v>
      </c>
      <c r="Y21" s="3">
        <v>304</v>
      </c>
      <c r="Z21" s="3">
        <v>1186</v>
      </c>
      <c r="AA21" s="3">
        <v>825</v>
      </c>
      <c r="AB21" s="3">
        <v>361</v>
      </c>
      <c r="AC21" s="3">
        <v>6</v>
      </c>
      <c r="AD21" s="3">
        <v>302</v>
      </c>
      <c r="AE21" s="3"/>
      <c r="AF21" s="3">
        <v>94</v>
      </c>
      <c r="AG21" s="3">
        <v>186</v>
      </c>
      <c r="AH21" s="3">
        <v>337</v>
      </c>
      <c r="AI21" s="3">
        <v>71</v>
      </c>
      <c r="AJ21" s="3">
        <v>30.3</v>
      </c>
      <c r="AK21" s="3">
        <v>162</v>
      </c>
      <c r="AL21" s="3">
        <v>8.1999999999999993</v>
      </c>
      <c r="AM21" s="3"/>
      <c r="AN21" s="3"/>
      <c r="AO21" s="3"/>
      <c r="AP21" s="3"/>
      <c r="AQ21" s="3"/>
      <c r="AR21" s="3"/>
      <c r="AS21" s="3">
        <v>0.1</v>
      </c>
      <c r="AT21" s="3">
        <f>0.5*0.03</f>
        <v>1.4999999999999999E-2</v>
      </c>
      <c r="AU21" s="3"/>
      <c r="AV21" s="3"/>
      <c r="AW21" s="3">
        <f>0.5*2</f>
        <v>1</v>
      </c>
      <c r="AX21" s="3">
        <v>9</v>
      </c>
      <c r="AY21" s="3"/>
      <c r="AZ21" s="3"/>
      <c r="BA21" s="3"/>
      <c r="BB21" s="3">
        <v>7500</v>
      </c>
      <c r="BC21" s="3">
        <v>91</v>
      </c>
      <c r="BD21" s="3"/>
      <c r="BE21" s="3">
        <f t="shared" si="26"/>
        <v>0.1</v>
      </c>
      <c r="BF21" s="3">
        <f t="shared" si="27"/>
        <v>1.5</v>
      </c>
      <c r="BG21" s="3">
        <f t="shared" si="31"/>
        <v>0.05</v>
      </c>
      <c r="BH21" s="3">
        <f t="shared" si="21"/>
        <v>0.5</v>
      </c>
      <c r="BI21" s="3">
        <v>1</v>
      </c>
      <c r="BJ21" s="3">
        <v>18</v>
      </c>
      <c r="BK21" s="3">
        <v>4</v>
      </c>
      <c r="BL21" s="3">
        <v>2</v>
      </c>
      <c r="BM21" s="3">
        <f t="shared" ref="BM21:BM23" si="61">0.5*2</f>
        <v>1</v>
      </c>
      <c r="BN21" s="3">
        <v>4</v>
      </c>
      <c r="BO21" s="3">
        <f t="shared" si="33"/>
        <v>0.05</v>
      </c>
      <c r="BP21" s="3">
        <f t="shared" si="23"/>
        <v>0.1</v>
      </c>
      <c r="BQ21" s="3">
        <f t="shared" si="4"/>
        <v>0.05</v>
      </c>
      <c r="BR21" s="3"/>
      <c r="BS21" s="3">
        <v>255</v>
      </c>
      <c r="BT21" s="3">
        <v>505</v>
      </c>
      <c r="BU21" s="3">
        <f t="shared" si="43"/>
        <v>1</v>
      </c>
      <c r="BV21" s="3">
        <v>4</v>
      </c>
      <c r="BW21" s="3">
        <v>194</v>
      </c>
      <c r="BX21" s="3">
        <f t="shared" si="24"/>
        <v>12.5</v>
      </c>
      <c r="BY21" s="3">
        <f t="shared" si="54"/>
        <v>12.5</v>
      </c>
      <c r="BZ21" s="3">
        <v>35</v>
      </c>
      <c r="CA21" s="3">
        <v>5</v>
      </c>
      <c r="CB21" s="3">
        <f t="shared" si="28"/>
        <v>0.5</v>
      </c>
      <c r="CC21" s="3">
        <v>7</v>
      </c>
      <c r="CD21" s="3">
        <f t="shared" si="25"/>
        <v>0.5</v>
      </c>
      <c r="CE21" s="3"/>
      <c r="CF21" s="3">
        <v>6607</v>
      </c>
      <c r="CG21" s="3">
        <v>677</v>
      </c>
      <c r="CH21" s="3">
        <f t="shared" si="47"/>
        <v>12.5</v>
      </c>
      <c r="CI21" s="3"/>
      <c r="CJ21" s="3"/>
      <c r="CK21" s="3"/>
      <c r="CL21" s="3">
        <f t="shared" ref="CL21:CL26" si="62">0.5*0.001</f>
        <v>5.0000000000000001E-4</v>
      </c>
      <c r="CM21" s="3">
        <f t="shared" ref="CM21:CM31" si="63">0.5*0.038</f>
        <v>1.9E-2</v>
      </c>
      <c r="CN21" s="3"/>
      <c r="CO21" s="3"/>
      <c r="CP21" s="3">
        <v>96.95</v>
      </c>
      <c r="CQ21" s="3"/>
      <c r="CR21" s="3">
        <v>2.77</v>
      </c>
      <c r="CS21" s="3"/>
      <c r="CT21" s="3">
        <v>476.45</v>
      </c>
      <c r="CU21" s="3"/>
      <c r="CV21" s="3"/>
      <c r="CW21" s="3">
        <v>8.31</v>
      </c>
      <c r="CX21" s="3">
        <v>17595.57</v>
      </c>
      <c r="CY21" s="3">
        <v>487.53</v>
      </c>
      <c r="CZ21" s="3"/>
      <c r="DA21" s="3"/>
    </row>
    <row r="22" spans="1:105" ht="15.75" customHeight="1" x14ac:dyDescent="0.25">
      <c r="A22" s="3" t="s">
        <v>227</v>
      </c>
      <c r="B22" s="3" t="s">
        <v>228</v>
      </c>
      <c r="C22" s="4" t="s">
        <v>229</v>
      </c>
      <c r="D22" s="4" t="s">
        <v>116</v>
      </c>
      <c r="E22" s="4" t="s">
        <v>213</v>
      </c>
      <c r="F22" s="3" t="s">
        <v>107</v>
      </c>
      <c r="G22" s="3" t="s">
        <v>108</v>
      </c>
      <c r="H22" s="3" t="s">
        <v>230</v>
      </c>
      <c r="I22" s="3" t="s">
        <v>231</v>
      </c>
      <c r="J22" s="3" t="s">
        <v>232</v>
      </c>
      <c r="K22" s="3" t="s">
        <v>233</v>
      </c>
      <c r="L22" s="3">
        <v>-22.667899999999999</v>
      </c>
      <c r="M22" s="3">
        <v>-62.2087</v>
      </c>
      <c r="N22" s="3"/>
      <c r="O22" s="3"/>
      <c r="P22" s="3"/>
      <c r="Q22" s="3"/>
      <c r="R22" s="3">
        <v>8.1630000000000003</v>
      </c>
      <c r="S22" s="3">
        <v>-83</v>
      </c>
      <c r="T22" s="3">
        <v>1337</v>
      </c>
      <c r="U22" s="3">
        <v>0.6</v>
      </c>
      <c r="V22" s="3">
        <v>25.5</v>
      </c>
      <c r="W22" s="3">
        <v>7.72</v>
      </c>
      <c r="X22" s="3">
        <v>98.1</v>
      </c>
      <c r="Y22" s="3">
        <v>618</v>
      </c>
      <c r="Z22" s="3">
        <v>1026</v>
      </c>
      <c r="AA22" s="3">
        <v>876</v>
      </c>
      <c r="AB22" s="3">
        <v>150</v>
      </c>
      <c r="AC22" s="3">
        <v>4</v>
      </c>
      <c r="AD22" s="3">
        <v>302</v>
      </c>
      <c r="AE22" s="3"/>
      <c r="AF22" s="3">
        <v>136</v>
      </c>
      <c r="AG22" s="3">
        <v>196</v>
      </c>
      <c r="AH22" s="3">
        <v>345</v>
      </c>
      <c r="AI22" s="3">
        <v>65</v>
      </c>
      <c r="AJ22" s="3">
        <v>34</v>
      </c>
      <c r="AK22" s="3">
        <v>191</v>
      </c>
      <c r="AL22" s="3">
        <v>6.5</v>
      </c>
      <c r="AM22" s="3"/>
      <c r="AN22" s="3"/>
      <c r="AO22" s="3"/>
      <c r="AP22" s="3"/>
      <c r="AQ22" s="3"/>
      <c r="AR22" s="3"/>
      <c r="AS22" s="3">
        <f>0.5*0.05</f>
        <v>2.5000000000000001E-2</v>
      </c>
      <c r="AT22" s="3">
        <v>0.03</v>
      </c>
      <c r="AU22" s="3"/>
      <c r="AV22" s="3"/>
      <c r="AW22" s="3">
        <v>2</v>
      </c>
      <c r="AX22" s="3">
        <v>8</v>
      </c>
      <c r="AY22" s="3"/>
      <c r="AZ22" s="3"/>
      <c r="BA22" s="3"/>
      <c r="BB22" s="3">
        <v>2300</v>
      </c>
      <c r="BC22" s="3">
        <v>91</v>
      </c>
      <c r="BD22" s="3"/>
      <c r="BE22" s="3">
        <f t="shared" si="26"/>
        <v>0.1</v>
      </c>
      <c r="BF22" s="3">
        <f t="shared" si="27"/>
        <v>1.5</v>
      </c>
      <c r="BG22" s="3">
        <f t="shared" si="31"/>
        <v>0.05</v>
      </c>
      <c r="BH22" s="3">
        <f t="shared" si="21"/>
        <v>0.5</v>
      </c>
      <c r="BI22" s="3">
        <v>1</v>
      </c>
      <c r="BJ22" s="3">
        <v>19</v>
      </c>
      <c r="BK22" s="3">
        <v>4</v>
      </c>
      <c r="BL22" s="3">
        <v>2</v>
      </c>
      <c r="BM22" s="3">
        <f t="shared" si="61"/>
        <v>1</v>
      </c>
      <c r="BN22" s="3">
        <v>3</v>
      </c>
      <c r="BO22" s="3">
        <f t="shared" si="33"/>
        <v>0.05</v>
      </c>
      <c r="BP22" s="3">
        <f t="shared" si="23"/>
        <v>0.1</v>
      </c>
      <c r="BQ22" s="3">
        <f t="shared" si="4"/>
        <v>0.05</v>
      </c>
      <c r="BR22" s="3"/>
      <c r="BS22" s="3">
        <v>240</v>
      </c>
      <c r="BT22" s="3">
        <v>480</v>
      </c>
      <c r="BU22" s="3">
        <f t="shared" si="43"/>
        <v>1</v>
      </c>
      <c r="BV22" s="3">
        <v>8</v>
      </c>
      <c r="BW22" s="3">
        <v>428</v>
      </c>
      <c r="BX22" s="3">
        <f t="shared" si="24"/>
        <v>12.5</v>
      </c>
      <c r="BY22" s="3">
        <f t="shared" si="54"/>
        <v>12.5</v>
      </c>
      <c r="BZ22" s="3">
        <v>64</v>
      </c>
      <c r="CA22" s="3">
        <v>10</v>
      </c>
      <c r="CB22" s="3">
        <f t="shared" si="28"/>
        <v>0.5</v>
      </c>
      <c r="CC22" s="3">
        <v>16</v>
      </c>
      <c r="CD22" s="3">
        <f t="shared" si="25"/>
        <v>0.5</v>
      </c>
      <c r="CE22" s="3"/>
      <c r="CF22" s="3">
        <v>14754</v>
      </c>
      <c r="CG22" s="3">
        <v>690</v>
      </c>
      <c r="CH22" s="3">
        <f t="shared" si="47"/>
        <v>12.5</v>
      </c>
      <c r="CI22" s="3"/>
      <c r="CJ22" s="3"/>
      <c r="CK22" s="3"/>
      <c r="CL22" s="3">
        <f t="shared" si="62"/>
        <v>5.0000000000000001E-4</v>
      </c>
      <c r="CM22" s="3">
        <f t="shared" si="63"/>
        <v>1.9E-2</v>
      </c>
      <c r="CN22" s="3"/>
      <c r="CO22" s="3"/>
      <c r="CP22" s="3">
        <v>426.67</v>
      </c>
      <c r="CQ22" s="3">
        <v>63.33</v>
      </c>
      <c r="CR22" s="3">
        <v>46.67</v>
      </c>
      <c r="CS22" s="3"/>
      <c r="CT22" s="3">
        <v>1400</v>
      </c>
      <c r="CU22" s="3"/>
      <c r="CV22" s="3"/>
      <c r="CW22" s="3">
        <v>46.67</v>
      </c>
      <c r="CX22" s="3">
        <v>96760</v>
      </c>
      <c r="CY22" s="3">
        <v>2726.67</v>
      </c>
      <c r="CZ22" s="3"/>
      <c r="DA22" s="3"/>
    </row>
    <row r="23" spans="1:105" ht="15.75" customHeight="1" x14ac:dyDescent="0.25">
      <c r="A23" s="3" t="s">
        <v>234</v>
      </c>
      <c r="B23" s="3" t="s">
        <v>235</v>
      </c>
      <c r="C23" s="4" t="s">
        <v>229</v>
      </c>
      <c r="D23" s="4" t="s">
        <v>236</v>
      </c>
      <c r="E23" s="4" t="s">
        <v>213</v>
      </c>
      <c r="F23" s="3" t="s">
        <v>107</v>
      </c>
      <c r="G23" s="3" t="s">
        <v>108</v>
      </c>
      <c r="H23" s="3" t="s">
        <v>230</v>
      </c>
      <c r="I23" s="3" t="s">
        <v>231</v>
      </c>
      <c r="J23" s="3" t="s">
        <v>237</v>
      </c>
      <c r="K23" s="3" t="s">
        <v>238</v>
      </c>
      <c r="L23" s="3">
        <v>-23.138100000000001</v>
      </c>
      <c r="M23" s="3">
        <v>-61.963799999999999</v>
      </c>
      <c r="N23" s="3"/>
      <c r="O23" s="3"/>
      <c r="P23" s="3"/>
      <c r="Q23" s="3"/>
      <c r="R23" s="3">
        <v>8.1869999999999994</v>
      </c>
      <c r="S23" s="3">
        <v>-83.6</v>
      </c>
      <c r="T23" s="3">
        <v>1305</v>
      </c>
      <c r="U23" s="3">
        <v>0.6</v>
      </c>
      <c r="V23" s="3">
        <v>22.7</v>
      </c>
      <c r="W23" s="3">
        <v>7.8</v>
      </c>
      <c r="X23" s="3">
        <v>93.4</v>
      </c>
      <c r="Y23" s="3">
        <v>799</v>
      </c>
      <c r="Z23" s="3">
        <v>1982</v>
      </c>
      <c r="AA23" s="3">
        <v>788</v>
      </c>
      <c r="AB23" s="3">
        <v>1194</v>
      </c>
      <c r="AC23" s="3">
        <v>8</v>
      </c>
      <c r="AD23" s="3">
        <v>295</v>
      </c>
      <c r="AE23" s="3"/>
      <c r="AF23" s="3">
        <v>121</v>
      </c>
      <c r="AG23" s="3">
        <v>189</v>
      </c>
      <c r="AH23" s="3">
        <v>285</v>
      </c>
      <c r="AI23" s="3">
        <v>66</v>
      </c>
      <c r="AJ23" s="3">
        <v>32</v>
      </c>
      <c r="AK23" s="3">
        <v>169</v>
      </c>
      <c r="AL23" s="3">
        <v>6.9</v>
      </c>
      <c r="AM23" s="3"/>
      <c r="AN23" s="3"/>
      <c r="AO23" s="3"/>
      <c r="AP23" s="3"/>
      <c r="AQ23" s="3"/>
      <c r="AR23" s="3"/>
      <c r="AS23" s="3">
        <v>7.0000000000000007E-2</v>
      </c>
      <c r="AT23" s="3">
        <f t="shared" ref="AT23:AT25" si="64">0.5*0.03</f>
        <v>1.4999999999999999E-2</v>
      </c>
      <c r="AU23" s="3"/>
      <c r="AV23" s="3"/>
      <c r="AW23" s="3">
        <f t="shared" ref="AW23:AW25" si="65">0.5*2</f>
        <v>1</v>
      </c>
      <c r="AX23" s="3">
        <v>5</v>
      </c>
      <c r="AY23" s="3"/>
      <c r="AZ23" s="3"/>
      <c r="BA23" s="3"/>
      <c r="BB23" s="3">
        <v>430</v>
      </c>
      <c r="BC23" s="3">
        <v>430</v>
      </c>
      <c r="BD23" s="3"/>
      <c r="BE23" s="3">
        <f t="shared" si="26"/>
        <v>0.1</v>
      </c>
      <c r="BF23" s="3">
        <f t="shared" si="27"/>
        <v>1.5</v>
      </c>
      <c r="BG23" s="3">
        <f t="shared" si="31"/>
        <v>0.05</v>
      </c>
      <c r="BH23" s="3">
        <f t="shared" si="21"/>
        <v>0.5</v>
      </c>
      <c r="BI23" s="3">
        <v>1</v>
      </c>
      <c r="BJ23" s="3">
        <f>0.5*2</f>
        <v>1</v>
      </c>
      <c r="BK23" s="3">
        <v>4</v>
      </c>
      <c r="BL23" s="3">
        <v>2</v>
      </c>
      <c r="BM23" s="3">
        <f t="shared" si="61"/>
        <v>1</v>
      </c>
      <c r="BN23" s="3">
        <v>3</v>
      </c>
      <c r="BO23" s="3">
        <f t="shared" si="33"/>
        <v>0.05</v>
      </c>
      <c r="BP23" s="3">
        <f t="shared" si="23"/>
        <v>0.1</v>
      </c>
      <c r="BQ23" s="3">
        <f t="shared" si="4"/>
        <v>0.05</v>
      </c>
      <c r="BR23" s="3"/>
      <c r="BS23" s="3">
        <v>252</v>
      </c>
      <c r="BT23" s="3">
        <v>482</v>
      </c>
      <c r="BU23" s="3">
        <f t="shared" si="43"/>
        <v>1</v>
      </c>
      <c r="BV23" s="3">
        <f t="shared" ref="BV23:BV24" si="66">0.5*3</f>
        <v>1.5</v>
      </c>
      <c r="BW23" s="3">
        <v>744</v>
      </c>
      <c r="BX23" s="3">
        <v>27</v>
      </c>
      <c r="BY23" s="3">
        <v>31</v>
      </c>
      <c r="BZ23" s="3">
        <v>91</v>
      </c>
      <c r="CA23" s="3">
        <v>11</v>
      </c>
      <c r="CB23" s="3">
        <f t="shared" si="28"/>
        <v>0.5</v>
      </c>
      <c r="CC23" s="3">
        <v>20</v>
      </c>
      <c r="CD23" s="3">
        <f t="shared" si="25"/>
        <v>0.5</v>
      </c>
      <c r="CE23" s="3"/>
      <c r="CF23" s="3">
        <v>19847</v>
      </c>
      <c r="CG23" s="3">
        <v>1147</v>
      </c>
      <c r="CH23" s="3">
        <f t="shared" si="47"/>
        <v>12.5</v>
      </c>
      <c r="CI23" s="3"/>
      <c r="CJ23" s="3"/>
      <c r="CK23" s="3"/>
      <c r="CL23" s="3">
        <f t="shared" si="62"/>
        <v>5.0000000000000001E-4</v>
      </c>
      <c r="CM23" s="3">
        <f t="shared" si="63"/>
        <v>1.9E-2</v>
      </c>
      <c r="CN23" s="3"/>
      <c r="CO23" s="3"/>
      <c r="CP23" s="3">
        <v>76.209999999999994</v>
      </c>
      <c r="CQ23" s="3">
        <v>10.97</v>
      </c>
      <c r="CR23" s="3">
        <v>6.7</v>
      </c>
      <c r="CS23" s="3"/>
      <c r="CT23" s="3">
        <v>556.95000000000005</v>
      </c>
      <c r="CU23" s="3"/>
      <c r="CV23" s="3">
        <v>24.29</v>
      </c>
      <c r="CW23" s="3"/>
      <c r="CX23" s="3">
        <v>16411.22</v>
      </c>
      <c r="CY23" s="3">
        <v>623.12</v>
      </c>
      <c r="CZ23" s="3">
        <v>19.260000000000002</v>
      </c>
      <c r="DA23" s="3"/>
    </row>
    <row r="24" spans="1:105" ht="15.75" customHeight="1" x14ac:dyDescent="0.25">
      <c r="A24" s="3" t="s">
        <v>239</v>
      </c>
      <c r="B24" s="3" t="s">
        <v>240</v>
      </c>
      <c r="C24" s="4" t="s">
        <v>241</v>
      </c>
      <c r="D24" s="4" t="s">
        <v>242</v>
      </c>
      <c r="E24" s="4" t="s">
        <v>213</v>
      </c>
      <c r="F24" s="3" t="s">
        <v>107</v>
      </c>
      <c r="G24" s="3" t="s">
        <v>108</v>
      </c>
      <c r="H24" s="3" t="s">
        <v>230</v>
      </c>
      <c r="I24" s="3" t="s">
        <v>231</v>
      </c>
      <c r="J24" s="3" t="s">
        <v>243</v>
      </c>
      <c r="K24" s="3" t="s">
        <v>244</v>
      </c>
      <c r="L24" s="3">
        <v>-24.358699999999999</v>
      </c>
      <c r="M24" s="3">
        <v>-60.306399999999996</v>
      </c>
      <c r="N24" s="3"/>
      <c r="O24" s="3"/>
      <c r="P24" s="3"/>
      <c r="Q24" s="3"/>
      <c r="R24" s="3">
        <v>7.4669999999999996</v>
      </c>
      <c r="S24" s="3">
        <v>-42.4</v>
      </c>
      <c r="T24" s="3">
        <v>987</v>
      </c>
      <c r="U24" s="3">
        <v>0.4</v>
      </c>
      <c r="V24" s="3">
        <v>19.8</v>
      </c>
      <c r="W24" s="3">
        <v>7.21</v>
      </c>
      <c r="X24" s="3">
        <v>81.400000000000006</v>
      </c>
      <c r="Y24" s="3">
        <v>0.5</v>
      </c>
      <c r="Z24" s="3">
        <v>628</v>
      </c>
      <c r="AA24" s="3">
        <v>594</v>
      </c>
      <c r="AB24" s="3">
        <v>34</v>
      </c>
      <c r="AC24" s="3">
        <v>18</v>
      </c>
      <c r="AD24" s="3">
        <v>291</v>
      </c>
      <c r="AE24" s="3"/>
      <c r="AF24" s="3">
        <v>153</v>
      </c>
      <c r="AG24" s="3">
        <v>110</v>
      </c>
      <c r="AH24" s="3">
        <v>286</v>
      </c>
      <c r="AI24" s="3">
        <v>73</v>
      </c>
      <c r="AJ24" s="3">
        <v>26</v>
      </c>
      <c r="AK24" s="3">
        <v>110</v>
      </c>
      <c r="AL24" s="3">
        <v>6.9</v>
      </c>
      <c r="AM24" s="3"/>
      <c r="AN24" s="3"/>
      <c r="AO24" s="3"/>
      <c r="AP24" s="3"/>
      <c r="AQ24" s="3"/>
      <c r="AR24" s="3"/>
      <c r="AS24" s="3">
        <f t="shared" ref="AS24:AS25" si="67">0.5*0.05</f>
        <v>2.5000000000000001E-2</v>
      </c>
      <c r="AT24" s="3">
        <f t="shared" si="64"/>
        <v>1.4999999999999999E-2</v>
      </c>
      <c r="AU24" s="3"/>
      <c r="AV24" s="3"/>
      <c r="AW24" s="3">
        <f t="shared" si="65"/>
        <v>1</v>
      </c>
      <c r="AX24" s="3">
        <v>19</v>
      </c>
      <c r="AY24" s="3"/>
      <c r="AZ24" s="3"/>
      <c r="BA24" s="3"/>
      <c r="BB24" s="3">
        <v>150</v>
      </c>
      <c r="BC24" s="3">
        <f>0.5*30</f>
        <v>15</v>
      </c>
      <c r="BD24" s="3"/>
      <c r="BE24" s="3">
        <f t="shared" si="26"/>
        <v>0.1</v>
      </c>
      <c r="BF24" s="3">
        <f t="shared" si="27"/>
        <v>1.5</v>
      </c>
      <c r="BG24" s="3">
        <f t="shared" si="31"/>
        <v>0.05</v>
      </c>
      <c r="BH24" s="3">
        <f t="shared" si="21"/>
        <v>0.5</v>
      </c>
      <c r="BI24" s="3">
        <v>2</v>
      </c>
      <c r="BJ24" s="3">
        <v>4</v>
      </c>
      <c r="BK24" s="3">
        <v>4</v>
      </c>
      <c r="BL24" s="3">
        <f t="shared" ref="BL24:BM24" si="68">0.5*2</f>
        <v>1</v>
      </c>
      <c r="BM24" s="3">
        <f t="shared" si="68"/>
        <v>1</v>
      </c>
      <c r="BN24" s="3">
        <v>2</v>
      </c>
      <c r="BO24" s="3">
        <f t="shared" si="33"/>
        <v>0.05</v>
      </c>
      <c r="BP24" s="3">
        <f t="shared" si="23"/>
        <v>0.1</v>
      </c>
      <c r="BQ24" s="3">
        <f t="shared" si="4"/>
        <v>0.05</v>
      </c>
      <c r="BR24" s="3"/>
      <c r="BS24" s="3">
        <v>267</v>
      </c>
      <c r="BT24" s="3">
        <v>266</v>
      </c>
      <c r="BU24" s="3">
        <f t="shared" si="43"/>
        <v>1</v>
      </c>
      <c r="BV24" s="3">
        <f t="shared" si="66"/>
        <v>1.5</v>
      </c>
      <c r="BW24" s="3">
        <v>7</v>
      </c>
      <c r="BX24" s="3">
        <f t="shared" ref="BX24:BZ24" si="69">0.5*25</f>
        <v>12.5</v>
      </c>
      <c r="BY24" s="3">
        <f t="shared" si="69"/>
        <v>12.5</v>
      </c>
      <c r="BZ24" s="3">
        <f t="shared" si="69"/>
        <v>12.5</v>
      </c>
      <c r="CA24" s="3">
        <f>0.5*3</f>
        <v>1.5</v>
      </c>
      <c r="CB24" s="3">
        <f t="shared" si="28"/>
        <v>0.5</v>
      </c>
      <c r="CC24" s="3">
        <f>0.5*3</f>
        <v>1.5</v>
      </c>
      <c r="CD24" s="3">
        <f t="shared" si="25"/>
        <v>0.5</v>
      </c>
      <c r="CE24" s="3"/>
      <c r="CF24" s="3">
        <v>364</v>
      </c>
      <c r="CG24" s="3">
        <v>360</v>
      </c>
      <c r="CH24" s="3">
        <f t="shared" si="47"/>
        <v>12.5</v>
      </c>
      <c r="CI24" s="3"/>
      <c r="CJ24" s="3"/>
      <c r="CK24" s="3"/>
      <c r="CL24" s="3">
        <f t="shared" si="62"/>
        <v>5.0000000000000001E-4</v>
      </c>
      <c r="CM24" s="3">
        <f t="shared" si="63"/>
        <v>1.9E-2</v>
      </c>
      <c r="CN24" s="3"/>
      <c r="CO24" s="3"/>
      <c r="CP24" s="3"/>
      <c r="CQ24" s="3"/>
      <c r="CR24" s="3"/>
      <c r="CS24" s="3"/>
      <c r="CT24" s="3">
        <v>2764.71</v>
      </c>
      <c r="CU24" s="3"/>
      <c r="CV24" s="3"/>
      <c r="CW24" s="3"/>
      <c r="CX24" s="3">
        <v>2852.94</v>
      </c>
      <c r="CY24" s="3">
        <v>88.24</v>
      </c>
      <c r="CZ24" s="3"/>
      <c r="DA24" s="3"/>
    </row>
    <row r="25" spans="1:105" ht="15.75" customHeight="1" x14ac:dyDescent="0.25">
      <c r="A25" s="3" t="s">
        <v>245</v>
      </c>
      <c r="B25" s="3" t="s">
        <v>246</v>
      </c>
      <c r="C25" s="4" t="s">
        <v>241</v>
      </c>
      <c r="D25" s="4" t="s">
        <v>247</v>
      </c>
      <c r="E25" s="4" t="s">
        <v>213</v>
      </c>
      <c r="F25" s="3" t="s">
        <v>107</v>
      </c>
      <c r="G25" s="3" t="s">
        <v>108</v>
      </c>
      <c r="H25" s="3" t="s">
        <v>248</v>
      </c>
      <c r="J25" s="3" t="s">
        <v>249</v>
      </c>
      <c r="K25" s="3" t="s">
        <v>250</v>
      </c>
      <c r="L25" s="3">
        <v>-24.696100000000001</v>
      </c>
      <c r="M25" s="3">
        <v>-59.8172</v>
      </c>
      <c r="N25" s="3"/>
      <c r="O25" s="3"/>
      <c r="P25" s="3"/>
      <c r="Q25" s="3"/>
      <c r="R25" s="3">
        <v>7.9470000000000001</v>
      </c>
      <c r="S25" s="3">
        <v>-69.5</v>
      </c>
      <c r="T25" s="3">
        <v>2340</v>
      </c>
      <c r="U25" s="3">
        <v>1.2</v>
      </c>
      <c r="V25" s="3">
        <v>19.600000000000001</v>
      </c>
      <c r="W25" s="3">
        <v>7.69</v>
      </c>
      <c r="X25" s="3">
        <v>86</v>
      </c>
      <c r="Y25" s="3">
        <v>217.2</v>
      </c>
      <c r="Z25" s="3">
        <v>1608</v>
      </c>
      <c r="AA25" s="3">
        <v>1358</v>
      </c>
      <c r="AB25" s="3">
        <v>250</v>
      </c>
      <c r="AC25" s="3">
        <v>29</v>
      </c>
      <c r="AD25" s="3">
        <v>368</v>
      </c>
      <c r="AE25" s="3"/>
      <c r="AF25" s="3">
        <v>205</v>
      </c>
      <c r="AG25" s="3">
        <v>291</v>
      </c>
      <c r="AH25" s="3">
        <v>755</v>
      </c>
      <c r="AI25" s="3">
        <v>85</v>
      </c>
      <c r="AJ25" s="3">
        <v>38</v>
      </c>
      <c r="AK25" s="3">
        <v>395</v>
      </c>
      <c r="AL25" s="3">
        <v>7.8</v>
      </c>
      <c r="AM25" s="3"/>
      <c r="AN25" s="3"/>
      <c r="AO25" s="3"/>
      <c r="AP25" s="3"/>
      <c r="AQ25" s="3"/>
      <c r="AR25" s="3"/>
      <c r="AS25" s="3">
        <f t="shared" si="67"/>
        <v>2.5000000000000001E-2</v>
      </c>
      <c r="AT25" s="3">
        <f t="shared" si="64"/>
        <v>1.4999999999999999E-2</v>
      </c>
      <c r="AU25" s="3"/>
      <c r="AV25" s="3"/>
      <c r="AW25" s="3">
        <f t="shared" si="65"/>
        <v>1</v>
      </c>
      <c r="AX25" s="3">
        <v>34</v>
      </c>
      <c r="AY25" s="3"/>
      <c r="AZ25" s="3"/>
      <c r="BA25" s="3"/>
      <c r="BB25" s="3">
        <v>4300</v>
      </c>
      <c r="BC25" s="3">
        <v>36</v>
      </c>
      <c r="BD25" s="3"/>
      <c r="BE25" s="3">
        <f t="shared" si="26"/>
        <v>0.1</v>
      </c>
      <c r="BF25" s="3">
        <f t="shared" si="27"/>
        <v>1.5</v>
      </c>
      <c r="BG25" s="3">
        <f t="shared" si="31"/>
        <v>0.05</v>
      </c>
      <c r="BH25" s="3">
        <f t="shared" si="21"/>
        <v>0.5</v>
      </c>
      <c r="BI25" s="3">
        <v>2</v>
      </c>
      <c r="BJ25" s="3">
        <v>60</v>
      </c>
      <c r="BK25" s="3">
        <v>4</v>
      </c>
      <c r="BL25" s="3">
        <v>2</v>
      </c>
      <c r="BM25" s="3">
        <f>0.5*2</f>
        <v>1</v>
      </c>
      <c r="BN25" s="3">
        <v>3</v>
      </c>
      <c r="BO25" s="3">
        <f t="shared" si="33"/>
        <v>0.05</v>
      </c>
      <c r="BP25" s="3">
        <f t="shared" si="23"/>
        <v>0.1</v>
      </c>
      <c r="BQ25" s="3">
        <f t="shared" si="4"/>
        <v>0.05</v>
      </c>
      <c r="BR25" s="3"/>
      <c r="BS25" s="3">
        <v>281</v>
      </c>
      <c r="BT25" s="3">
        <v>680</v>
      </c>
      <c r="BU25" s="3">
        <f t="shared" si="43"/>
        <v>1</v>
      </c>
      <c r="BV25" s="3">
        <v>5</v>
      </c>
      <c r="BW25" s="3">
        <v>184</v>
      </c>
      <c r="BX25" s="3">
        <f t="shared" ref="BX25:BY25" si="70">0.5*25</f>
        <v>12.5</v>
      </c>
      <c r="BY25" s="3">
        <f t="shared" si="70"/>
        <v>12.5</v>
      </c>
      <c r="BZ25" s="3">
        <v>45</v>
      </c>
      <c r="CA25" s="3">
        <v>3</v>
      </c>
      <c r="CB25" s="3">
        <f t="shared" si="28"/>
        <v>0.5</v>
      </c>
      <c r="CC25" s="3">
        <v>5</v>
      </c>
      <c r="CD25" s="3">
        <f t="shared" si="25"/>
        <v>0.5</v>
      </c>
      <c r="CE25" s="3"/>
      <c r="CF25" s="3">
        <v>3149</v>
      </c>
      <c r="CG25" s="3">
        <v>897</v>
      </c>
      <c r="CH25" s="3">
        <f t="shared" si="47"/>
        <v>12.5</v>
      </c>
      <c r="CI25" s="3"/>
      <c r="CJ25" s="3"/>
      <c r="CK25" s="3"/>
      <c r="CL25" s="3">
        <f t="shared" si="62"/>
        <v>5.0000000000000001E-4</v>
      </c>
      <c r="CM25" s="3">
        <f t="shared" si="63"/>
        <v>1.9E-2</v>
      </c>
      <c r="CN25" s="3"/>
      <c r="CO25" s="3"/>
      <c r="CP25" s="3">
        <v>180</v>
      </c>
      <c r="CQ25" s="3"/>
      <c r="CR25" s="3">
        <v>0</v>
      </c>
      <c r="CS25" s="3"/>
      <c r="CT25" s="3">
        <v>868</v>
      </c>
      <c r="CU25" s="3"/>
      <c r="CV25" s="3"/>
      <c r="CW25" s="3">
        <v>12</v>
      </c>
      <c r="CX25" s="3">
        <v>11472</v>
      </c>
      <c r="CY25" s="3">
        <v>496</v>
      </c>
      <c r="CZ25" s="3"/>
      <c r="DA25" s="3"/>
    </row>
    <row r="26" spans="1:105" ht="15.75" customHeight="1" x14ac:dyDescent="0.25">
      <c r="A26" s="3" t="s">
        <v>251</v>
      </c>
      <c r="B26" s="3" t="s">
        <v>252</v>
      </c>
      <c r="C26" s="4" t="s">
        <v>253</v>
      </c>
      <c r="D26" s="4" t="s">
        <v>254</v>
      </c>
      <c r="E26" s="4" t="s">
        <v>213</v>
      </c>
      <c r="F26" s="3" t="s">
        <v>107</v>
      </c>
      <c r="G26" s="3" t="s">
        <v>108</v>
      </c>
      <c r="H26" s="3" t="s">
        <v>255</v>
      </c>
      <c r="J26" s="3" t="s">
        <v>256</v>
      </c>
      <c r="K26" s="3" t="s">
        <v>257</v>
      </c>
      <c r="L26" s="3">
        <v>-22.529499999999999</v>
      </c>
      <c r="M26" s="3">
        <v>-66.349900000000005</v>
      </c>
      <c r="N26" s="3">
        <v>0.27100000000000002</v>
      </c>
      <c r="O26" s="3">
        <v>0</v>
      </c>
      <c r="P26" s="3"/>
      <c r="Q26" s="3"/>
      <c r="R26" s="3">
        <v>8.3620000000000001</v>
      </c>
      <c r="S26" s="3">
        <v>-86.6</v>
      </c>
      <c r="T26" s="3">
        <v>994</v>
      </c>
      <c r="U26" s="3">
        <v>0.4</v>
      </c>
      <c r="V26" s="3">
        <v>1.3</v>
      </c>
      <c r="W26" s="3">
        <v>8.4499999999999993</v>
      </c>
      <c r="X26" s="3">
        <v>95</v>
      </c>
      <c r="Y26" s="3">
        <v>11.97</v>
      </c>
      <c r="Z26" s="3">
        <v>683</v>
      </c>
      <c r="AA26" s="3">
        <v>646</v>
      </c>
      <c r="AB26" s="3">
        <v>29</v>
      </c>
      <c r="AC26" s="3">
        <v>61</v>
      </c>
      <c r="AD26" s="3">
        <v>214</v>
      </c>
      <c r="AE26" s="3">
        <v>23.7</v>
      </c>
      <c r="AF26" s="3">
        <v>122</v>
      </c>
      <c r="AG26" s="3">
        <v>234</v>
      </c>
      <c r="AH26" s="3">
        <v>185</v>
      </c>
      <c r="AI26" s="3">
        <v>47.1</v>
      </c>
      <c r="AJ26" s="3">
        <v>23.1</v>
      </c>
      <c r="AK26" s="3">
        <v>130</v>
      </c>
      <c r="AL26" s="3">
        <v>12.3</v>
      </c>
      <c r="AM26" s="3">
        <v>50.2</v>
      </c>
      <c r="AN26" s="3">
        <v>26.2</v>
      </c>
      <c r="AO26" s="3">
        <v>136</v>
      </c>
      <c r="AP26" s="3">
        <v>13.6</v>
      </c>
      <c r="AQ26" s="3">
        <v>0.34</v>
      </c>
      <c r="AR26" s="3">
        <v>0.18</v>
      </c>
      <c r="AS26" s="3"/>
      <c r="AT26" s="3"/>
      <c r="AU26" s="3"/>
      <c r="AV26" s="3">
        <v>0.37</v>
      </c>
      <c r="AW26" s="3">
        <v>5.8</v>
      </c>
      <c r="AX26" s="3">
        <v>52</v>
      </c>
      <c r="AY26" s="3"/>
      <c r="AZ26" s="3"/>
      <c r="BA26" s="3"/>
      <c r="BB26" s="3">
        <v>16</v>
      </c>
      <c r="BC26" s="3">
        <f>0.5*1</f>
        <v>0.5</v>
      </c>
      <c r="BD26" s="3">
        <v>58</v>
      </c>
      <c r="BE26" s="3">
        <f t="shared" si="26"/>
        <v>0.1</v>
      </c>
      <c r="BF26" s="3">
        <f t="shared" si="27"/>
        <v>1.5</v>
      </c>
      <c r="BG26" s="3">
        <v>0.2</v>
      </c>
      <c r="BH26" s="3">
        <f t="shared" si="21"/>
        <v>0.5</v>
      </c>
      <c r="BI26" s="3">
        <v>0.5</v>
      </c>
      <c r="BJ26" s="3">
        <v>9</v>
      </c>
      <c r="BK26" s="3">
        <v>2</v>
      </c>
      <c r="BL26" s="3">
        <v>2</v>
      </c>
      <c r="BM26" s="3">
        <v>30</v>
      </c>
      <c r="BN26" s="3">
        <v>14</v>
      </c>
      <c r="BO26" s="3">
        <v>0.3</v>
      </c>
      <c r="BP26" s="3">
        <f t="shared" si="23"/>
        <v>0.1</v>
      </c>
      <c r="BQ26" s="3">
        <f t="shared" si="4"/>
        <v>0.05</v>
      </c>
      <c r="BR26" s="3"/>
      <c r="BS26" s="3">
        <v>116</v>
      </c>
      <c r="BT26" s="3">
        <v>2072</v>
      </c>
      <c r="BU26" s="3">
        <v>3</v>
      </c>
      <c r="BV26" s="3">
        <f>0.5*3</f>
        <v>1.5</v>
      </c>
      <c r="BW26" s="3">
        <v>19</v>
      </c>
      <c r="BX26" s="3">
        <f t="shared" ref="BX26:BY26" si="71">0.5*25</f>
        <v>12.5</v>
      </c>
      <c r="BY26" s="3">
        <f t="shared" si="71"/>
        <v>12.5</v>
      </c>
      <c r="BZ26" s="3">
        <v>53</v>
      </c>
      <c r="CA26" s="3">
        <v>13</v>
      </c>
      <c r="CB26" s="3">
        <f t="shared" si="28"/>
        <v>0.5</v>
      </c>
      <c r="CC26" s="3">
        <f>0.5*3</f>
        <v>1.5</v>
      </c>
      <c r="CD26" s="3">
        <f t="shared" si="25"/>
        <v>0.5</v>
      </c>
      <c r="CE26" s="3"/>
      <c r="CF26" s="3">
        <v>543</v>
      </c>
      <c r="CG26" s="3">
        <v>6556</v>
      </c>
      <c r="CH26" s="3">
        <f t="shared" si="47"/>
        <v>12.5</v>
      </c>
      <c r="CI26" s="3"/>
      <c r="CJ26" s="3">
        <v>20.02</v>
      </c>
      <c r="CK26" s="3">
        <f>0.5*1</f>
        <v>0.5</v>
      </c>
      <c r="CL26" s="3">
        <f t="shared" si="62"/>
        <v>5.0000000000000001E-4</v>
      </c>
      <c r="CM26" s="3">
        <f t="shared" si="63"/>
        <v>1.9E-2</v>
      </c>
      <c r="CN26" s="3"/>
      <c r="CO26" s="3"/>
      <c r="CP26" s="3">
        <v>793.1</v>
      </c>
      <c r="CQ26" s="3"/>
      <c r="CR26" s="3"/>
      <c r="CS26" s="3"/>
      <c r="CT26" s="3">
        <v>154620.69</v>
      </c>
      <c r="CU26" s="3"/>
      <c r="CV26" s="3"/>
      <c r="CW26" s="3"/>
      <c r="CX26" s="3">
        <v>14724.14</v>
      </c>
      <c r="CY26" s="3">
        <v>344.83</v>
      </c>
      <c r="CZ26" s="3"/>
      <c r="DA26" s="3"/>
    </row>
    <row r="27" spans="1:105" ht="15.75" customHeight="1" x14ac:dyDescent="0.25">
      <c r="A27" s="3" t="s">
        <v>258</v>
      </c>
      <c r="B27" s="3" t="s">
        <v>259</v>
      </c>
      <c r="C27" s="4" t="s">
        <v>260</v>
      </c>
      <c r="D27" s="4" t="s">
        <v>170</v>
      </c>
      <c r="E27" s="4" t="s">
        <v>213</v>
      </c>
      <c r="F27" s="3" t="s">
        <v>107</v>
      </c>
      <c r="G27" s="3" t="s">
        <v>108</v>
      </c>
      <c r="H27" s="3" t="s">
        <v>258</v>
      </c>
      <c r="I27" s="3" t="s">
        <v>125</v>
      </c>
      <c r="J27" s="3" t="s">
        <v>261</v>
      </c>
      <c r="K27" s="3" t="s">
        <v>262</v>
      </c>
      <c r="L27" s="3">
        <v>-22.0975</v>
      </c>
      <c r="M27" s="3">
        <v>-65.585800000000006</v>
      </c>
      <c r="N27" s="3">
        <v>0.36699999999999999</v>
      </c>
      <c r="O27" s="3">
        <v>0</v>
      </c>
      <c r="P27" s="3"/>
      <c r="Q27" s="3"/>
      <c r="R27" s="3">
        <v>8.5909999999999993</v>
      </c>
      <c r="S27" s="3">
        <v>-100.2</v>
      </c>
      <c r="T27" s="3">
        <v>872</v>
      </c>
      <c r="U27" s="3">
        <v>0.4</v>
      </c>
      <c r="V27" s="3">
        <v>6.5</v>
      </c>
      <c r="W27" s="3">
        <v>6.18</v>
      </c>
      <c r="X27" s="3">
        <v>75.3</v>
      </c>
      <c r="Y27" s="3">
        <v>146</v>
      </c>
      <c r="Z27" s="3">
        <v>558</v>
      </c>
      <c r="AA27" s="3">
        <v>458</v>
      </c>
      <c r="AB27" s="3">
        <v>100</v>
      </c>
      <c r="AC27" s="3">
        <v>43</v>
      </c>
      <c r="AD27" s="3">
        <v>134.19999999999999</v>
      </c>
      <c r="AE27" s="3"/>
      <c r="AF27" s="3">
        <v>240</v>
      </c>
      <c r="AG27" s="3">
        <v>135.1</v>
      </c>
      <c r="AH27" s="3">
        <v>71</v>
      </c>
      <c r="AI27" s="3">
        <v>23.5</v>
      </c>
      <c r="AJ27" s="3">
        <v>18.34</v>
      </c>
      <c r="AK27" s="3">
        <v>74.3</v>
      </c>
      <c r="AL27" s="3">
        <v>14.6</v>
      </c>
      <c r="AM27" s="3">
        <v>23.5</v>
      </c>
      <c r="AN27" s="3">
        <v>18.48</v>
      </c>
      <c r="AO27" s="3">
        <v>79.7</v>
      </c>
      <c r="AP27" s="3">
        <v>14.6</v>
      </c>
      <c r="AQ27" s="3">
        <v>8.09</v>
      </c>
      <c r="AR27" s="3">
        <v>7.79</v>
      </c>
      <c r="AS27" s="3">
        <v>38.770000000000003</v>
      </c>
      <c r="AT27" s="3">
        <f>0.5*0.02</f>
        <v>0.01</v>
      </c>
      <c r="AU27" s="3">
        <v>1.91</v>
      </c>
      <c r="AV27" s="3">
        <v>39.200000000000003</v>
      </c>
      <c r="AW27" s="3">
        <v>101</v>
      </c>
      <c r="AX27" s="3">
        <v>119</v>
      </c>
      <c r="AY27" s="3">
        <v>40</v>
      </c>
      <c r="AZ27" s="3">
        <v>81000</v>
      </c>
      <c r="BA27" s="3">
        <v>72000</v>
      </c>
      <c r="BB27" s="3"/>
      <c r="BC27" s="3"/>
      <c r="BD27" s="3">
        <v>120</v>
      </c>
      <c r="BE27" s="3">
        <f t="shared" si="26"/>
        <v>0.1</v>
      </c>
      <c r="BF27" s="3">
        <f t="shared" si="27"/>
        <v>1.5</v>
      </c>
      <c r="BG27" s="3">
        <f t="shared" ref="BG27:BG29" si="72">0.5*0.1</f>
        <v>0.05</v>
      </c>
      <c r="BH27" s="3">
        <f t="shared" si="21"/>
        <v>0.5</v>
      </c>
      <c r="BI27" s="3">
        <v>0.6</v>
      </c>
      <c r="BJ27" s="3">
        <v>42</v>
      </c>
      <c r="BK27" s="3">
        <v>3</v>
      </c>
      <c r="BL27" s="3">
        <f t="shared" ref="BL27:BL31" si="73">0.5*2</f>
        <v>1</v>
      </c>
      <c r="BM27" s="3">
        <v>5</v>
      </c>
      <c r="BN27" s="3">
        <v>10</v>
      </c>
      <c r="BO27" s="3">
        <f t="shared" ref="BO27:BO29" si="74">0.5*0.1</f>
        <v>0.05</v>
      </c>
      <c r="BP27" s="3">
        <f t="shared" si="23"/>
        <v>0.1</v>
      </c>
      <c r="BQ27" s="3">
        <f t="shared" si="4"/>
        <v>0.05</v>
      </c>
      <c r="BR27" s="3"/>
      <c r="BS27" s="3">
        <v>171</v>
      </c>
      <c r="BT27" s="3">
        <v>863</v>
      </c>
      <c r="BU27" s="3">
        <v>2</v>
      </c>
      <c r="BV27" s="3">
        <v>4</v>
      </c>
      <c r="BW27" s="3">
        <v>76</v>
      </c>
      <c r="BX27" s="3">
        <f t="shared" ref="BX27:BX29" si="75">0.5*25</f>
        <v>12.5</v>
      </c>
      <c r="BY27" s="3">
        <v>25</v>
      </c>
      <c r="BZ27" s="3">
        <v>157</v>
      </c>
      <c r="CA27" s="3">
        <v>12</v>
      </c>
      <c r="CB27" s="3">
        <f t="shared" si="28"/>
        <v>0.5</v>
      </c>
      <c r="CC27" s="3">
        <v>9</v>
      </c>
      <c r="CD27" s="3">
        <f t="shared" si="25"/>
        <v>0.5</v>
      </c>
      <c r="CE27" s="3"/>
      <c r="CF27" s="3">
        <v>1661</v>
      </c>
      <c r="CG27" s="3">
        <v>994</v>
      </c>
      <c r="CH27" s="3">
        <f t="shared" si="47"/>
        <v>12.5</v>
      </c>
      <c r="CI27" s="3"/>
      <c r="CJ27" s="3">
        <f t="shared" ref="CJ27:CJ38" si="76">0.5*0.002</f>
        <v>1E-3</v>
      </c>
      <c r="CK27" s="3">
        <v>0.17899999999999999</v>
      </c>
      <c r="CL27" s="3">
        <v>6.0000000000000001E-3</v>
      </c>
      <c r="CM27" s="3">
        <f t="shared" si="63"/>
        <v>1.9E-2</v>
      </c>
      <c r="CN27" s="3"/>
      <c r="CO27" s="3"/>
      <c r="CP27" s="3">
        <v>1520</v>
      </c>
      <c r="CQ27" s="3"/>
      <c r="CR27" s="3">
        <v>20</v>
      </c>
      <c r="CS27" s="3"/>
      <c r="CT27" s="3">
        <v>1310</v>
      </c>
      <c r="CU27" s="3"/>
      <c r="CV27" s="3">
        <v>250</v>
      </c>
      <c r="CW27" s="3">
        <v>34</v>
      </c>
      <c r="CX27" s="3">
        <v>14900</v>
      </c>
      <c r="CY27" s="3">
        <v>340</v>
      </c>
      <c r="CZ27" s="3"/>
      <c r="DA27" s="3"/>
    </row>
    <row r="28" spans="1:105" ht="15.75" customHeight="1" x14ac:dyDescent="0.25">
      <c r="A28" s="3" t="s">
        <v>263</v>
      </c>
      <c r="B28" s="3" t="s">
        <v>264</v>
      </c>
      <c r="C28" s="4" t="s">
        <v>265</v>
      </c>
      <c r="D28" s="4" t="s">
        <v>266</v>
      </c>
      <c r="E28" s="4" t="s">
        <v>213</v>
      </c>
      <c r="F28" s="3" t="s">
        <v>107</v>
      </c>
      <c r="G28" s="3" t="s">
        <v>108</v>
      </c>
      <c r="H28" s="3" t="s">
        <v>124</v>
      </c>
      <c r="I28" s="3" t="s">
        <v>125</v>
      </c>
      <c r="J28" s="3" t="s">
        <v>267</v>
      </c>
      <c r="K28" s="3" t="s">
        <v>268</v>
      </c>
      <c r="L28" s="3">
        <v>-21.561</v>
      </c>
      <c r="M28" s="3">
        <v>-65.647400000000005</v>
      </c>
      <c r="N28" s="3">
        <v>0.78200000000000003</v>
      </c>
      <c r="O28" s="3">
        <v>2</v>
      </c>
      <c r="P28" s="3"/>
      <c r="Q28" s="3"/>
      <c r="R28" s="3">
        <v>8.7390000000000008</v>
      </c>
      <c r="S28" s="3">
        <v>-115.5</v>
      </c>
      <c r="T28" s="3">
        <v>1238</v>
      </c>
      <c r="U28" s="3">
        <v>0.6</v>
      </c>
      <c r="V28" s="3">
        <v>15.5</v>
      </c>
      <c r="W28" s="3">
        <v>7.07</v>
      </c>
      <c r="X28" s="3">
        <v>100.5</v>
      </c>
      <c r="Y28" s="3">
        <v>42</v>
      </c>
      <c r="Z28" s="3">
        <v>1090</v>
      </c>
      <c r="AA28" s="3">
        <v>1044</v>
      </c>
      <c r="AB28" s="3">
        <v>46</v>
      </c>
      <c r="AC28" s="3">
        <v>16</v>
      </c>
      <c r="AD28" s="3">
        <v>450.9</v>
      </c>
      <c r="AE28" s="3">
        <v>20</v>
      </c>
      <c r="AF28" s="3">
        <v>170</v>
      </c>
      <c r="AG28" s="3">
        <v>56.5</v>
      </c>
      <c r="AH28" s="3">
        <v>296.10000000000002</v>
      </c>
      <c r="AI28" s="3">
        <v>90.56</v>
      </c>
      <c r="AJ28" s="3">
        <v>54.59</v>
      </c>
      <c r="AK28" s="3">
        <v>89.5</v>
      </c>
      <c r="AL28" s="3">
        <v>7</v>
      </c>
      <c r="AM28" s="3">
        <v>94</v>
      </c>
      <c r="AN28" s="3">
        <v>56.44</v>
      </c>
      <c r="AO28" s="3">
        <v>88.9</v>
      </c>
      <c r="AP28" s="3">
        <v>7</v>
      </c>
      <c r="AQ28" s="3">
        <v>0.31</v>
      </c>
      <c r="AR28" s="3">
        <v>0.25</v>
      </c>
      <c r="AS28" s="3">
        <v>0.41</v>
      </c>
      <c r="AT28" s="3">
        <v>0.03</v>
      </c>
      <c r="AU28" s="3">
        <v>2.62</v>
      </c>
      <c r="AV28" s="3">
        <v>4.3</v>
      </c>
      <c r="AW28" s="3">
        <v>10</v>
      </c>
      <c r="AX28" s="3">
        <v>13</v>
      </c>
      <c r="AY28" s="3">
        <v>76</v>
      </c>
      <c r="AZ28" s="3">
        <v>25</v>
      </c>
      <c r="BA28" s="3">
        <v>3</v>
      </c>
      <c r="BB28" s="3"/>
      <c r="BC28" s="3"/>
      <c r="BD28" s="3">
        <v>160</v>
      </c>
      <c r="BE28" s="3">
        <f t="shared" si="26"/>
        <v>0.1</v>
      </c>
      <c r="BF28" s="3">
        <f t="shared" si="27"/>
        <v>1.5</v>
      </c>
      <c r="BG28" s="3">
        <f t="shared" si="72"/>
        <v>0.05</v>
      </c>
      <c r="BH28" s="3">
        <f t="shared" si="21"/>
        <v>0.5</v>
      </c>
      <c r="BI28" s="3">
        <v>1</v>
      </c>
      <c r="BJ28" s="3">
        <v>5</v>
      </c>
      <c r="BK28" s="3">
        <v>5</v>
      </c>
      <c r="BL28" s="3">
        <f t="shared" si="73"/>
        <v>1</v>
      </c>
      <c r="BM28" s="3">
        <f>0.5*2</f>
        <v>1</v>
      </c>
      <c r="BN28" s="3">
        <v>3</v>
      </c>
      <c r="BO28" s="3">
        <f t="shared" si="74"/>
        <v>0.05</v>
      </c>
      <c r="BP28" s="3">
        <f t="shared" si="23"/>
        <v>0.1</v>
      </c>
      <c r="BQ28" s="3">
        <f t="shared" si="4"/>
        <v>0.05</v>
      </c>
      <c r="BR28" s="3"/>
      <c r="BS28" s="3">
        <v>315</v>
      </c>
      <c r="BT28" s="3">
        <v>1889</v>
      </c>
      <c r="BU28" s="3">
        <f t="shared" ref="BU28:BU46" si="77">0.5*2</f>
        <v>1</v>
      </c>
      <c r="BV28" s="3">
        <f t="shared" ref="BV28:BV29" si="78">0.5*3</f>
        <v>1.5</v>
      </c>
      <c r="BW28" s="3">
        <v>60</v>
      </c>
      <c r="BX28" s="3">
        <f t="shared" si="75"/>
        <v>12.5</v>
      </c>
      <c r="BY28" s="3">
        <f t="shared" ref="BY28:BZ28" si="79">0.5*25</f>
        <v>12.5</v>
      </c>
      <c r="BZ28" s="3">
        <f t="shared" si="79"/>
        <v>12.5</v>
      </c>
      <c r="CA28" s="3">
        <v>3</v>
      </c>
      <c r="CB28" s="3">
        <f t="shared" si="28"/>
        <v>0.5</v>
      </c>
      <c r="CC28" s="3">
        <f>0.5*3</f>
        <v>1.5</v>
      </c>
      <c r="CD28" s="3">
        <f t="shared" si="25"/>
        <v>0.5</v>
      </c>
      <c r="CE28" s="3"/>
      <c r="CF28" s="3">
        <v>1601</v>
      </c>
      <c r="CG28" s="3">
        <v>2574</v>
      </c>
      <c r="CH28" s="3">
        <f t="shared" si="47"/>
        <v>12.5</v>
      </c>
      <c r="CI28" s="3"/>
      <c r="CJ28" s="3">
        <f t="shared" si="76"/>
        <v>1E-3</v>
      </c>
      <c r="CK28" s="3">
        <v>5.0000000000000001E-3</v>
      </c>
      <c r="CL28" s="3">
        <f t="shared" ref="CL28:CL29" si="80">0.5*0.001</f>
        <v>5.0000000000000001E-4</v>
      </c>
      <c r="CM28" s="3">
        <f t="shared" si="63"/>
        <v>1.9E-2</v>
      </c>
      <c r="CN28" s="3"/>
      <c r="CO28" s="3"/>
      <c r="CP28" s="3"/>
      <c r="CQ28" s="3"/>
      <c r="CR28" s="3">
        <v>0</v>
      </c>
      <c r="CS28" s="3"/>
      <c r="CT28" s="3">
        <v>14891.3</v>
      </c>
      <c r="CU28" s="3"/>
      <c r="CV28" s="3"/>
      <c r="CW28" s="3"/>
      <c r="CX28" s="3">
        <v>27956.52</v>
      </c>
      <c r="CY28" s="3">
        <v>1195.6500000000001</v>
      </c>
      <c r="CZ28" s="3"/>
      <c r="DA28" s="3"/>
    </row>
    <row r="29" spans="1:105" ht="15.75" customHeight="1" x14ac:dyDescent="0.25">
      <c r="A29" s="3" t="s">
        <v>269</v>
      </c>
      <c r="B29" s="3" t="s">
        <v>270</v>
      </c>
      <c r="C29" s="4" t="s">
        <v>265</v>
      </c>
      <c r="D29" s="4" t="s">
        <v>271</v>
      </c>
      <c r="E29" s="4" t="s">
        <v>213</v>
      </c>
      <c r="F29" s="3" t="s">
        <v>107</v>
      </c>
      <c r="G29" s="3" t="s">
        <v>108</v>
      </c>
      <c r="H29" s="3" t="s">
        <v>272</v>
      </c>
      <c r="I29" s="3" t="s">
        <v>125</v>
      </c>
      <c r="J29" s="3" t="s">
        <v>273</v>
      </c>
      <c r="K29" s="3" t="s">
        <v>274</v>
      </c>
      <c r="L29" s="3">
        <v>-21.5044</v>
      </c>
      <c r="M29" s="3">
        <v>-65.706100000000006</v>
      </c>
      <c r="N29" s="3">
        <v>0.53900000000000003</v>
      </c>
      <c r="O29" s="3">
        <v>1</v>
      </c>
      <c r="P29" s="3"/>
      <c r="Q29" s="3"/>
      <c r="R29" s="3">
        <v>8.26</v>
      </c>
      <c r="S29" s="3">
        <v>-89</v>
      </c>
      <c r="T29" s="3">
        <v>1616</v>
      </c>
      <c r="U29" s="3">
        <v>0.8</v>
      </c>
      <c r="V29" s="3">
        <v>16.7</v>
      </c>
      <c r="W29" s="3">
        <v>5.93</v>
      </c>
      <c r="X29" s="3">
        <v>87</v>
      </c>
      <c r="Y29" s="3">
        <v>89.4</v>
      </c>
      <c r="Z29" s="3">
        <v>1431</v>
      </c>
      <c r="AA29" s="3">
        <v>1366</v>
      </c>
      <c r="AB29" s="3">
        <v>65</v>
      </c>
      <c r="AC29" s="3">
        <v>25</v>
      </c>
      <c r="AD29" s="3">
        <v>702.5</v>
      </c>
      <c r="AE29" s="3">
        <v>5</v>
      </c>
      <c r="AF29" s="3">
        <v>190</v>
      </c>
      <c r="AG29" s="3">
        <v>61.3</v>
      </c>
      <c r="AH29" s="3"/>
      <c r="AI29" s="3">
        <v>107.76</v>
      </c>
      <c r="AJ29" s="3">
        <v>105.26</v>
      </c>
      <c r="AK29" s="3">
        <v>88.3</v>
      </c>
      <c r="AL29" s="3">
        <v>8</v>
      </c>
      <c r="AM29" s="3">
        <v>107.76</v>
      </c>
      <c r="AN29" s="3">
        <v>105.63</v>
      </c>
      <c r="AO29" s="3">
        <v>88.9</v>
      </c>
      <c r="AP29" s="3">
        <v>8.1</v>
      </c>
      <c r="AQ29" s="3">
        <v>1.29</v>
      </c>
      <c r="AR29" s="3">
        <v>0.86</v>
      </c>
      <c r="AS29" s="3">
        <v>3.98</v>
      </c>
      <c r="AT29" s="3">
        <f t="shared" ref="AT29:AT33" si="81">0.5*0.02</f>
        <v>0.01</v>
      </c>
      <c r="AU29" s="3">
        <v>3.7</v>
      </c>
      <c r="AV29" s="3">
        <v>2.9</v>
      </c>
      <c r="AW29" s="3">
        <v>18</v>
      </c>
      <c r="AX29" s="3">
        <v>21</v>
      </c>
      <c r="AY29" s="3">
        <v>12</v>
      </c>
      <c r="AZ29" s="3">
        <v>60</v>
      </c>
      <c r="BA29" s="3">
        <v>44</v>
      </c>
      <c r="BB29" s="3"/>
      <c r="BC29" s="3"/>
      <c r="BD29" s="3">
        <v>2</v>
      </c>
      <c r="BE29" s="3">
        <f t="shared" si="26"/>
        <v>0.1</v>
      </c>
      <c r="BF29" s="3">
        <f t="shared" si="27"/>
        <v>1.5</v>
      </c>
      <c r="BG29" s="3">
        <f t="shared" si="72"/>
        <v>0.05</v>
      </c>
      <c r="BH29" s="3">
        <f t="shared" si="21"/>
        <v>0.5</v>
      </c>
      <c r="BI29" s="3">
        <v>12</v>
      </c>
      <c r="BJ29" s="3">
        <f>0.5*2</f>
        <v>1</v>
      </c>
      <c r="BK29" s="3">
        <v>5</v>
      </c>
      <c r="BL29" s="3">
        <f t="shared" si="73"/>
        <v>1</v>
      </c>
      <c r="BM29" s="3">
        <v>2</v>
      </c>
      <c r="BN29" s="3">
        <v>1</v>
      </c>
      <c r="BO29" s="3">
        <f t="shared" si="74"/>
        <v>0.05</v>
      </c>
      <c r="BP29" s="3">
        <f t="shared" si="23"/>
        <v>0.1</v>
      </c>
      <c r="BQ29" s="3">
        <f t="shared" si="4"/>
        <v>0.05</v>
      </c>
      <c r="BR29" s="3"/>
      <c r="BS29" s="3">
        <v>367</v>
      </c>
      <c r="BT29" s="3">
        <v>1322</v>
      </c>
      <c r="BU29" s="3">
        <f t="shared" si="77"/>
        <v>1</v>
      </c>
      <c r="BV29" s="3">
        <f t="shared" si="78"/>
        <v>1.5</v>
      </c>
      <c r="BW29" s="3">
        <v>52</v>
      </c>
      <c r="BX29" s="3">
        <f t="shared" si="75"/>
        <v>12.5</v>
      </c>
      <c r="BY29" s="3">
        <f t="shared" ref="BY29:BY30" si="82">0.5*25</f>
        <v>12.5</v>
      </c>
      <c r="BZ29" s="3">
        <v>27</v>
      </c>
      <c r="CA29" s="3">
        <f>0.5*3</f>
        <v>1.5</v>
      </c>
      <c r="CB29" s="3">
        <f t="shared" si="28"/>
        <v>0.5</v>
      </c>
      <c r="CC29" s="3">
        <v>6</v>
      </c>
      <c r="CD29" s="3">
        <f t="shared" si="25"/>
        <v>0.5</v>
      </c>
      <c r="CE29" s="3"/>
      <c r="CF29" s="3">
        <v>2601</v>
      </c>
      <c r="CG29" s="3">
        <v>1862</v>
      </c>
      <c r="CH29" s="3">
        <f t="shared" si="47"/>
        <v>12.5</v>
      </c>
      <c r="CI29" s="3"/>
      <c r="CJ29" s="3">
        <f t="shared" si="76"/>
        <v>1E-3</v>
      </c>
      <c r="CK29" s="3">
        <v>6.0000000000000001E-3</v>
      </c>
      <c r="CL29" s="3">
        <f t="shared" si="80"/>
        <v>5.0000000000000001E-4</v>
      </c>
      <c r="CM29" s="3">
        <f t="shared" si="63"/>
        <v>1.9E-2</v>
      </c>
      <c r="CN29" s="3"/>
      <c r="CO29" s="3"/>
      <c r="CP29" s="3">
        <v>384.62</v>
      </c>
      <c r="CQ29" s="3"/>
      <c r="CR29" s="3"/>
      <c r="CS29" s="3"/>
      <c r="CT29" s="3">
        <v>8307.69</v>
      </c>
      <c r="CU29" s="3"/>
      <c r="CV29" s="3"/>
      <c r="CW29" s="3"/>
      <c r="CX29" s="3">
        <v>34369.230000000003</v>
      </c>
      <c r="CY29" s="3">
        <v>800</v>
      </c>
      <c r="CZ29" s="3"/>
      <c r="DA29" s="3"/>
    </row>
    <row r="30" spans="1:105" ht="15.75" customHeight="1" x14ac:dyDescent="0.25">
      <c r="A30" s="3" t="s">
        <v>275</v>
      </c>
      <c r="B30" s="3" t="s">
        <v>276</v>
      </c>
      <c r="C30" s="4" t="s">
        <v>265</v>
      </c>
      <c r="D30" s="4" t="s">
        <v>138</v>
      </c>
      <c r="E30" s="4" t="s">
        <v>213</v>
      </c>
      <c r="F30" s="3" t="s">
        <v>107</v>
      </c>
      <c r="G30" s="3" t="s">
        <v>108</v>
      </c>
      <c r="H30" s="3" t="s">
        <v>275</v>
      </c>
      <c r="I30" s="3" t="s">
        <v>132</v>
      </c>
      <c r="J30" s="3" t="s">
        <v>277</v>
      </c>
      <c r="K30" s="3" t="s">
        <v>278</v>
      </c>
      <c r="L30" s="3">
        <v>-20.820900000000002</v>
      </c>
      <c r="M30" s="3">
        <v>-65.667199999999994</v>
      </c>
      <c r="N30" s="3">
        <v>0.63700000000000001</v>
      </c>
      <c r="O30" s="3">
        <v>1</v>
      </c>
      <c r="P30" s="3"/>
      <c r="Q30" s="3"/>
      <c r="R30" s="3">
        <v>8.2750000000000004</v>
      </c>
      <c r="S30" s="3">
        <v>-91.2</v>
      </c>
      <c r="T30" s="3">
        <v>1753</v>
      </c>
      <c r="U30" s="3">
        <v>0.9</v>
      </c>
      <c r="V30" s="3">
        <v>20.7</v>
      </c>
      <c r="W30" s="3">
        <v>7.26</v>
      </c>
      <c r="X30" s="3">
        <v>112.5</v>
      </c>
      <c r="Y30" s="3">
        <v>134</v>
      </c>
      <c r="Z30" s="3">
        <v>1908</v>
      </c>
      <c r="AA30" s="3">
        <v>1732</v>
      </c>
      <c r="AB30" s="3">
        <v>176</v>
      </c>
      <c r="AC30" s="3">
        <v>5</v>
      </c>
      <c r="AD30" s="3">
        <v>667.1</v>
      </c>
      <c r="AE30" s="3">
        <v>5</v>
      </c>
      <c r="AF30" s="3">
        <v>70</v>
      </c>
      <c r="AG30" s="3">
        <v>41.5</v>
      </c>
      <c r="AH30" s="3"/>
      <c r="AI30" s="3">
        <v>105.47</v>
      </c>
      <c r="AJ30" s="3">
        <v>97.34</v>
      </c>
      <c r="AK30" s="3">
        <v>76.400000000000006</v>
      </c>
      <c r="AL30" s="3">
        <v>8.6999999999999993</v>
      </c>
      <c r="AM30" s="3">
        <v>106.61</v>
      </c>
      <c r="AN30" s="3">
        <v>98.82</v>
      </c>
      <c r="AO30" s="3">
        <v>76.900000000000006</v>
      </c>
      <c r="AP30" s="3">
        <v>9.5</v>
      </c>
      <c r="AQ30" s="3">
        <v>0.21</v>
      </c>
      <c r="AR30" s="3">
        <v>0.09</v>
      </c>
      <c r="AS30" s="3">
        <v>0.67</v>
      </c>
      <c r="AT30" s="3">
        <f t="shared" si="81"/>
        <v>0.01</v>
      </c>
      <c r="AU30" s="3">
        <v>1.79</v>
      </c>
      <c r="AV30" s="3">
        <v>2.9</v>
      </c>
      <c r="AW30" s="3">
        <f t="shared" ref="AW30:AW31" si="83">0.5*5</f>
        <v>2.5</v>
      </c>
      <c r="AX30" s="3">
        <f t="shared" ref="AX30:AY30" si="84">0.5*2</f>
        <v>1</v>
      </c>
      <c r="AY30" s="3">
        <f t="shared" si="84"/>
        <v>1</v>
      </c>
      <c r="AZ30" s="3">
        <v>18</v>
      </c>
      <c r="BA30" s="3">
        <v>3</v>
      </c>
      <c r="BB30" s="3"/>
      <c r="BC30" s="3"/>
      <c r="BD30" s="3">
        <v>2</v>
      </c>
      <c r="BE30" s="3">
        <f t="shared" si="26"/>
        <v>0.1</v>
      </c>
      <c r="BF30" s="3">
        <f t="shared" si="27"/>
        <v>1.5</v>
      </c>
      <c r="BG30" s="3">
        <v>0.1</v>
      </c>
      <c r="BH30" s="3">
        <f t="shared" si="21"/>
        <v>0.5</v>
      </c>
      <c r="BI30" s="3">
        <v>0.1</v>
      </c>
      <c r="BJ30" s="3">
        <v>231</v>
      </c>
      <c r="BK30" s="3">
        <v>30</v>
      </c>
      <c r="BL30" s="3">
        <f t="shared" si="73"/>
        <v>1</v>
      </c>
      <c r="BM30" s="3">
        <v>12</v>
      </c>
      <c r="BN30" s="3">
        <v>4</v>
      </c>
      <c r="BO30" s="3">
        <v>0.2</v>
      </c>
      <c r="BP30" s="3">
        <f t="shared" si="23"/>
        <v>0.1</v>
      </c>
      <c r="BQ30" s="3">
        <f t="shared" si="4"/>
        <v>0.05</v>
      </c>
      <c r="BR30" s="3"/>
      <c r="BS30" s="3">
        <v>382</v>
      </c>
      <c r="BT30" s="3">
        <v>1129</v>
      </c>
      <c r="BU30" s="3">
        <f t="shared" si="77"/>
        <v>1</v>
      </c>
      <c r="BV30" s="3">
        <v>5</v>
      </c>
      <c r="BW30" s="3">
        <v>537</v>
      </c>
      <c r="BX30" s="3">
        <v>45</v>
      </c>
      <c r="BY30" s="3">
        <f t="shared" si="82"/>
        <v>12.5</v>
      </c>
      <c r="BZ30" s="3">
        <v>163</v>
      </c>
      <c r="CA30" s="3">
        <v>15</v>
      </c>
      <c r="CB30" s="3">
        <f t="shared" si="28"/>
        <v>0.5</v>
      </c>
      <c r="CC30" s="3">
        <v>8</v>
      </c>
      <c r="CD30" s="3">
        <f t="shared" si="25"/>
        <v>0.5</v>
      </c>
      <c r="CE30" s="3"/>
      <c r="CF30" s="3">
        <v>6946</v>
      </c>
      <c r="CG30" s="3">
        <v>1886</v>
      </c>
      <c r="CH30" s="3">
        <f t="shared" si="47"/>
        <v>12.5</v>
      </c>
      <c r="CI30" s="3"/>
      <c r="CJ30" s="3">
        <f t="shared" si="76"/>
        <v>1E-3</v>
      </c>
      <c r="CK30" s="3">
        <f t="shared" ref="CK30:CL30" si="85">0.5*0.001</f>
        <v>5.0000000000000001E-4</v>
      </c>
      <c r="CL30" s="3">
        <f t="shared" si="85"/>
        <v>5.0000000000000001E-4</v>
      </c>
      <c r="CM30" s="3">
        <f t="shared" si="63"/>
        <v>1.9E-2</v>
      </c>
      <c r="CN30" s="3"/>
      <c r="CO30" s="3"/>
      <c r="CP30" s="3">
        <v>857.95</v>
      </c>
      <c r="CQ30" s="3"/>
      <c r="CR30" s="3">
        <v>62.5</v>
      </c>
      <c r="CS30" s="3"/>
      <c r="CT30" s="3">
        <v>4301.1400000000003</v>
      </c>
      <c r="CU30" s="3"/>
      <c r="CV30" s="3"/>
      <c r="CW30" s="3">
        <v>27.84</v>
      </c>
      <c r="CX30" s="3">
        <v>37295.449999999997</v>
      </c>
      <c r="CY30" s="3">
        <v>1738.64</v>
      </c>
      <c r="CZ30" s="3">
        <v>85.23</v>
      </c>
      <c r="DA30" s="3"/>
    </row>
    <row r="31" spans="1:105" ht="15.75" customHeight="1" x14ac:dyDescent="0.25">
      <c r="A31" s="3" t="s">
        <v>131</v>
      </c>
      <c r="B31" s="3" t="s">
        <v>279</v>
      </c>
      <c r="C31" s="4" t="s">
        <v>265</v>
      </c>
      <c r="D31" s="4" t="s">
        <v>280</v>
      </c>
      <c r="E31" s="4" t="s">
        <v>213</v>
      </c>
      <c r="F31" s="3" t="s">
        <v>107</v>
      </c>
      <c r="G31" s="3" t="s">
        <v>108</v>
      </c>
      <c r="H31" s="3" t="s">
        <v>131</v>
      </c>
      <c r="I31" s="3" t="s">
        <v>132</v>
      </c>
      <c r="J31" s="3" t="s">
        <v>281</v>
      </c>
      <c r="K31" s="3" t="s">
        <v>282</v>
      </c>
      <c r="L31" s="3">
        <v>-20.486899999999999</v>
      </c>
      <c r="M31" s="3">
        <v>-65.618899999999996</v>
      </c>
      <c r="N31" s="3">
        <v>0.48699999999999999</v>
      </c>
      <c r="O31" s="3">
        <v>3</v>
      </c>
      <c r="P31" s="3"/>
      <c r="Q31" s="3"/>
      <c r="R31" s="3">
        <v>8.4</v>
      </c>
      <c r="S31" s="3">
        <v>-95.9</v>
      </c>
      <c r="T31" s="3">
        <v>698</v>
      </c>
      <c r="U31" s="3">
        <v>0.3</v>
      </c>
      <c r="V31" s="3">
        <v>14.4</v>
      </c>
      <c r="W31" s="3">
        <v>8</v>
      </c>
      <c r="X31" s="3">
        <v>107.2</v>
      </c>
      <c r="Y31" s="3">
        <v>119</v>
      </c>
      <c r="Z31" s="3">
        <v>585</v>
      </c>
      <c r="AA31" s="3">
        <v>490</v>
      </c>
      <c r="AB31" s="3">
        <v>95</v>
      </c>
      <c r="AC31" s="3">
        <v>27</v>
      </c>
      <c r="AD31" s="3">
        <v>118.8</v>
      </c>
      <c r="AE31" s="3">
        <v>5</v>
      </c>
      <c r="AF31" s="3">
        <v>115</v>
      </c>
      <c r="AG31" s="3">
        <v>40.6</v>
      </c>
      <c r="AH31" s="3">
        <v>152</v>
      </c>
      <c r="AI31" s="3">
        <v>21.78</v>
      </c>
      <c r="AJ31" s="3">
        <v>15.65</v>
      </c>
      <c r="AK31" s="3">
        <v>57.3</v>
      </c>
      <c r="AL31" s="3">
        <v>6.8</v>
      </c>
      <c r="AM31" s="3">
        <v>21.9</v>
      </c>
      <c r="AN31" s="3">
        <v>16.170000000000002</v>
      </c>
      <c r="AO31" s="3">
        <v>58.9</v>
      </c>
      <c r="AP31" s="3">
        <v>7.7</v>
      </c>
      <c r="AQ31" s="3">
        <v>0.31</v>
      </c>
      <c r="AR31" s="3">
        <v>0.31</v>
      </c>
      <c r="AS31" s="3">
        <v>0.22</v>
      </c>
      <c r="AT31" s="3">
        <f t="shared" si="81"/>
        <v>0.01</v>
      </c>
      <c r="AU31" s="3">
        <v>2.27</v>
      </c>
      <c r="AV31" s="3">
        <v>4.3</v>
      </c>
      <c r="AW31" s="3">
        <f t="shared" si="83"/>
        <v>2.5</v>
      </c>
      <c r="AX31" s="3">
        <v>3</v>
      </c>
      <c r="AY31" s="3">
        <v>16</v>
      </c>
      <c r="AZ31" s="3">
        <v>28</v>
      </c>
      <c r="BA31" s="3">
        <v>0</v>
      </c>
      <c r="BB31" s="3"/>
      <c r="BC31" s="3"/>
      <c r="BD31" s="3">
        <v>70</v>
      </c>
      <c r="BE31" s="3">
        <f t="shared" si="26"/>
        <v>0.1</v>
      </c>
      <c r="BF31" s="3">
        <f t="shared" si="27"/>
        <v>1.5</v>
      </c>
      <c r="BG31" s="3">
        <f>0.5*0.1</f>
        <v>0.05</v>
      </c>
      <c r="BH31" s="3">
        <f t="shared" si="21"/>
        <v>0.5</v>
      </c>
      <c r="BI31" s="3">
        <v>0.4</v>
      </c>
      <c r="BJ31" s="3">
        <v>27</v>
      </c>
      <c r="BK31" s="3">
        <v>2</v>
      </c>
      <c r="BL31" s="3">
        <f t="shared" si="73"/>
        <v>1</v>
      </c>
      <c r="BM31" s="3">
        <f>0.5*2</f>
        <v>1</v>
      </c>
      <c r="BN31" s="3">
        <v>4</v>
      </c>
      <c r="BO31" s="3">
        <f>0.5*0.1</f>
        <v>0.05</v>
      </c>
      <c r="BP31" s="3">
        <f t="shared" si="23"/>
        <v>0.1</v>
      </c>
      <c r="BQ31" s="3">
        <f t="shared" si="4"/>
        <v>0.05</v>
      </c>
      <c r="BR31" s="3"/>
      <c r="BS31" s="3">
        <v>134</v>
      </c>
      <c r="BT31" s="3">
        <v>654</v>
      </c>
      <c r="BU31" s="3">
        <f t="shared" si="77"/>
        <v>1</v>
      </c>
      <c r="BV31" s="3">
        <f>0.5*3</f>
        <v>1.5</v>
      </c>
      <c r="BW31" s="3">
        <v>244</v>
      </c>
      <c r="BX31" s="3">
        <f t="shared" ref="BX31:BX38" si="86">0.5*25</f>
        <v>12.5</v>
      </c>
      <c r="BY31" s="3">
        <v>31</v>
      </c>
      <c r="BZ31" s="3">
        <v>43</v>
      </c>
      <c r="CA31" s="3">
        <v>5</v>
      </c>
      <c r="CB31" s="3">
        <f t="shared" si="28"/>
        <v>0.5</v>
      </c>
      <c r="CC31" s="3">
        <v>5</v>
      </c>
      <c r="CD31" s="3">
        <f t="shared" si="25"/>
        <v>0.5</v>
      </c>
      <c r="CE31" s="3"/>
      <c r="CF31" s="3">
        <v>4647</v>
      </c>
      <c r="CG31" s="3">
        <v>955</v>
      </c>
      <c r="CH31" s="3">
        <f t="shared" si="47"/>
        <v>12.5</v>
      </c>
      <c r="CI31" s="3"/>
      <c r="CJ31" s="3">
        <f t="shared" si="76"/>
        <v>1E-3</v>
      </c>
      <c r="CK31" s="3">
        <v>5.0000000000000001E-3</v>
      </c>
      <c r="CL31" s="3">
        <f t="shared" ref="CL31:CL32" si="87">0.5*0.001</f>
        <v>5.0000000000000001E-4</v>
      </c>
      <c r="CM31" s="3">
        <f t="shared" si="63"/>
        <v>1.9E-2</v>
      </c>
      <c r="CN31" s="3"/>
      <c r="CO31" s="3"/>
      <c r="CP31" s="3">
        <v>452.63</v>
      </c>
      <c r="CQ31" s="3"/>
      <c r="CR31" s="3">
        <v>10.53</v>
      </c>
      <c r="CS31" s="3"/>
      <c r="CT31" s="3">
        <v>3168.42</v>
      </c>
      <c r="CU31" s="3"/>
      <c r="CV31" s="3">
        <v>326.32</v>
      </c>
      <c r="CW31" s="3"/>
      <c r="CX31" s="3">
        <v>47505.26</v>
      </c>
      <c r="CY31" s="3">
        <v>2284.21</v>
      </c>
      <c r="CZ31" s="3"/>
      <c r="DA31" s="3"/>
    </row>
    <row r="32" spans="1:105" ht="12.5" x14ac:dyDescent="0.25">
      <c r="A32" s="3" t="s">
        <v>146</v>
      </c>
      <c r="B32" s="3" t="s">
        <v>147</v>
      </c>
      <c r="C32" s="4" t="s">
        <v>283</v>
      </c>
      <c r="D32" s="4" t="s">
        <v>284</v>
      </c>
      <c r="E32" s="4" t="s">
        <v>213</v>
      </c>
      <c r="F32" s="3" t="s">
        <v>107</v>
      </c>
      <c r="G32" s="3" t="s">
        <v>108</v>
      </c>
      <c r="H32" s="3" t="s">
        <v>146</v>
      </c>
      <c r="I32" s="3" t="s">
        <v>150</v>
      </c>
      <c r="J32" s="3" t="s">
        <v>285</v>
      </c>
      <c r="K32" s="3" t="s">
        <v>286</v>
      </c>
      <c r="L32" s="3">
        <v>-19.471699999999998</v>
      </c>
      <c r="M32" s="3">
        <v>-65.793599999999998</v>
      </c>
      <c r="N32" s="3">
        <v>0.59699999999999998</v>
      </c>
      <c r="O32" s="3">
        <v>1</v>
      </c>
      <c r="P32" s="3"/>
      <c r="Q32" s="3"/>
      <c r="R32" s="3">
        <v>7.5839999999999996</v>
      </c>
      <c r="S32" s="3">
        <v>-49.8</v>
      </c>
      <c r="T32" s="3">
        <v>1110</v>
      </c>
      <c r="U32" s="3">
        <v>0.5</v>
      </c>
      <c r="V32" s="3">
        <v>11.9</v>
      </c>
      <c r="W32" s="3">
        <v>6.17</v>
      </c>
      <c r="X32" s="3">
        <v>86.1</v>
      </c>
      <c r="Y32" s="3">
        <v>299</v>
      </c>
      <c r="Z32" s="3">
        <v>1055</v>
      </c>
      <c r="AA32" s="3">
        <v>732</v>
      </c>
      <c r="AB32" s="3">
        <v>323</v>
      </c>
      <c r="AC32" s="3">
        <v>29</v>
      </c>
      <c r="AD32" s="3">
        <v>264.89999999999998</v>
      </c>
      <c r="AE32" s="3">
        <f t="shared" ref="AE32:AE33" si="88">0.5*5</f>
        <v>2.5</v>
      </c>
      <c r="AF32" s="3">
        <v>105</v>
      </c>
      <c r="AG32" s="3">
        <v>79.099999999999994</v>
      </c>
      <c r="AH32" s="3">
        <v>263.2</v>
      </c>
      <c r="AI32" s="3">
        <v>82.53</v>
      </c>
      <c r="AJ32" s="3">
        <v>14.29</v>
      </c>
      <c r="AK32" s="3">
        <v>85.5</v>
      </c>
      <c r="AL32" s="3">
        <v>24.7</v>
      </c>
      <c r="AM32" s="3">
        <v>84.83</v>
      </c>
      <c r="AN32" s="3">
        <v>14.44</v>
      </c>
      <c r="AO32" s="3">
        <v>85.5</v>
      </c>
      <c r="AP32" s="3">
        <v>25.7</v>
      </c>
      <c r="AQ32" s="3">
        <v>3.74</v>
      </c>
      <c r="AR32" s="3">
        <v>0.15</v>
      </c>
      <c r="AS32" s="3">
        <v>13.87</v>
      </c>
      <c r="AT32" s="3">
        <f t="shared" si="81"/>
        <v>0.01</v>
      </c>
      <c r="AU32" s="3">
        <v>1.91</v>
      </c>
      <c r="AV32" s="3">
        <v>5.7</v>
      </c>
      <c r="AW32" s="3">
        <v>54</v>
      </c>
      <c r="AX32" s="3">
        <v>77</v>
      </c>
      <c r="AY32" s="3">
        <v>28</v>
      </c>
      <c r="AZ32" s="3">
        <v>14</v>
      </c>
      <c r="BA32" s="3">
        <v>0</v>
      </c>
      <c r="BB32" s="3"/>
      <c r="BC32" s="3"/>
      <c r="BD32" s="3">
        <v>180</v>
      </c>
      <c r="BE32" s="3">
        <f t="shared" si="26"/>
        <v>0.1</v>
      </c>
      <c r="BF32" s="3">
        <v>3</v>
      </c>
      <c r="BG32" s="3">
        <v>0.1</v>
      </c>
      <c r="BH32" s="3">
        <f t="shared" si="21"/>
        <v>0.5</v>
      </c>
      <c r="BI32" s="3">
        <v>1</v>
      </c>
      <c r="BJ32" s="3">
        <v>1044</v>
      </c>
      <c r="BK32" s="3">
        <v>16</v>
      </c>
      <c r="BL32" s="3">
        <v>63</v>
      </c>
      <c r="BM32" s="3">
        <v>1241</v>
      </c>
      <c r="BN32" s="3">
        <v>22</v>
      </c>
      <c r="BO32" s="3">
        <v>4</v>
      </c>
      <c r="BP32" s="3">
        <v>0.6</v>
      </c>
      <c r="BQ32" s="3">
        <f t="shared" si="4"/>
        <v>0.05</v>
      </c>
      <c r="BR32" s="3"/>
      <c r="BS32" s="3">
        <v>416</v>
      </c>
      <c r="BT32" s="3">
        <v>280</v>
      </c>
      <c r="BU32" s="3">
        <f t="shared" si="77"/>
        <v>1</v>
      </c>
      <c r="BV32" s="3">
        <v>8</v>
      </c>
      <c r="BW32" s="3">
        <v>1625</v>
      </c>
      <c r="BX32" s="3">
        <f t="shared" si="86"/>
        <v>12.5</v>
      </c>
      <c r="BY32" s="3">
        <v>368</v>
      </c>
      <c r="BZ32" s="3">
        <v>10203</v>
      </c>
      <c r="CA32" s="3">
        <v>253</v>
      </c>
      <c r="CB32" s="3">
        <v>41</v>
      </c>
      <c r="CC32" s="3">
        <v>296</v>
      </c>
      <c r="CD32" s="3">
        <v>9</v>
      </c>
      <c r="CE32" s="3"/>
      <c r="CF32" s="3">
        <v>23913</v>
      </c>
      <c r="CG32" s="3">
        <v>306</v>
      </c>
      <c r="CH32" s="3">
        <f t="shared" si="47"/>
        <v>12.5</v>
      </c>
      <c r="CI32" s="3"/>
      <c r="CJ32" s="3">
        <f t="shared" si="76"/>
        <v>1E-3</v>
      </c>
      <c r="CK32" s="3">
        <v>5.0000000000000001E-3</v>
      </c>
      <c r="CL32" s="3">
        <f t="shared" si="87"/>
        <v>5.0000000000000001E-4</v>
      </c>
      <c r="CM32" s="3">
        <v>0.15</v>
      </c>
      <c r="CN32" s="3"/>
      <c r="CO32" s="3"/>
      <c r="CP32" s="3">
        <v>27746.13</v>
      </c>
      <c r="CQ32" s="3">
        <v>839.94</v>
      </c>
      <c r="CR32" s="3">
        <v>715.17</v>
      </c>
      <c r="CS32" s="3">
        <v>9.2899999999999991</v>
      </c>
      <c r="CT32" s="3">
        <v>80.5</v>
      </c>
      <c r="CU32" s="3">
        <v>114.55</v>
      </c>
      <c r="CV32" s="3">
        <v>944.27</v>
      </c>
      <c r="CW32" s="3">
        <v>21.67</v>
      </c>
      <c r="CX32" s="3">
        <v>72746.13</v>
      </c>
      <c r="CY32" s="3">
        <v>1798.76</v>
      </c>
      <c r="CZ32" s="3"/>
      <c r="DA32" s="3">
        <v>27.86</v>
      </c>
    </row>
    <row r="33" spans="1:105" ht="12.5" x14ac:dyDescent="0.25">
      <c r="A33" s="3" t="s">
        <v>287</v>
      </c>
      <c r="B33" s="3" t="s">
        <v>288</v>
      </c>
      <c r="C33" s="4" t="s">
        <v>283</v>
      </c>
      <c r="D33" s="4" t="s">
        <v>271</v>
      </c>
      <c r="E33" s="4" t="s">
        <v>213</v>
      </c>
      <c r="F33" s="3" t="s">
        <v>107</v>
      </c>
      <c r="G33" s="3" t="s">
        <v>108</v>
      </c>
      <c r="H33" s="3" t="s">
        <v>289</v>
      </c>
      <c r="I33" s="3" t="s">
        <v>150</v>
      </c>
      <c r="J33" s="3" t="s">
        <v>290</v>
      </c>
      <c r="K33" s="3" t="s">
        <v>291</v>
      </c>
      <c r="L33" s="3">
        <v>-19.578099999999999</v>
      </c>
      <c r="M33" s="3">
        <v>-65.803100000000001</v>
      </c>
      <c r="N33" s="3">
        <v>0.46899999999999997</v>
      </c>
      <c r="O33" s="3">
        <v>0</v>
      </c>
      <c r="P33" s="3"/>
      <c r="Q33" s="3"/>
      <c r="R33" s="3">
        <v>7.73</v>
      </c>
      <c r="S33" s="3">
        <v>-58.2</v>
      </c>
      <c r="T33" s="3">
        <v>1290</v>
      </c>
      <c r="U33" s="3">
        <v>0.6</v>
      </c>
      <c r="V33" s="3">
        <v>13.6</v>
      </c>
      <c r="W33" s="3">
        <v>4.67</v>
      </c>
      <c r="X33" s="3">
        <v>69.3</v>
      </c>
      <c r="Y33" s="3">
        <v>471</v>
      </c>
      <c r="Z33" s="3">
        <v>1334</v>
      </c>
      <c r="AA33" s="3">
        <v>754</v>
      </c>
      <c r="AB33" s="3">
        <v>580</v>
      </c>
      <c r="AC33" s="3">
        <v>60</v>
      </c>
      <c r="AD33" s="3">
        <v>135</v>
      </c>
      <c r="AE33" s="3">
        <f t="shared" si="88"/>
        <v>2.5</v>
      </c>
      <c r="AF33" s="3">
        <v>235</v>
      </c>
      <c r="AG33" s="3">
        <v>109.1</v>
      </c>
      <c r="AH33" s="3">
        <v>213.4</v>
      </c>
      <c r="AI33" s="3">
        <v>34.39</v>
      </c>
      <c r="AJ33" s="3">
        <v>11.92</v>
      </c>
      <c r="AK33" s="3">
        <v>115.5</v>
      </c>
      <c r="AL33" s="3">
        <v>38.799999999999997</v>
      </c>
      <c r="AM33" s="3">
        <v>35.53</v>
      </c>
      <c r="AN33" s="3">
        <v>12.22</v>
      </c>
      <c r="AO33" s="3">
        <v>118.4</v>
      </c>
      <c r="AP33" s="3">
        <v>38.799999999999997</v>
      </c>
      <c r="AQ33" s="3">
        <v>15.58</v>
      </c>
      <c r="AR33" s="3">
        <v>2.61</v>
      </c>
      <c r="AS33" s="3">
        <v>63.52</v>
      </c>
      <c r="AT33" s="3">
        <f t="shared" si="81"/>
        <v>0.01</v>
      </c>
      <c r="AU33" s="3">
        <v>10.49</v>
      </c>
      <c r="AV33" s="3">
        <v>113.4</v>
      </c>
      <c r="AW33" s="3">
        <v>235</v>
      </c>
      <c r="AX33" s="3">
        <v>277</v>
      </c>
      <c r="AY33" s="3">
        <v>85</v>
      </c>
      <c r="AZ33" s="3">
        <v>8100</v>
      </c>
      <c r="BA33" s="3">
        <v>7200</v>
      </c>
      <c r="BB33" s="3"/>
      <c r="BC33" s="3"/>
      <c r="BD33" s="3">
        <v>100</v>
      </c>
      <c r="BE33" s="3">
        <f t="shared" si="26"/>
        <v>0.1</v>
      </c>
      <c r="BF33" s="3">
        <f t="shared" ref="BF33:BF43" si="89">0.5*3</f>
        <v>1.5</v>
      </c>
      <c r="BG33" s="3">
        <v>0.1</v>
      </c>
      <c r="BH33" s="3">
        <f t="shared" si="21"/>
        <v>0.5</v>
      </c>
      <c r="BI33" s="3">
        <v>0.7</v>
      </c>
      <c r="BJ33" s="3">
        <v>1393</v>
      </c>
      <c r="BK33" s="3">
        <v>13</v>
      </c>
      <c r="BL33" s="3">
        <v>25</v>
      </c>
      <c r="BM33" s="3">
        <v>2026</v>
      </c>
      <c r="BN33" s="3">
        <v>30</v>
      </c>
      <c r="BO33" s="3">
        <v>6</v>
      </c>
      <c r="BP33" s="3">
        <f t="shared" ref="BP33:BP36" si="90">0.5*0.2</f>
        <v>0.1</v>
      </c>
      <c r="BQ33" s="3">
        <f t="shared" si="4"/>
        <v>0.05</v>
      </c>
      <c r="BR33" s="3"/>
      <c r="BS33" s="3">
        <v>472</v>
      </c>
      <c r="BT33" s="3">
        <v>340</v>
      </c>
      <c r="BU33" s="3">
        <f t="shared" si="77"/>
        <v>1</v>
      </c>
      <c r="BV33" s="3">
        <v>6</v>
      </c>
      <c r="BW33" s="3">
        <v>1815</v>
      </c>
      <c r="BX33" s="3">
        <f t="shared" si="86"/>
        <v>12.5</v>
      </c>
      <c r="BY33" s="3">
        <v>412</v>
      </c>
      <c r="BZ33" s="3">
        <v>12140</v>
      </c>
      <c r="CA33" s="3">
        <v>287</v>
      </c>
      <c r="CB33" s="3">
        <v>39</v>
      </c>
      <c r="CC33" s="3">
        <v>283</v>
      </c>
      <c r="CD33" s="3">
        <v>6</v>
      </c>
      <c r="CE33" s="3"/>
      <c r="CF33" s="3">
        <v>28789</v>
      </c>
      <c r="CG33" s="3">
        <v>376</v>
      </c>
      <c r="CH33" s="3">
        <f t="shared" si="47"/>
        <v>12.5</v>
      </c>
      <c r="CI33" s="3"/>
      <c r="CJ33" s="3">
        <f t="shared" si="76"/>
        <v>1E-3</v>
      </c>
      <c r="CK33" s="3">
        <v>2.3E-2</v>
      </c>
      <c r="CL33" s="3">
        <v>5.0000000000000001E-3</v>
      </c>
      <c r="CM33" s="3">
        <v>6.7000000000000004E-2</v>
      </c>
      <c r="CN33" s="3"/>
      <c r="CO33" s="3"/>
      <c r="CP33" s="3">
        <v>17437.93</v>
      </c>
      <c r="CQ33" s="3">
        <v>421.03</v>
      </c>
      <c r="CR33" s="3">
        <v>443.1</v>
      </c>
      <c r="CS33" s="3"/>
      <c r="CT33" s="3">
        <v>62.07</v>
      </c>
      <c r="CU33" s="3">
        <v>56.9</v>
      </c>
      <c r="CV33" s="3">
        <v>667.24</v>
      </c>
      <c r="CW33" s="3">
        <v>9.14</v>
      </c>
      <c r="CX33" s="3">
        <v>48822.41</v>
      </c>
      <c r="CY33" s="3">
        <v>727.59</v>
      </c>
      <c r="CZ33" s="3"/>
      <c r="DA33" s="3">
        <v>10.34</v>
      </c>
    </row>
    <row r="34" spans="1:105" ht="12.5" x14ac:dyDescent="0.25">
      <c r="A34" s="3" t="s">
        <v>142</v>
      </c>
      <c r="B34" s="3" t="s">
        <v>143</v>
      </c>
      <c r="C34" s="4" t="s">
        <v>283</v>
      </c>
      <c r="D34" s="4" t="s">
        <v>292</v>
      </c>
      <c r="E34" s="4" t="s">
        <v>213</v>
      </c>
      <c r="F34" s="3" t="s">
        <v>107</v>
      </c>
      <c r="G34" s="3" t="s">
        <v>108</v>
      </c>
      <c r="H34" s="3" t="s">
        <v>109</v>
      </c>
      <c r="J34" s="3" t="s">
        <v>293</v>
      </c>
      <c r="K34" s="3" t="s">
        <v>294</v>
      </c>
      <c r="L34" s="3">
        <v>-19.132200000000001</v>
      </c>
      <c r="M34" s="3">
        <v>-65.571899999999999</v>
      </c>
      <c r="N34" s="3">
        <v>0.77200000000000002</v>
      </c>
      <c r="O34" s="3">
        <v>4</v>
      </c>
      <c r="P34" s="3"/>
      <c r="Q34" s="3"/>
      <c r="R34" s="3">
        <v>8.2569999999999997</v>
      </c>
      <c r="S34" s="3">
        <v>-87.6</v>
      </c>
      <c r="T34" s="3">
        <v>1061</v>
      </c>
      <c r="U34" s="3">
        <v>0.5</v>
      </c>
      <c r="V34" s="3">
        <v>12.4</v>
      </c>
      <c r="W34" s="3">
        <v>8.33</v>
      </c>
      <c r="X34" s="3">
        <v>108.7</v>
      </c>
      <c r="Y34" s="3">
        <v>123</v>
      </c>
      <c r="Z34" s="3">
        <v>808</v>
      </c>
      <c r="AA34" s="3">
        <v>684</v>
      </c>
      <c r="AB34" s="3">
        <v>14</v>
      </c>
      <c r="AC34" s="3">
        <v>26</v>
      </c>
      <c r="AD34" s="3">
        <v>167</v>
      </c>
      <c r="AE34" s="3">
        <v>5</v>
      </c>
      <c r="AF34" s="3">
        <v>130</v>
      </c>
      <c r="AG34" s="3">
        <v>178.1</v>
      </c>
      <c r="AH34" s="3">
        <v>113.4</v>
      </c>
      <c r="AI34" s="3">
        <v>32.090000000000003</v>
      </c>
      <c r="AJ34" s="3">
        <v>21.1</v>
      </c>
      <c r="AK34" s="3">
        <v>153.5</v>
      </c>
      <c r="AL34" s="3">
        <v>12</v>
      </c>
      <c r="AM34" s="3">
        <v>33.24</v>
      </c>
      <c r="AN34" s="3">
        <v>21.39</v>
      </c>
      <c r="AO34" s="3">
        <v>155.30000000000001</v>
      </c>
      <c r="AP34" s="3">
        <v>13</v>
      </c>
      <c r="AQ34" s="3">
        <v>0.31</v>
      </c>
      <c r="AR34" s="3">
        <v>0.25</v>
      </c>
      <c r="AS34" s="3">
        <v>0.27</v>
      </c>
      <c r="AT34" s="3">
        <v>0.43</v>
      </c>
      <c r="AU34" s="3">
        <v>11.33</v>
      </c>
      <c r="AV34" s="3">
        <v>2.9</v>
      </c>
      <c r="AW34" s="3">
        <v>10</v>
      </c>
      <c r="AX34" s="3">
        <v>16</v>
      </c>
      <c r="AY34" s="3">
        <v>10</v>
      </c>
      <c r="AZ34" s="3">
        <v>5</v>
      </c>
      <c r="BA34" s="3">
        <v>0</v>
      </c>
      <c r="BB34" s="3"/>
      <c r="BC34" s="3"/>
      <c r="BD34" s="3">
        <v>12</v>
      </c>
      <c r="BE34" s="3">
        <f t="shared" si="26"/>
        <v>0.1</v>
      </c>
      <c r="BF34" s="3">
        <f t="shared" si="89"/>
        <v>1.5</v>
      </c>
      <c r="BG34" s="3">
        <v>0.1</v>
      </c>
      <c r="BH34" s="3">
        <f t="shared" si="21"/>
        <v>0.5</v>
      </c>
      <c r="BI34" s="3">
        <v>0.4</v>
      </c>
      <c r="BJ34" s="3">
        <v>188</v>
      </c>
      <c r="BK34" s="3">
        <v>3</v>
      </c>
      <c r="BL34" s="3">
        <v>5</v>
      </c>
      <c r="BM34" s="3">
        <v>117</v>
      </c>
      <c r="BN34" s="3">
        <v>15</v>
      </c>
      <c r="BO34" s="3">
        <v>0.5</v>
      </c>
      <c r="BP34" s="3">
        <f t="shared" si="90"/>
        <v>0.1</v>
      </c>
      <c r="BQ34" s="3">
        <f t="shared" si="4"/>
        <v>0.05</v>
      </c>
      <c r="BR34" s="3"/>
      <c r="BS34" s="3">
        <v>182</v>
      </c>
      <c r="BT34" s="3">
        <v>696</v>
      </c>
      <c r="BU34" s="3">
        <f t="shared" si="77"/>
        <v>1</v>
      </c>
      <c r="BV34" s="3">
        <v>3</v>
      </c>
      <c r="BW34" s="3">
        <v>528</v>
      </c>
      <c r="BX34" s="3">
        <f t="shared" si="86"/>
        <v>12.5</v>
      </c>
      <c r="BY34" s="3">
        <v>45</v>
      </c>
      <c r="BZ34" s="3">
        <v>1066</v>
      </c>
      <c r="CA34" s="3">
        <v>61</v>
      </c>
      <c r="CB34" s="3">
        <v>4</v>
      </c>
      <c r="CC34" s="3">
        <v>46</v>
      </c>
      <c r="CD34" s="3">
        <f t="shared" ref="CD34:CD43" si="91">0.5*1</f>
        <v>0.5</v>
      </c>
      <c r="CE34" s="3"/>
      <c r="CF34" s="3">
        <v>6994</v>
      </c>
      <c r="CG34" s="3">
        <v>1394</v>
      </c>
      <c r="CH34" s="3">
        <f t="shared" si="47"/>
        <v>12.5</v>
      </c>
      <c r="CI34" s="3"/>
      <c r="CJ34" s="3">
        <f t="shared" si="76"/>
        <v>1E-3</v>
      </c>
      <c r="CK34" s="3">
        <f t="shared" ref="CK34:CL34" si="92">0.5*0.001</f>
        <v>5.0000000000000001E-4</v>
      </c>
      <c r="CL34" s="3">
        <f t="shared" si="92"/>
        <v>5.0000000000000001E-4</v>
      </c>
      <c r="CM34" s="3">
        <f t="shared" ref="CM34:CM35" si="93">0.5*0.038</f>
        <v>1.9E-2</v>
      </c>
      <c r="CN34" s="3"/>
      <c r="CO34" s="3"/>
      <c r="CP34" s="3">
        <v>67785.710000000006</v>
      </c>
      <c r="CQ34" s="3">
        <v>2428.5700000000002</v>
      </c>
      <c r="CR34" s="3">
        <v>3285.71</v>
      </c>
      <c r="CS34" s="3"/>
      <c r="CT34" s="3">
        <v>49857.14</v>
      </c>
      <c r="CU34" s="3">
        <v>250</v>
      </c>
      <c r="CV34" s="3">
        <v>2857.14</v>
      </c>
      <c r="CW34" s="3">
        <v>185.71</v>
      </c>
      <c r="CX34" s="3">
        <v>486571.43</v>
      </c>
      <c r="CY34" s="3">
        <v>24285.71</v>
      </c>
      <c r="CZ34" s="3"/>
      <c r="DA34" s="3"/>
    </row>
    <row r="35" spans="1:105" ht="12.5" x14ac:dyDescent="0.25">
      <c r="A35" s="3" t="s">
        <v>135</v>
      </c>
      <c r="B35" s="3" t="s">
        <v>136</v>
      </c>
      <c r="C35" s="4" t="s">
        <v>283</v>
      </c>
      <c r="D35" s="4" t="s">
        <v>295</v>
      </c>
      <c r="E35" s="4" t="s">
        <v>213</v>
      </c>
      <c r="F35" s="3" t="s">
        <v>107</v>
      </c>
      <c r="G35" s="3" t="s">
        <v>108</v>
      </c>
      <c r="H35" s="3" t="s">
        <v>139</v>
      </c>
      <c r="J35" s="3" t="s">
        <v>296</v>
      </c>
      <c r="K35" s="3" t="s">
        <v>297</v>
      </c>
      <c r="L35" s="3">
        <v>-19.136099999999999</v>
      </c>
      <c r="M35" s="3">
        <v>-65.567800000000005</v>
      </c>
      <c r="N35" s="3">
        <v>0.871</v>
      </c>
      <c r="O35" s="3">
        <v>0</v>
      </c>
      <c r="P35" s="3"/>
      <c r="Q35" s="3"/>
      <c r="R35" s="3">
        <v>8.4139999999999997</v>
      </c>
      <c r="S35" s="3">
        <v>-98.5</v>
      </c>
      <c r="T35" s="3">
        <v>681</v>
      </c>
      <c r="U35" s="3">
        <v>0.3</v>
      </c>
      <c r="V35" s="3">
        <v>18.8</v>
      </c>
      <c r="W35" s="3">
        <v>6.78</v>
      </c>
      <c r="X35" s="3">
        <v>101.6</v>
      </c>
      <c r="Y35" s="3">
        <v>69</v>
      </c>
      <c r="Z35" s="3">
        <v>563</v>
      </c>
      <c r="AA35" s="3">
        <v>488</v>
      </c>
      <c r="AB35" s="3">
        <v>75</v>
      </c>
      <c r="AC35" s="3">
        <v>2</v>
      </c>
      <c r="AD35" s="3">
        <v>187.5</v>
      </c>
      <c r="AE35" s="3">
        <v>15</v>
      </c>
      <c r="AF35" s="3">
        <v>200</v>
      </c>
      <c r="AG35" s="3">
        <v>7.3</v>
      </c>
      <c r="AH35" s="3">
        <v>158</v>
      </c>
      <c r="AI35" s="3">
        <v>34.39</v>
      </c>
      <c r="AJ35" s="3">
        <v>24.68</v>
      </c>
      <c r="AK35" s="3">
        <v>20.8</v>
      </c>
      <c r="AL35" s="3">
        <v>4.4000000000000004</v>
      </c>
      <c r="AM35" s="3">
        <v>35.53</v>
      </c>
      <c r="AN35" s="3">
        <v>24.68</v>
      </c>
      <c r="AO35" s="3">
        <v>20.9</v>
      </c>
      <c r="AP35" s="3">
        <v>4.4000000000000004</v>
      </c>
      <c r="AQ35" s="3">
        <v>0.21</v>
      </c>
      <c r="AR35" s="3">
        <v>0.12</v>
      </c>
      <c r="AS35" s="3">
        <v>0.23</v>
      </c>
      <c r="AT35" s="3">
        <f t="shared" ref="AT35:AT37" si="94">0.5*0.02</f>
        <v>0.01</v>
      </c>
      <c r="AU35" s="3">
        <f t="shared" ref="AU35:AU36" si="95">0.5*0.01</f>
        <v>5.0000000000000001E-3</v>
      </c>
      <c r="AV35" s="3">
        <v>2.9</v>
      </c>
      <c r="AW35" s="3">
        <v>11</v>
      </c>
      <c r="AX35" s="3">
        <v>13</v>
      </c>
      <c r="AY35" s="3">
        <v>9</v>
      </c>
      <c r="AZ35" s="3">
        <v>30</v>
      </c>
      <c r="BA35" s="3">
        <v>0</v>
      </c>
      <c r="BB35" s="3"/>
      <c r="BC35" s="3"/>
      <c r="BD35" s="3">
        <v>30</v>
      </c>
      <c r="BE35" s="3">
        <f t="shared" si="26"/>
        <v>0.1</v>
      </c>
      <c r="BF35" s="3">
        <f t="shared" si="89"/>
        <v>1.5</v>
      </c>
      <c r="BG35" s="3">
        <f t="shared" ref="BG35:BG43" si="96">0.5*0.1</f>
        <v>0.05</v>
      </c>
      <c r="BH35" s="3">
        <f t="shared" si="21"/>
        <v>0.5</v>
      </c>
      <c r="BI35" s="3">
        <v>0.7</v>
      </c>
      <c r="BJ35" s="3">
        <v>259</v>
      </c>
      <c r="BK35" s="3">
        <v>4</v>
      </c>
      <c r="BL35" s="3">
        <v>0.4</v>
      </c>
      <c r="BM35" s="3">
        <v>4</v>
      </c>
      <c r="BN35" s="3">
        <v>0.2</v>
      </c>
      <c r="BO35" s="3">
        <v>0.3</v>
      </c>
      <c r="BP35" s="3">
        <f t="shared" si="90"/>
        <v>0.1</v>
      </c>
      <c r="BQ35" s="3">
        <f t="shared" si="4"/>
        <v>0.05</v>
      </c>
      <c r="BR35" s="3"/>
      <c r="BS35" s="3">
        <v>185</v>
      </c>
      <c r="BT35" s="3">
        <v>149</v>
      </c>
      <c r="BU35" s="3">
        <f t="shared" si="77"/>
        <v>1</v>
      </c>
      <c r="BV35" s="3">
        <v>3.1</v>
      </c>
      <c r="BW35" s="3">
        <v>406</v>
      </c>
      <c r="BX35" s="3">
        <f t="shared" si="86"/>
        <v>12.5</v>
      </c>
      <c r="BY35" s="3">
        <v>45</v>
      </c>
      <c r="BZ35" s="3">
        <v>163</v>
      </c>
      <c r="CA35" s="3">
        <v>2</v>
      </c>
      <c r="CB35" s="3">
        <v>2</v>
      </c>
      <c r="CC35" s="3">
        <v>4</v>
      </c>
      <c r="CD35" s="3">
        <f t="shared" si="91"/>
        <v>0.5</v>
      </c>
      <c r="CE35" s="3"/>
      <c r="CF35" s="3">
        <v>5573</v>
      </c>
      <c r="CG35" s="3">
        <v>139</v>
      </c>
      <c r="CH35" s="3">
        <f t="shared" si="47"/>
        <v>12.5</v>
      </c>
      <c r="CI35" s="3"/>
      <c r="CJ35" s="3">
        <f t="shared" si="76"/>
        <v>1E-3</v>
      </c>
      <c r="CK35" s="3">
        <f t="shared" ref="CK35:CL35" si="97">0.5*0.001</f>
        <v>5.0000000000000001E-4</v>
      </c>
      <c r="CL35" s="3">
        <f t="shared" si="97"/>
        <v>5.0000000000000001E-4</v>
      </c>
      <c r="CM35" s="3">
        <f t="shared" si="93"/>
        <v>1.9E-2</v>
      </c>
      <c r="CN35" s="3"/>
      <c r="CO35" s="3"/>
      <c r="CP35" s="3">
        <v>2120</v>
      </c>
      <c r="CQ35" s="3"/>
      <c r="CR35" s="3">
        <v>24</v>
      </c>
      <c r="CS35" s="3"/>
      <c r="CT35" s="3"/>
      <c r="CU35" s="3">
        <v>22.67</v>
      </c>
      <c r="CV35" s="3">
        <v>594.66999999999996</v>
      </c>
      <c r="CW35" s="3">
        <v>32</v>
      </c>
      <c r="CX35" s="3">
        <v>71840</v>
      </c>
      <c r="CY35" s="3">
        <v>1960</v>
      </c>
      <c r="CZ35" s="3"/>
      <c r="DA35" s="3"/>
    </row>
    <row r="36" spans="1:105" ht="12.5" x14ac:dyDescent="0.25">
      <c r="A36" s="3" t="s">
        <v>298</v>
      </c>
      <c r="B36" s="3" t="s">
        <v>299</v>
      </c>
      <c r="C36" s="4" t="s">
        <v>300</v>
      </c>
      <c r="D36" s="4" t="s">
        <v>212</v>
      </c>
      <c r="E36" s="4" t="s">
        <v>213</v>
      </c>
      <c r="F36" s="3" t="s">
        <v>107</v>
      </c>
      <c r="G36" s="3" t="s">
        <v>108</v>
      </c>
      <c r="H36" s="3" t="s">
        <v>301</v>
      </c>
      <c r="I36" s="3" t="s">
        <v>150</v>
      </c>
      <c r="J36" s="3" t="s">
        <v>302</v>
      </c>
      <c r="K36" s="3" t="s">
        <v>303</v>
      </c>
      <c r="L36" s="3">
        <v>-19.602</v>
      </c>
      <c r="M36" s="3">
        <v>-65.7346</v>
      </c>
      <c r="N36" s="3"/>
      <c r="O36" s="3"/>
      <c r="P36" s="3"/>
      <c r="Q36" s="3"/>
      <c r="R36" s="3">
        <v>6.93</v>
      </c>
      <c r="S36" s="3">
        <v>-12.9</v>
      </c>
      <c r="T36" s="3">
        <v>204</v>
      </c>
      <c r="U36" s="3">
        <v>0</v>
      </c>
      <c r="V36" s="3">
        <v>5</v>
      </c>
      <c r="W36" s="3">
        <v>4.28</v>
      </c>
      <c r="X36" s="3">
        <v>55.6</v>
      </c>
      <c r="Y36" s="3">
        <v>0.52</v>
      </c>
      <c r="Z36" s="3">
        <v>60</v>
      </c>
      <c r="AA36" s="3">
        <v>60</v>
      </c>
      <c r="AB36" s="3">
        <f>0.5*1</f>
        <v>0.5</v>
      </c>
      <c r="AC36" s="3">
        <v>1</v>
      </c>
      <c r="AD36" s="3">
        <v>44.6</v>
      </c>
      <c r="AE36" s="3">
        <f t="shared" ref="AE36:AE37" si="98">0.5*5</f>
        <v>2.5</v>
      </c>
      <c r="AF36" s="3">
        <v>65</v>
      </c>
      <c r="AG36" s="3">
        <v>4.4000000000000004</v>
      </c>
      <c r="AH36" s="3">
        <v>28</v>
      </c>
      <c r="AI36" s="3">
        <v>13.31</v>
      </c>
      <c r="AJ36" s="3">
        <v>2.75</v>
      </c>
      <c r="AK36" s="3">
        <v>8.6999999999999993</v>
      </c>
      <c r="AL36" s="3">
        <v>3</v>
      </c>
      <c r="AM36" s="3">
        <v>13.87</v>
      </c>
      <c r="AN36" s="3">
        <v>2.78</v>
      </c>
      <c r="AO36" s="3">
        <v>8.8000000000000007</v>
      </c>
      <c r="AP36" s="3">
        <v>3.2</v>
      </c>
      <c r="AQ36" s="3">
        <v>0.21</v>
      </c>
      <c r="AR36" s="3">
        <v>0.15</v>
      </c>
      <c r="AS36" s="3">
        <f t="shared" ref="AS36:AS37" si="99">0.5*0.06</f>
        <v>0.03</v>
      </c>
      <c r="AT36" s="3">
        <f t="shared" si="94"/>
        <v>0.01</v>
      </c>
      <c r="AU36" s="3">
        <f t="shared" si="95"/>
        <v>5.0000000000000001E-3</v>
      </c>
      <c r="AV36" s="3">
        <v>4.3</v>
      </c>
      <c r="AW36" s="3">
        <f t="shared" ref="AW36:AW38" si="100">0.5*5</f>
        <v>2.5</v>
      </c>
      <c r="AX36" s="3">
        <f t="shared" ref="AX36:AY36" si="101">0.5*2</f>
        <v>1</v>
      </c>
      <c r="AY36" s="3">
        <f t="shared" si="101"/>
        <v>1</v>
      </c>
      <c r="AZ36" s="3">
        <v>3</v>
      </c>
      <c r="BA36" s="3">
        <v>1</v>
      </c>
      <c r="BB36" s="3"/>
      <c r="BC36" s="3"/>
      <c r="BD36" s="3">
        <v>1</v>
      </c>
      <c r="BE36" s="3">
        <f t="shared" si="26"/>
        <v>0.1</v>
      </c>
      <c r="BF36" s="3">
        <f t="shared" si="89"/>
        <v>1.5</v>
      </c>
      <c r="BG36" s="3">
        <f t="shared" si="96"/>
        <v>0.05</v>
      </c>
      <c r="BH36" s="3">
        <f t="shared" si="21"/>
        <v>0.5</v>
      </c>
      <c r="BI36" s="3">
        <f>0.5*0.2</f>
        <v>0.1</v>
      </c>
      <c r="BJ36" s="3">
        <v>7</v>
      </c>
      <c r="BK36" s="3">
        <f t="shared" ref="BK36:BL36" si="102">0.5*2</f>
        <v>1</v>
      </c>
      <c r="BL36" s="3">
        <f t="shared" si="102"/>
        <v>1</v>
      </c>
      <c r="BM36" s="3">
        <v>51</v>
      </c>
      <c r="BN36" s="3">
        <v>9</v>
      </c>
      <c r="BO36" s="3">
        <v>0.7</v>
      </c>
      <c r="BP36" s="3">
        <f t="shared" si="90"/>
        <v>0.1</v>
      </c>
      <c r="BQ36" s="3">
        <f t="shared" si="4"/>
        <v>0.05</v>
      </c>
      <c r="BR36" s="3"/>
      <c r="BS36" s="3">
        <v>65</v>
      </c>
      <c r="BT36" s="3">
        <v>158</v>
      </c>
      <c r="BU36" s="3">
        <f t="shared" si="77"/>
        <v>1</v>
      </c>
      <c r="BV36" s="3">
        <f t="shared" ref="BV36:BV38" si="103">0.5*3</f>
        <v>1.5</v>
      </c>
      <c r="BW36" s="3">
        <v>11</v>
      </c>
      <c r="BX36" s="3">
        <f t="shared" si="86"/>
        <v>12.5</v>
      </c>
      <c r="BY36" s="3">
        <f>0.5*25</f>
        <v>12.5</v>
      </c>
      <c r="BZ36" s="3">
        <v>60</v>
      </c>
      <c r="CA36" s="3">
        <v>9</v>
      </c>
      <c r="CB36" s="3">
        <f>0.5*1</f>
        <v>0.5</v>
      </c>
      <c r="CC36" s="3">
        <f>0.5*3</f>
        <v>1.5</v>
      </c>
      <c r="CD36" s="3">
        <f t="shared" si="91"/>
        <v>0.5</v>
      </c>
      <c r="CE36" s="3"/>
      <c r="CF36" s="3">
        <v>154</v>
      </c>
      <c r="CG36" s="3">
        <v>150</v>
      </c>
      <c r="CH36" s="3">
        <f t="shared" si="47"/>
        <v>12.5</v>
      </c>
      <c r="CI36" s="3"/>
      <c r="CJ36" s="3">
        <f t="shared" si="76"/>
        <v>1E-3</v>
      </c>
      <c r="CK36" s="3">
        <f t="shared" ref="CK36:CL36" si="104">0.5*0.001</f>
        <v>5.0000000000000001E-4</v>
      </c>
      <c r="CL36" s="3">
        <f t="shared" si="104"/>
        <v>5.0000000000000001E-4</v>
      </c>
      <c r="CM36" s="3"/>
      <c r="CN36" s="3"/>
      <c r="CO36" s="3"/>
      <c r="CP36" s="3">
        <v>9000</v>
      </c>
      <c r="CQ36" s="3"/>
      <c r="CR36" s="3">
        <v>0</v>
      </c>
      <c r="CS36" s="3"/>
      <c r="CT36" s="3"/>
      <c r="CU36" s="3"/>
      <c r="CV36" s="3"/>
      <c r="CW36" s="3"/>
      <c r="CX36" s="3">
        <v>89000</v>
      </c>
      <c r="CY36" s="3">
        <v>4000</v>
      </c>
      <c r="CZ36" s="3"/>
      <c r="DA36" s="3"/>
    </row>
    <row r="37" spans="1:105" ht="12.5" x14ac:dyDescent="0.25">
      <c r="A37" s="3" t="s">
        <v>153</v>
      </c>
      <c r="B37" s="3" t="s">
        <v>154</v>
      </c>
      <c r="C37" s="4" t="s">
        <v>300</v>
      </c>
      <c r="D37" s="4" t="s">
        <v>304</v>
      </c>
      <c r="E37" s="4" t="s">
        <v>213</v>
      </c>
      <c r="F37" s="3" t="s">
        <v>107</v>
      </c>
      <c r="G37" s="3" t="s">
        <v>108</v>
      </c>
      <c r="H37" s="3" t="s">
        <v>156</v>
      </c>
      <c r="I37" s="3" t="s">
        <v>150</v>
      </c>
      <c r="J37" s="3" t="s">
        <v>305</v>
      </c>
      <c r="K37" s="3" t="s">
        <v>306</v>
      </c>
      <c r="L37" s="3">
        <v>-19.3216</v>
      </c>
      <c r="M37" s="3">
        <v>-65.552700000000002</v>
      </c>
      <c r="N37" s="3">
        <v>0.57799999999999996</v>
      </c>
      <c r="O37" s="3">
        <v>0</v>
      </c>
      <c r="P37" s="3"/>
      <c r="Q37" s="3"/>
      <c r="R37" s="3">
        <v>7.2709999999999999</v>
      </c>
      <c r="S37" s="3">
        <v>-32.5</v>
      </c>
      <c r="T37" s="3">
        <v>207</v>
      </c>
      <c r="U37" s="3">
        <v>0</v>
      </c>
      <c r="V37" s="3">
        <v>14.1</v>
      </c>
      <c r="W37" s="3">
        <v>6.66</v>
      </c>
      <c r="X37" s="3">
        <v>100.3</v>
      </c>
      <c r="Y37" s="3">
        <v>19.600000000000001</v>
      </c>
      <c r="Z37" s="3">
        <v>143</v>
      </c>
      <c r="AA37" s="3">
        <v>118</v>
      </c>
      <c r="AB37" s="3">
        <v>25</v>
      </c>
      <c r="AC37" s="3">
        <v>9</v>
      </c>
      <c r="AD37" s="3">
        <v>49.3</v>
      </c>
      <c r="AE37" s="3">
        <f t="shared" si="98"/>
        <v>2.5</v>
      </c>
      <c r="AF37" s="3">
        <v>20</v>
      </c>
      <c r="AG37" s="3">
        <v>4.5</v>
      </c>
      <c r="AH37" s="3">
        <v>65</v>
      </c>
      <c r="AI37" s="3">
        <v>9</v>
      </c>
      <c r="AJ37" s="3">
        <v>6.51</v>
      </c>
      <c r="AK37" s="3">
        <v>1.7</v>
      </c>
      <c r="AL37" s="3">
        <v>1.9</v>
      </c>
      <c r="AM37" s="3">
        <v>9</v>
      </c>
      <c r="AN37" s="3">
        <v>6.66</v>
      </c>
      <c r="AO37" s="3">
        <v>1.7</v>
      </c>
      <c r="AP37" s="3">
        <v>1.9</v>
      </c>
      <c r="AQ37" s="3">
        <v>0.06</v>
      </c>
      <c r="AR37" s="3">
        <v>0.06</v>
      </c>
      <c r="AS37" s="3">
        <f t="shared" si="99"/>
        <v>0.03</v>
      </c>
      <c r="AT37" s="3">
        <f t="shared" si="94"/>
        <v>0.01</v>
      </c>
      <c r="AU37" s="3">
        <v>2.0299999999999998</v>
      </c>
      <c r="AV37" s="3">
        <v>4.3</v>
      </c>
      <c r="AW37" s="3">
        <f t="shared" si="100"/>
        <v>2.5</v>
      </c>
      <c r="AX37" s="3">
        <v>7</v>
      </c>
      <c r="AY37" s="3">
        <v>8</v>
      </c>
      <c r="AZ37" s="3">
        <v>0</v>
      </c>
      <c r="BA37" s="3">
        <v>0</v>
      </c>
      <c r="BB37" s="3"/>
      <c r="BC37" s="3"/>
      <c r="BD37" s="3">
        <v>4</v>
      </c>
      <c r="BE37" s="3">
        <f t="shared" si="26"/>
        <v>0.1</v>
      </c>
      <c r="BF37" s="3">
        <f t="shared" si="89"/>
        <v>1.5</v>
      </c>
      <c r="BG37" s="3">
        <f t="shared" si="96"/>
        <v>0.05</v>
      </c>
      <c r="BH37" s="3">
        <f t="shared" si="21"/>
        <v>0.5</v>
      </c>
      <c r="BI37" s="3">
        <v>1</v>
      </c>
      <c r="BJ37" s="3">
        <v>1737</v>
      </c>
      <c r="BK37" s="3">
        <v>8</v>
      </c>
      <c r="BL37" s="3">
        <v>2</v>
      </c>
      <c r="BM37" s="3">
        <v>218</v>
      </c>
      <c r="BN37" s="3">
        <v>0.2</v>
      </c>
      <c r="BO37" s="3">
        <v>2</v>
      </c>
      <c r="BP37" s="3">
        <v>3</v>
      </c>
      <c r="BQ37" s="3">
        <f t="shared" si="4"/>
        <v>0.05</v>
      </c>
      <c r="BR37" s="3"/>
      <c r="BS37" s="3">
        <v>61</v>
      </c>
      <c r="BT37" s="3">
        <v>47</v>
      </c>
      <c r="BU37" s="3">
        <f t="shared" si="77"/>
        <v>1</v>
      </c>
      <c r="BV37" s="3">
        <f t="shared" si="103"/>
        <v>1.5</v>
      </c>
      <c r="BW37" s="3">
        <v>1869</v>
      </c>
      <c r="BX37" s="3">
        <f t="shared" si="86"/>
        <v>12.5</v>
      </c>
      <c r="BY37" s="3">
        <v>150</v>
      </c>
      <c r="BZ37" s="3">
        <v>506</v>
      </c>
      <c r="CA37" s="3">
        <v>2</v>
      </c>
      <c r="CB37" s="3">
        <v>2.5</v>
      </c>
      <c r="CC37" s="3">
        <v>3</v>
      </c>
      <c r="CD37" s="3">
        <f t="shared" si="91"/>
        <v>0.5</v>
      </c>
      <c r="CE37" s="3"/>
      <c r="CF37" s="3">
        <v>5452</v>
      </c>
      <c r="CG37" s="3">
        <v>47</v>
      </c>
      <c r="CH37" s="3">
        <f t="shared" si="47"/>
        <v>12.5</v>
      </c>
      <c r="CI37" s="3"/>
      <c r="CJ37" s="3">
        <f t="shared" si="76"/>
        <v>1E-3</v>
      </c>
      <c r="CK37" s="3">
        <f t="shared" ref="CK37:CL37" si="105">0.5*0.001</f>
        <v>5.0000000000000001E-4</v>
      </c>
      <c r="CL37" s="3">
        <f t="shared" si="105"/>
        <v>5.0000000000000001E-4</v>
      </c>
      <c r="CM37" s="3">
        <f t="shared" ref="CM37:CM38" si="106">0.5*0.038</f>
        <v>1.9E-2</v>
      </c>
      <c r="CN37" s="3"/>
      <c r="CO37" s="3"/>
      <c r="CP37" s="3">
        <v>11520</v>
      </c>
      <c r="CQ37" s="3">
        <v>44</v>
      </c>
      <c r="CR37" s="3">
        <v>72</v>
      </c>
      <c r="CS37" s="3"/>
      <c r="CT37" s="3">
        <v>0</v>
      </c>
      <c r="CU37" s="3">
        <v>20</v>
      </c>
      <c r="CV37" s="3">
        <v>5920</v>
      </c>
      <c r="CW37" s="3"/>
      <c r="CX37" s="3">
        <v>215640</v>
      </c>
      <c r="CY37" s="3">
        <v>5280</v>
      </c>
      <c r="CZ37" s="3"/>
      <c r="DA37" s="3"/>
    </row>
    <row r="38" spans="1:105" ht="12.5" x14ac:dyDescent="0.25">
      <c r="A38" s="3" t="s">
        <v>307</v>
      </c>
      <c r="B38" s="3" t="s">
        <v>308</v>
      </c>
      <c r="C38" s="4" t="s">
        <v>300</v>
      </c>
      <c r="D38" s="4" t="s">
        <v>247</v>
      </c>
      <c r="E38" s="4" t="s">
        <v>213</v>
      </c>
      <c r="F38" s="3" t="s">
        <v>107</v>
      </c>
      <c r="G38" s="3" t="s">
        <v>108</v>
      </c>
      <c r="H38" s="3" t="s">
        <v>109</v>
      </c>
      <c r="I38" s="3" t="s">
        <v>309</v>
      </c>
      <c r="J38" s="3" t="s">
        <v>310</v>
      </c>
      <c r="K38" s="3" t="s">
        <v>311</v>
      </c>
      <c r="L38" s="3">
        <v>-19.357399999999998</v>
      </c>
      <c r="M38" s="3">
        <v>-65.173199999999994</v>
      </c>
      <c r="N38" s="3">
        <v>0.72799999999999998</v>
      </c>
      <c r="O38" s="3">
        <v>7</v>
      </c>
      <c r="P38" s="3"/>
      <c r="Q38" s="3"/>
      <c r="R38" s="3">
        <v>8.3049999999999997</v>
      </c>
      <c r="S38" s="3">
        <v>-90</v>
      </c>
      <c r="T38" s="3">
        <v>1389</v>
      </c>
      <c r="U38" s="3">
        <v>0.6</v>
      </c>
      <c r="V38" s="3">
        <v>11.7</v>
      </c>
      <c r="W38" s="3">
        <v>8.77</v>
      </c>
      <c r="X38" s="3">
        <v>105.3</v>
      </c>
      <c r="Y38" s="3">
        <v>72.3</v>
      </c>
      <c r="Z38" s="3">
        <v>880</v>
      </c>
      <c r="AA38" s="3">
        <v>828</v>
      </c>
      <c r="AB38" s="3">
        <v>52</v>
      </c>
      <c r="AC38" s="3">
        <v>15</v>
      </c>
      <c r="AD38" s="3">
        <v>213.4</v>
      </c>
      <c r="AE38" s="3">
        <v>10</v>
      </c>
      <c r="AF38" s="3">
        <v>145</v>
      </c>
      <c r="AG38" s="3">
        <v>129.5</v>
      </c>
      <c r="AH38" s="3">
        <v>99</v>
      </c>
      <c r="AI38" s="3">
        <v>44.15</v>
      </c>
      <c r="AJ38" s="3">
        <v>25.05</v>
      </c>
      <c r="AK38" s="3">
        <v>176.8</v>
      </c>
      <c r="AL38" s="3">
        <v>11.1</v>
      </c>
      <c r="AM38" s="3">
        <v>44.49</v>
      </c>
      <c r="AN38" s="3">
        <v>25.92</v>
      </c>
      <c r="AO38" s="3">
        <v>182.6</v>
      </c>
      <c r="AP38" s="3">
        <v>11.1</v>
      </c>
      <c r="AQ38" s="3">
        <v>0.55000000000000004</v>
      </c>
      <c r="AR38" s="3">
        <v>0.49</v>
      </c>
      <c r="AS38" s="3">
        <v>0.43</v>
      </c>
      <c r="AT38" s="3">
        <v>13.04</v>
      </c>
      <c r="AU38" s="3">
        <v>9.18</v>
      </c>
      <c r="AV38" s="3">
        <v>5.7</v>
      </c>
      <c r="AW38" s="3">
        <f t="shared" si="100"/>
        <v>2.5</v>
      </c>
      <c r="AX38" s="3">
        <v>8</v>
      </c>
      <c r="AY38" s="3">
        <v>8</v>
      </c>
      <c r="AZ38" s="3">
        <v>25</v>
      </c>
      <c r="BA38" s="3">
        <v>16</v>
      </c>
      <c r="BB38" s="3"/>
      <c r="BC38" s="3"/>
      <c r="BD38" s="3">
        <v>12</v>
      </c>
      <c r="BE38" s="3">
        <f t="shared" si="26"/>
        <v>0.1</v>
      </c>
      <c r="BF38" s="3">
        <f t="shared" si="89"/>
        <v>1.5</v>
      </c>
      <c r="BG38" s="3">
        <f t="shared" si="96"/>
        <v>0.05</v>
      </c>
      <c r="BH38" s="3">
        <f t="shared" si="21"/>
        <v>0.5</v>
      </c>
      <c r="BI38" s="3">
        <v>8</v>
      </c>
      <c r="BJ38" s="3">
        <v>10</v>
      </c>
      <c r="BK38" s="3">
        <v>4</v>
      </c>
      <c r="BL38" s="3">
        <v>4</v>
      </c>
      <c r="BM38" s="3">
        <v>20</v>
      </c>
      <c r="BN38" s="3">
        <v>14</v>
      </c>
      <c r="BO38" s="3">
        <v>0.2</v>
      </c>
      <c r="BP38" s="3">
        <f>0.5*0.2</f>
        <v>0.1</v>
      </c>
      <c r="BQ38" s="3">
        <f t="shared" si="4"/>
        <v>0.05</v>
      </c>
      <c r="BR38" s="3"/>
      <c r="BS38" s="3">
        <v>213</v>
      </c>
      <c r="BT38" s="3">
        <v>593</v>
      </c>
      <c r="BU38" s="3">
        <f t="shared" si="77"/>
        <v>1</v>
      </c>
      <c r="BV38" s="3">
        <f t="shared" si="103"/>
        <v>1.5</v>
      </c>
      <c r="BW38" s="3">
        <v>146</v>
      </c>
      <c r="BX38" s="3">
        <f t="shared" si="86"/>
        <v>12.5</v>
      </c>
      <c r="BY38" s="3">
        <v>49</v>
      </c>
      <c r="BZ38" s="3">
        <v>355</v>
      </c>
      <c r="CA38" s="3">
        <v>26</v>
      </c>
      <c r="CB38" s="3">
        <v>1.3</v>
      </c>
      <c r="CC38" s="3">
        <v>31</v>
      </c>
      <c r="CD38" s="3">
        <f t="shared" si="91"/>
        <v>0.5</v>
      </c>
      <c r="CE38" s="3"/>
      <c r="CF38" s="3">
        <v>2807</v>
      </c>
      <c r="CG38" s="3">
        <v>1061</v>
      </c>
      <c r="CH38" s="3">
        <f t="shared" si="47"/>
        <v>12.5</v>
      </c>
      <c r="CI38" s="3"/>
      <c r="CJ38" s="3">
        <f t="shared" si="76"/>
        <v>1E-3</v>
      </c>
      <c r="CK38" s="3">
        <f t="shared" ref="CK38:CL38" si="107">0.5*0.001</f>
        <v>5.0000000000000001E-4</v>
      </c>
      <c r="CL38" s="3">
        <f t="shared" si="107"/>
        <v>5.0000000000000001E-4</v>
      </c>
      <c r="CM38" s="3">
        <f t="shared" si="106"/>
        <v>1.9E-2</v>
      </c>
      <c r="CN38" s="3"/>
      <c r="CO38" s="3"/>
      <c r="CP38" s="3">
        <v>6442.31</v>
      </c>
      <c r="CQ38" s="3">
        <v>382.69</v>
      </c>
      <c r="CR38" s="3">
        <v>230.77</v>
      </c>
      <c r="CS38" s="3"/>
      <c r="CT38" s="3">
        <v>9000</v>
      </c>
      <c r="CU38" s="3">
        <v>21.15</v>
      </c>
      <c r="CV38" s="3">
        <v>865.38</v>
      </c>
      <c r="CW38" s="3"/>
      <c r="CX38" s="3">
        <v>49884.62</v>
      </c>
      <c r="CY38" s="3">
        <v>2615.38</v>
      </c>
      <c r="CZ38" s="3"/>
      <c r="DA38" s="3"/>
    </row>
    <row r="39" spans="1:105" ht="12.5" x14ac:dyDescent="0.25">
      <c r="A39" s="3" t="s">
        <v>113</v>
      </c>
      <c r="B39" s="3" t="s">
        <v>114</v>
      </c>
      <c r="C39" s="4" t="s">
        <v>312</v>
      </c>
      <c r="D39" s="4" t="s">
        <v>313</v>
      </c>
      <c r="E39" s="4" t="s">
        <v>314</v>
      </c>
      <c r="F39" s="3" t="s">
        <v>107</v>
      </c>
      <c r="G39" s="3" t="s">
        <v>108</v>
      </c>
      <c r="H39" s="3" t="s">
        <v>109</v>
      </c>
      <c r="I39" s="3" t="s">
        <v>117</v>
      </c>
      <c r="J39" s="3" t="s">
        <v>315</v>
      </c>
      <c r="K39" s="3" t="s">
        <v>316</v>
      </c>
      <c r="L39" s="3">
        <v>-22.3781</v>
      </c>
      <c r="M39" s="3">
        <v>-62.518599999999999</v>
      </c>
      <c r="N39" s="3"/>
      <c r="O39" s="3"/>
      <c r="P39" s="3">
        <v>1372</v>
      </c>
      <c r="Q39" s="3">
        <v>184.6</v>
      </c>
      <c r="R39" s="3">
        <v>7.93</v>
      </c>
      <c r="S39" s="3">
        <v>-67.599999999999994</v>
      </c>
      <c r="T39" s="3">
        <v>729</v>
      </c>
      <c r="U39" s="3">
        <v>0.3</v>
      </c>
      <c r="V39" s="3">
        <v>19.100000000000001</v>
      </c>
      <c r="W39" s="3">
        <v>8.2100000000000009</v>
      </c>
      <c r="X39" s="3">
        <v>91</v>
      </c>
      <c r="Y39" s="3">
        <v>800</v>
      </c>
      <c r="Z39" s="3">
        <v>3548</v>
      </c>
      <c r="AA39" s="3">
        <v>574</v>
      </c>
      <c r="AB39" s="3">
        <v>2974</v>
      </c>
      <c r="AC39" s="3">
        <v>2</v>
      </c>
      <c r="AD39" s="3">
        <v>224</v>
      </c>
      <c r="AE39" s="3"/>
      <c r="AF39" s="3">
        <v>100</v>
      </c>
      <c r="AG39" s="3">
        <v>97</v>
      </c>
      <c r="AH39" s="3">
        <v>130</v>
      </c>
      <c r="AI39" s="3">
        <v>57</v>
      </c>
      <c r="AJ39" s="3">
        <v>20</v>
      </c>
      <c r="AK39" s="3">
        <v>63</v>
      </c>
      <c r="AL39" s="3">
        <v>5.0999999999999996</v>
      </c>
      <c r="AM39" s="3"/>
      <c r="AN39" s="3"/>
      <c r="AO39" s="3"/>
      <c r="AP39" s="3"/>
      <c r="AQ39" s="3"/>
      <c r="AR39" s="3"/>
      <c r="AS39" s="3">
        <v>0.06</v>
      </c>
      <c r="AT39" s="3">
        <v>0.06</v>
      </c>
      <c r="AU39" s="3">
        <v>8</v>
      </c>
      <c r="AV39" s="3"/>
      <c r="AW39" s="3">
        <f>0.5*2</f>
        <v>1</v>
      </c>
      <c r="AX39" s="3"/>
      <c r="AY39" s="3"/>
      <c r="AZ39" s="3"/>
      <c r="BA39" s="3"/>
      <c r="BB39" s="3"/>
      <c r="BC39" s="3"/>
      <c r="BD39" s="3"/>
      <c r="BE39" s="3">
        <f t="shared" si="26"/>
        <v>0.1</v>
      </c>
      <c r="BF39" s="3">
        <f t="shared" si="89"/>
        <v>1.5</v>
      </c>
      <c r="BG39" s="3">
        <f t="shared" si="96"/>
        <v>0.05</v>
      </c>
      <c r="BH39" s="3">
        <v>1</v>
      </c>
      <c r="BI39" s="3">
        <v>4</v>
      </c>
      <c r="BJ39" s="3">
        <v>32</v>
      </c>
      <c r="BK39" s="3">
        <v>2</v>
      </c>
      <c r="BL39" s="3">
        <f>0.5*2</f>
        <v>1</v>
      </c>
      <c r="BM39" s="3">
        <v>2</v>
      </c>
      <c r="BN39" s="3">
        <v>2</v>
      </c>
      <c r="BO39" s="3">
        <f t="shared" ref="BO39:BO44" si="108">0.5*0.1</f>
        <v>0.05</v>
      </c>
      <c r="BP39" s="3">
        <v>2</v>
      </c>
      <c r="BQ39" s="3">
        <f t="shared" si="4"/>
        <v>0.05</v>
      </c>
      <c r="BR39" s="3"/>
      <c r="BS39" s="3">
        <v>96</v>
      </c>
      <c r="BT39" s="3">
        <v>23</v>
      </c>
      <c r="BU39" s="3">
        <f t="shared" si="77"/>
        <v>1</v>
      </c>
      <c r="BV39" s="3">
        <v>85</v>
      </c>
      <c r="BW39" s="3">
        <v>1335</v>
      </c>
      <c r="BX39" s="3">
        <v>72</v>
      </c>
      <c r="BY39" s="3">
        <v>72</v>
      </c>
      <c r="BZ39" s="3">
        <v>281</v>
      </c>
      <c r="CA39" s="3">
        <v>40</v>
      </c>
      <c r="CB39" s="3">
        <f t="shared" ref="CB39:CB43" si="109">0.5*1</f>
        <v>0.5</v>
      </c>
      <c r="CC39" s="3">
        <v>73</v>
      </c>
      <c r="CD39" s="3">
        <f t="shared" si="91"/>
        <v>0.5</v>
      </c>
      <c r="CE39" s="3"/>
      <c r="CF39" s="3">
        <v>82847</v>
      </c>
      <c r="CG39" s="3">
        <v>148</v>
      </c>
      <c r="CH39" s="3">
        <f t="shared" si="47"/>
        <v>12.5</v>
      </c>
      <c r="CI39" s="3"/>
      <c r="CJ39" s="3"/>
      <c r="CK39" s="3"/>
      <c r="CL39" s="3"/>
      <c r="CM39" s="3"/>
      <c r="CN39" s="3">
        <v>0.34</v>
      </c>
      <c r="CO39" s="3"/>
      <c r="CP39" s="3">
        <v>93.81</v>
      </c>
      <c r="CQ39" s="3">
        <v>22.83</v>
      </c>
      <c r="CR39" s="3">
        <v>12.78</v>
      </c>
      <c r="CS39" s="3"/>
      <c r="CT39" s="3">
        <v>42.03</v>
      </c>
      <c r="CU39" s="3"/>
      <c r="CV39" s="3">
        <v>24.21</v>
      </c>
      <c r="CW39" s="3">
        <v>27.24</v>
      </c>
      <c r="CX39" s="3">
        <v>27824.82</v>
      </c>
      <c r="CY39" s="3">
        <v>438.13</v>
      </c>
      <c r="CZ39" s="3">
        <v>23.54</v>
      </c>
      <c r="DA39" s="3"/>
    </row>
    <row r="40" spans="1:105" ht="12.5" x14ac:dyDescent="0.25">
      <c r="A40" s="3" t="s">
        <v>102</v>
      </c>
      <c r="B40" s="3" t="s">
        <v>103</v>
      </c>
      <c r="C40" s="4" t="s">
        <v>317</v>
      </c>
      <c r="D40" s="4" t="s">
        <v>318</v>
      </c>
      <c r="E40" s="4" t="s">
        <v>314</v>
      </c>
      <c r="F40" s="3" t="s">
        <v>107</v>
      </c>
      <c r="G40" s="3" t="s">
        <v>108</v>
      </c>
      <c r="H40" s="3" t="s">
        <v>109</v>
      </c>
      <c r="I40" s="3" t="s">
        <v>110</v>
      </c>
      <c r="J40" s="3" t="s">
        <v>319</v>
      </c>
      <c r="K40" s="3" t="s">
        <v>320</v>
      </c>
      <c r="L40" s="3">
        <v>-21.257899999999999</v>
      </c>
      <c r="M40" s="3">
        <v>-63.511200000000002</v>
      </c>
      <c r="N40" s="3">
        <v>0.57699999999999996</v>
      </c>
      <c r="O40" s="3">
        <v>89</v>
      </c>
      <c r="P40" s="3">
        <v>1622</v>
      </c>
      <c r="Q40" s="3">
        <v>195.1</v>
      </c>
      <c r="R40" s="3">
        <v>7.9640000000000004</v>
      </c>
      <c r="S40" s="3">
        <v>-69.2</v>
      </c>
      <c r="T40" s="3">
        <v>616</v>
      </c>
      <c r="U40" s="3">
        <v>0.2</v>
      </c>
      <c r="V40" s="3">
        <v>18.899999999999999</v>
      </c>
      <c r="W40" s="3">
        <v>8.7100000000000009</v>
      </c>
      <c r="X40" s="3">
        <v>98.3</v>
      </c>
      <c r="Y40" s="3">
        <v>71.3</v>
      </c>
      <c r="Z40" s="3">
        <v>551</v>
      </c>
      <c r="AA40" s="3">
        <v>417</v>
      </c>
      <c r="AB40" s="3">
        <v>106</v>
      </c>
      <c r="AC40" s="3"/>
      <c r="AD40" s="3">
        <v>161</v>
      </c>
      <c r="AE40" s="3">
        <v>15.1</v>
      </c>
      <c r="AF40" s="3">
        <v>77.3</v>
      </c>
      <c r="AG40" s="3">
        <v>83.3</v>
      </c>
      <c r="AH40" s="3">
        <v>119</v>
      </c>
      <c r="AI40" s="3">
        <v>36.299999999999997</v>
      </c>
      <c r="AJ40" s="3">
        <v>17</v>
      </c>
      <c r="AK40" s="3">
        <v>50.9</v>
      </c>
      <c r="AL40" s="3">
        <v>3.09</v>
      </c>
      <c r="AM40" s="3">
        <v>37.200000000000003</v>
      </c>
      <c r="AN40" s="3">
        <v>17.8</v>
      </c>
      <c r="AO40" s="3">
        <v>54.3</v>
      </c>
      <c r="AP40" s="3">
        <v>3.62</v>
      </c>
      <c r="AQ40" s="3"/>
      <c r="AR40" s="3"/>
      <c r="AS40" s="3"/>
      <c r="AT40" s="3"/>
      <c r="AU40" s="3"/>
      <c r="AV40" s="3"/>
      <c r="AW40" s="3">
        <v>4.95</v>
      </c>
      <c r="AX40" s="3">
        <v>29</v>
      </c>
      <c r="AY40" s="3"/>
      <c r="AZ40" s="3"/>
      <c r="BA40" s="3"/>
      <c r="BB40" s="3"/>
      <c r="BC40" s="3"/>
      <c r="BD40" s="3"/>
      <c r="BE40" s="3">
        <f t="shared" si="26"/>
        <v>0.1</v>
      </c>
      <c r="BF40" s="3">
        <f t="shared" si="89"/>
        <v>1.5</v>
      </c>
      <c r="BG40" s="3">
        <f t="shared" si="96"/>
        <v>0.05</v>
      </c>
      <c r="BH40" s="3">
        <f t="shared" ref="BH40:BH43" si="110">0.5*1</f>
        <v>0.5</v>
      </c>
      <c r="BI40" s="3">
        <v>2</v>
      </c>
      <c r="BJ40" s="3">
        <v>4</v>
      </c>
      <c r="BK40" s="3">
        <f t="shared" ref="BK40:BL40" si="111">0.5*2</f>
        <v>1</v>
      </c>
      <c r="BL40" s="3">
        <f t="shared" si="111"/>
        <v>1</v>
      </c>
      <c r="BM40" s="3">
        <v>2</v>
      </c>
      <c r="BN40" s="3">
        <v>2</v>
      </c>
      <c r="BO40" s="3">
        <f t="shared" si="108"/>
        <v>0.05</v>
      </c>
      <c r="BP40" s="3">
        <v>1</v>
      </c>
      <c r="BQ40" s="3">
        <f t="shared" si="4"/>
        <v>0.05</v>
      </c>
      <c r="BR40" s="3"/>
      <c r="BS40" s="3">
        <v>69</v>
      </c>
      <c r="BT40" s="3">
        <v>22</v>
      </c>
      <c r="BU40" s="3">
        <f t="shared" si="77"/>
        <v>1</v>
      </c>
      <c r="BV40" s="3">
        <v>25</v>
      </c>
      <c r="BW40" s="3">
        <v>110</v>
      </c>
      <c r="BX40" s="3">
        <v>6</v>
      </c>
      <c r="BY40" s="3">
        <v>9</v>
      </c>
      <c r="BZ40" s="3">
        <v>55</v>
      </c>
      <c r="CA40" s="3">
        <v>6</v>
      </c>
      <c r="CB40" s="3">
        <f t="shared" si="109"/>
        <v>0.5</v>
      </c>
      <c r="CC40" s="3">
        <v>8</v>
      </c>
      <c r="CD40" s="3">
        <f t="shared" si="91"/>
        <v>0.5</v>
      </c>
      <c r="CE40" s="3"/>
      <c r="CF40" s="3">
        <v>5096</v>
      </c>
      <c r="CG40" s="3">
        <v>117</v>
      </c>
      <c r="CH40" s="3">
        <f t="shared" si="47"/>
        <v>12.5</v>
      </c>
      <c r="CI40" s="3">
        <f>0.5*0.02</f>
        <v>0.01</v>
      </c>
      <c r="CJ40" s="3"/>
      <c r="CK40" s="3">
        <f>0.5*0.02</f>
        <v>0.01</v>
      </c>
      <c r="CL40" s="3"/>
      <c r="CM40" s="3"/>
      <c r="CN40" s="3"/>
      <c r="CO40" s="3"/>
      <c r="CP40" s="3">
        <v>500</v>
      </c>
      <c r="CQ40" s="3">
        <v>46.32</v>
      </c>
      <c r="CR40" s="3">
        <v>37.74</v>
      </c>
      <c r="CS40" s="3"/>
      <c r="CT40" s="3">
        <v>896.23</v>
      </c>
      <c r="CU40" s="3"/>
      <c r="CV40" s="3">
        <v>84.91</v>
      </c>
      <c r="CW40" s="3">
        <v>216.98</v>
      </c>
      <c r="CX40" s="3">
        <v>47424.53</v>
      </c>
      <c r="CY40" s="3">
        <v>1000</v>
      </c>
      <c r="CZ40" s="3">
        <v>56.6</v>
      </c>
      <c r="DA40" s="3"/>
    </row>
    <row r="41" spans="1:105" ht="12.5" x14ac:dyDescent="0.25">
      <c r="A41" s="3" t="s">
        <v>120</v>
      </c>
      <c r="B41" s="3" t="s">
        <v>121</v>
      </c>
      <c r="C41" s="4" t="s">
        <v>321</v>
      </c>
      <c r="D41" s="4" t="s">
        <v>322</v>
      </c>
      <c r="E41" s="4" t="s">
        <v>314</v>
      </c>
      <c r="F41" s="3" t="s">
        <v>107</v>
      </c>
      <c r="G41" s="3" t="s">
        <v>108</v>
      </c>
      <c r="H41" s="3" t="s">
        <v>124</v>
      </c>
      <c r="I41" s="3" t="s">
        <v>125</v>
      </c>
      <c r="J41" s="3" t="s">
        <v>323</v>
      </c>
      <c r="K41" s="3" t="s">
        <v>324</v>
      </c>
      <c r="L41" s="3">
        <v>-21.2392</v>
      </c>
      <c r="M41" s="3">
        <v>-65.208699999999993</v>
      </c>
      <c r="N41" s="3">
        <v>0.34899999999999998</v>
      </c>
      <c r="O41" s="3">
        <v>3</v>
      </c>
      <c r="P41" s="3">
        <v>715</v>
      </c>
      <c r="Q41" s="3">
        <v>161.5</v>
      </c>
      <c r="R41" s="3">
        <v>8.4969999999999999</v>
      </c>
      <c r="S41" s="3">
        <v>-100.3</v>
      </c>
      <c r="T41" s="3">
        <v>1399</v>
      </c>
      <c r="U41" s="3">
        <v>0.7</v>
      </c>
      <c r="V41" s="3">
        <v>20.3</v>
      </c>
      <c r="W41" s="3">
        <v>7.04</v>
      </c>
      <c r="X41" s="3">
        <v>104.2</v>
      </c>
      <c r="Y41" s="3">
        <v>40.299999999999997</v>
      </c>
      <c r="Z41" s="3">
        <v>1182</v>
      </c>
      <c r="AA41" s="3">
        <v>1138</v>
      </c>
      <c r="AB41" s="3">
        <v>44</v>
      </c>
      <c r="AC41" s="3"/>
      <c r="AD41" s="3">
        <v>371</v>
      </c>
      <c r="AE41" s="3">
        <v>5</v>
      </c>
      <c r="AF41" s="3">
        <v>145</v>
      </c>
      <c r="AG41" s="3">
        <v>65.5</v>
      </c>
      <c r="AH41" s="3">
        <v>455.2</v>
      </c>
      <c r="AI41" s="3">
        <v>28.85</v>
      </c>
      <c r="AJ41" s="3">
        <v>72.61</v>
      </c>
      <c r="AK41" s="3">
        <v>93.1</v>
      </c>
      <c r="AL41" s="3">
        <v>7.4</v>
      </c>
      <c r="AM41" s="3">
        <v>40.880000000000003</v>
      </c>
      <c r="AN41" s="3">
        <v>75.2</v>
      </c>
      <c r="AO41" s="3">
        <v>111.2</v>
      </c>
      <c r="AP41" s="3">
        <v>7.7</v>
      </c>
      <c r="AQ41" s="3"/>
      <c r="AR41" s="3"/>
      <c r="AS41" s="3"/>
      <c r="AT41" s="3"/>
      <c r="AU41" s="3"/>
      <c r="AV41" s="3"/>
      <c r="AW41" s="3">
        <f t="shared" ref="AW41:AW43" si="112">0.5*5</f>
        <v>2.5</v>
      </c>
      <c r="AX41" s="3">
        <f>0.5*2</f>
        <v>1</v>
      </c>
      <c r="AY41" s="3"/>
      <c r="AZ41" s="3"/>
      <c r="BA41" s="3"/>
      <c r="BB41" s="3"/>
      <c r="BC41" s="3"/>
      <c r="BD41" s="3"/>
      <c r="BE41" s="3">
        <f t="shared" si="26"/>
        <v>0.1</v>
      </c>
      <c r="BF41" s="3">
        <f t="shared" si="89"/>
        <v>1.5</v>
      </c>
      <c r="BG41" s="3">
        <f t="shared" si="96"/>
        <v>0.05</v>
      </c>
      <c r="BH41" s="3">
        <f t="shared" si="110"/>
        <v>0.5</v>
      </c>
      <c r="BI41" s="3">
        <v>6</v>
      </c>
      <c r="BJ41" s="3">
        <v>16</v>
      </c>
      <c r="BK41" s="3">
        <v>3</v>
      </c>
      <c r="BL41" s="3">
        <f t="shared" ref="BL41:BL43" si="113">0.5*2</f>
        <v>1</v>
      </c>
      <c r="BM41" s="3">
        <v>3</v>
      </c>
      <c r="BN41" s="3">
        <v>3</v>
      </c>
      <c r="BO41" s="3">
        <f t="shared" si="108"/>
        <v>0.05</v>
      </c>
      <c r="BP41" s="3">
        <v>2</v>
      </c>
      <c r="BQ41" s="3">
        <f t="shared" si="4"/>
        <v>0.05</v>
      </c>
      <c r="BR41" s="3"/>
      <c r="BS41" s="3">
        <v>252</v>
      </c>
      <c r="BT41" s="3">
        <v>194</v>
      </c>
      <c r="BU41" s="3">
        <f t="shared" si="77"/>
        <v>1</v>
      </c>
      <c r="BV41" s="3">
        <v>23</v>
      </c>
      <c r="BW41" s="3">
        <v>50</v>
      </c>
      <c r="BX41" s="3">
        <v>6</v>
      </c>
      <c r="BY41" s="3">
        <v>55</v>
      </c>
      <c r="BZ41" s="3">
        <v>69</v>
      </c>
      <c r="CA41" s="3">
        <v>6</v>
      </c>
      <c r="CB41" s="3">
        <f t="shared" si="109"/>
        <v>0.5</v>
      </c>
      <c r="CC41" s="3">
        <v>20</v>
      </c>
      <c r="CD41" s="3">
        <f t="shared" si="91"/>
        <v>0.5</v>
      </c>
      <c r="CE41" s="3"/>
      <c r="CF41" s="3">
        <v>1942</v>
      </c>
      <c r="CG41" s="3">
        <v>967</v>
      </c>
      <c r="CH41" s="3">
        <f t="shared" si="47"/>
        <v>12.5</v>
      </c>
      <c r="CI41" s="3"/>
      <c r="CJ41" s="3"/>
      <c r="CK41" s="3">
        <v>8.0000000000000002E-3</v>
      </c>
      <c r="CL41" s="3"/>
      <c r="CM41" s="3"/>
      <c r="CN41" s="3"/>
      <c r="CO41" s="3"/>
      <c r="CP41" s="3">
        <v>1500</v>
      </c>
      <c r="CQ41" s="3">
        <v>286.36</v>
      </c>
      <c r="CR41" s="3">
        <v>68.180000000000007</v>
      </c>
      <c r="CS41" s="3"/>
      <c r="CT41" s="3">
        <v>17568.18</v>
      </c>
      <c r="CU41" s="3"/>
      <c r="CV41" s="3">
        <v>1250</v>
      </c>
      <c r="CW41" s="3">
        <v>386.36</v>
      </c>
      <c r="CX41" s="3">
        <v>38409.089999999997</v>
      </c>
      <c r="CY41" s="3">
        <v>772.73</v>
      </c>
      <c r="CZ41" s="3">
        <v>68.180000000000007</v>
      </c>
      <c r="DA41" s="3"/>
    </row>
    <row r="42" spans="1:105" ht="12.5" x14ac:dyDescent="0.25">
      <c r="A42" s="3" t="s">
        <v>128</v>
      </c>
      <c r="B42" s="3" t="s">
        <v>129</v>
      </c>
      <c r="C42" s="4" t="s">
        <v>321</v>
      </c>
      <c r="D42" s="4" t="s">
        <v>325</v>
      </c>
      <c r="E42" s="4" t="s">
        <v>314</v>
      </c>
      <c r="F42" s="3" t="s">
        <v>107</v>
      </c>
      <c r="G42" s="3" t="s">
        <v>108</v>
      </c>
      <c r="H42" s="3" t="s">
        <v>131</v>
      </c>
      <c r="I42" s="3" t="s">
        <v>132</v>
      </c>
      <c r="J42" s="3" t="s">
        <v>326</v>
      </c>
      <c r="K42" s="3" t="s">
        <v>327</v>
      </c>
      <c r="L42" s="3">
        <v>-20.7422</v>
      </c>
      <c r="M42" s="3">
        <v>-65.241200000000006</v>
      </c>
      <c r="N42" s="3">
        <v>0.47299999999999998</v>
      </c>
      <c r="O42" s="3">
        <v>4</v>
      </c>
      <c r="P42" s="3">
        <v>818</v>
      </c>
      <c r="Q42" s="3"/>
      <c r="R42" s="3">
        <v>8.4239999999999995</v>
      </c>
      <c r="S42" s="3">
        <v>-95.3</v>
      </c>
      <c r="T42" s="3">
        <v>1222</v>
      </c>
      <c r="U42" s="3">
        <v>0.6</v>
      </c>
      <c r="V42" s="3">
        <v>18.399999999999999</v>
      </c>
      <c r="W42" s="3">
        <v>7.2</v>
      </c>
      <c r="X42" s="3">
        <v>104.1</v>
      </c>
      <c r="Y42" s="3">
        <v>104</v>
      </c>
      <c r="Z42" s="3">
        <v>1112</v>
      </c>
      <c r="AA42" s="3">
        <v>1040</v>
      </c>
      <c r="AB42" s="3">
        <v>73</v>
      </c>
      <c r="AC42" s="3"/>
      <c r="AD42" s="3">
        <v>441.2</v>
      </c>
      <c r="AE42" s="3">
        <v>5</v>
      </c>
      <c r="AF42" s="3">
        <v>130</v>
      </c>
      <c r="AG42" s="3">
        <v>42.9</v>
      </c>
      <c r="AH42" s="3">
        <v>442.5</v>
      </c>
      <c r="AI42" s="3">
        <v>41.68</v>
      </c>
      <c r="AJ42" s="3">
        <v>81.88</v>
      </c>
      <c r="AK42" s="3">
        <v>86</v>
      </c>
      <c r="AL42" s="3">
        <v>8</v>
      </c>
      <c r="AM42" s="3">
        <v>52.9</v>
      </c>
      <c r="AN42" s="3">
        <v>85.96</v>
      </c>
      <c r="AO42" s="3">
        <v>94.7</v>
      </c>
      <c r="AP42" s="3">
        <v>8.6</v>
      </c>
      <c r="AQ42" s="3"/>
      <c r="AR42" s="3"/>
      <c r="AS42" s="3"/>
      <c r="AT42" s="3"/>
      <c r="AU42" s="3"/>
      <c r="AV42" s="3"/>
      <c r="AW42" s="3">
        <f t="shared" si="112"/>
        <v>2.5</v>
      </c>
      <c r="AX42" s="3">
        <v>3</v>
      </c>
      <c r="AY42" s="3"/>
      <c r="AZ42" s="3"/>
      <c r="BA42" s="3"/>
      <c r="BB42" s="3"/>
      <c r="BC42" s="3"/>
      <c r="BD42" s="3"/>
      <c r="BE42" s="3">
        <f t="shared" si="26"/>
        <v>0.1</v>
      </c>
      <c r="BF42" s="3">
        <f t="shared" si="89"/>
        <v>1.5</v>
      </c>
      <c r="BG42" s="3">
        <f t="shared" si="96"/>
        <v>0.05</v>
      </c>
      <c r="BH42" s="3">
        <f t="shared" si="110"/>
        <v>0.5</v>
      </c>
      <c r="BI42" s="3">
        <v>5</v>
      </c>
      <c r="BJ42" s="3">
        <v>44</v>
      </c>
      <c r="BK42" s="3">
        <v>3</v>
      </c>
      <c r="BL42" s="3">
        <f t="shared" si="113"/>
        <v>1</v>
      </c>
      <c r="BM42" s="3">
        <v>3</v>
      </c>
      <c r="BN42" s="3">
        <v>6</v>
      </c>
      <c r="BO42" s="3">
        <f t="shared" si="108"/>
        <v>0.05</v>
      </c>
      <c r="BP42" s="3">
        <v>2</v>
      </c>
      <c r="BQ42" s="3">
        <f t="shared" si="4"/>
        <v>0.05</v>
      </c>
      <c r="BR42" s="3"/>
      <c r="BS42" s="3">
        <v>163</v>
      </c>
      <c r="BT42" s="3">
        <v>100</v>
      </c>
      <c r="BU42" s="3">
        <f t="shared" si="77"/>
        <v>1</v>
      </c>
      <c r="BV42" s="3">
        <v>23</v>
      </c>
      <c r="BW42" s="3">
        <v>215</v>
      </c>
      <c r="BX42" s="3">
        <v>9</v>
      </c>
      <c r="BY42" s="3">
        <v>10</v>
      </c>
      <c r="BZ42" s="3">
        <v>99</v>
      </c>
      <c r="CA42" s="3">
        <v>13</v>
      </c>
      <c r="CB42" s="3">
        <f t="shared" si="109"/>
        <v>0.5</v>
      </c>
      <c r="CC42" s="3">
        <v>8</v>
      </c>
      <c r="CD42" s="3">
        <f t="shared" si="91"/>
        <v>0.5</v>
      </c>
      <c r="CE42" s="3"/>
      <c r="CF42" s="3">
        <v>4369</v>
      </c>
      <c r="CG42" s="3">
        <v>525</v>
      </c>
      <c r="CH42" s="3">
        <f t="shared" si="47"/>
        <v>12.5</v>
      </c>
      <c r="CI42" s="3"/>
      <c r="CJ42" s="3"/>
      <c r="CK42" s="3">
        <f t="shared" ref="CK42:CK44" si="114">0.5*0.001</f>
        <v>5.0000000000000001E-4</v>
      </c>
      <c r="CL42" s="3"/>
      <c r="CM42" s="3"/>
      <c r="CN42" s="3"/>
      <c r="CO42" s="3"/>
      <c r="CP42" s="3">
        <v>1315.07</v>
      </c>
      <c r="CQ42" s="3">
        <v>0</v>
      </c>
      <c r="CR42" s="3">
        <v>95.89</v>
      </c>
      <c r="CS42" s="3"/>
      <c r="CT42" s="3">
        <v>5821.92</v>
      </c>
      <c r="CU42" s="3"/>
      <c r="CV42" s="3">
        <v>136.99</v>
      </c>
      <c r="CW42" s="3">
        <v>246.58</v>
      </c>
      <c r="CX42" s="3">
        <v>57616.44</v>
      </c>
      <c r="CY42" s="3">
        <v>2342.4699999999998</v>
      </c>
      <c r="CZ42" s="3">
        <v>82.19</v>
      </c>
      <c r="DA42" s="3"/>
    </row>
    <row r="43" spans="1:105" ht="12.5" x14ac:dyDescent="0.25">
      <c r="A43" s="3" t="s">
        <v>135</v>
      </c>
      <c r="B43" s="3" t="s">
        <v>136</v>
      </c>
      <c r="C43" s="4" t="s">
        <v>328</v>
      </c>
      <c r="D43" s="4" t="s">
        <v>329</v>
      </c>
      <c r="E43" s="4" t="s">
        <v>330</v>
      </c>
      <c r="F43" s="3" t="s">
        <v>107</v>
      </c>
      <c r="G43" s="3" t="s">
        <v>108</v>
      </c>
      <c r="H43" s="3" t="s">
        <v>139</v>
      </c>
      <c r="J43" s="3" t="s">
        <v>331</v>
      </c>
      <c r="K43" s="3" t="s">
        <v>332</v>
      </c>
      <c r="L43" s="3">
        <v>-19.1328</v>
      </c>
      <c r="M43" s="3">
        <v>-65.572199999999995</v>
      </c>
      <c r="N43" s="3">
        <v>1</v>
      </c>
      <c r="O43" s="3">
        <v>0</v>
      </c>
      <c r="P43" s="3">
        <v>1409</v>
      </c>
      <c r="Q43" s="3">
        <v>146.9</v>
      </c>
      <c r="R43" s="3">
        <v>8.56</v>
      </c>
      <c r="S43" s="3">
        <v>-96.2</v>
      </c>
      <c r="T43" s="3">
        <v>709</v>
      </c>
      <c r="U43" s="3">
        <v>0.3</v>
      </c>
      <c r="V43" s="3">
        <v>22.3</v>
      </c>
      <c r="W43" s="3">
        <v>6.18</v>
      </c>
      <c r="X43" s="3">
        <v>100.1</v>
      </c>
      <c r="Y43" s="3"/>
      <c r="Z43" s="3">
        <v>2266</v>
      </c>
      <c r="AA43" s="3">
        <v>538</v>
      </c>
      <c r="AB43" s="3">
        <v>1729</v>
      </c>
      <c r="AC43" s="3"/>
      <c r="AD43" s="3">
        <v>346</v>
      </c>
      <c r="AE43" s="3"/>
      <c r="AF43" s="3">
        <v>190</v>
      </c>
      <c r="AG43" s="3">
        <v>4.5</v>
      </c>
      <c r="AH43" s="3">
        <v>179.2</v>
      </c>
      <c r="AI43" s="3">
        <v>56.11</v>
      </c>
      <c r="AJ43" s="3">
        <v>50</v>
      </c>
      <c r="AK43" s="3">
        <v>17.600000000000001</v>
      </c>
      <c r="AL43" s="3">
        <v>7.4</v>
      </c>
      <c r="AM43" s="3">
        <v>56.11</v>
      </c>
      <c r="AN43" s="3">
        <v>51.53</v>
      </c>
      <c r="AO43" s="3">
        <v>17.7</v>
      </c>
      <c r="AP43" s="3">
        <v>8.8000000000000007</v>
      </c>
      <c r="AQ43" s="3"/>
      <c r="AR43" s="3"/>
      <c r="AS43" s="3"/>
      <c r="AT43" s="3"/>
      <c r="AU43" s="3"/>
      <c r="AV43" s="3"/>
      <c r="AW43" s="3">
        <f t="shared" si="112"/>
        <v>2.5</v>
      </c>
      <c r="AX43" s="3">
        <f>0.5*2</f>
        <v>1</v>
      </c>
      <c r="AY43" s="3"/>
      <c r="AZ43" s="3"/>
      <c r="BA43" s="3"/>
      <c r="BB43" s="3"/>
      <c r="BC43" s="3"/>
      <c r="BD43" s="3"/>
      <c r="BE43" s="3">
        <f t="shared" si="26"/>
        <v>0.1</v>
      </c>
      <c r="BF43" s="3">
        <f t="shared" si="89"/>
        <v>1.5</v>
      </c>
      <c r="BG43" s="3">
        <f t="shared" si="96"/>
        <v>0.05</v>
      </c>
      <c r="BH43" s="3">
        <f t="shared" si="110"/>
        <v>0.5</v>
      </c>
      <c r="BI43" s="3">
        <v>5</v>
      </c>
      <c r="BJ43" s="3">
        <v>9</v>
      </c>
      <c r="BK43" s="3">
        <v>2</v>
      </c>
      <c r="BL43" s="3">
        <f t="shared" si="113"/>
        <v>1</v>
      </c>
      <c r="BM43" s="3">
        <v>2</v>
      </c>
      <c r="BN43" s="3">
        <v>0.3</v>
      </c>
      <c r="BO43" s="3">
        <f t="shared" si="108"/>
        <v>0.05</v>
      </c>
      <c r="BP43" s="3">
        <v>2</v>
      </c>
      <c r="BQ43" s="3">
        <f t="shared" si="4"/>
        <v>0.05</v>
      </c>
      <c r="BR43" s="3"/>
      <c r="BS43" s="3">
        <v>144</v>
      </c>
      <c r="BT43" s="3">
        <v>12</v>
      </c>
      <c r="BU43" s="3">
        <f t="shared" si="77"/>
        <v>1</v>
      </c>
      <c r="BV43" s="3">
        <v>61</v>
      </c>
      <c r="BW43" s="3">
        <v>1195</v>
      </c>
      <c r="BX43" s="3">
        <v>46</v>
      </c>
      <c r="BY43" s="3">
        <v>43</v>
      </c>
      <c r="BZ43" s="3">
        <v>137</v>
      </c>
      <c r="CA43" s="3">
        <v>18</v>
      </c>
      <c r="CB43" s="3">
        <f t="shared" si="109"/>
        <v>0.5</v>
      </c>
      <c r="CC43" s="3">
        <v>36</v>
      </c>
      <c r="CD43" s="3">
        <f t="shared" si="91"/>
        <v>0.5</v>
      </c>
      <c r="CE43" s="3"/>
      <c r="CF43" s="3">
        <v>56480</v>
      </c>
      <c r="CG43" s="3">
        <v>84</v>
      </c>
      <c r="CH43" s="3">
        <f t="shared" si="47"/>
        <v>12.5</v>
      </c>
      <c r="CI43" s="3"/>
      <c r="CJ43" s="3"/>
      <c r="CK43" s="3">
        <f t="shared" si="114"/>
        <v>5.0000000000000001E-4</v>
      </c>
      <c r="CL43" s="3"/>
      <c r="CM43" s="3"/>
      <c r="CN43" s="3"/>
      <c r="CO43" s="3"/>
      <c r="CP43" s="3">
        <v>78.08</v>
      </c>
      <c r="CQ43" s="3">
        <v>16.54</v>
      </c>
      <c r="CR43" s="3">
        <v>10.24</v>
      </c>
      <c r="CS43" s="3"/>
      <c r="CT43" s="3">
        <v>41.64</v>
      </c>
      <c r="CU43" s="3"/>
      <c r="CV43" s="3">
        <v>24.87</v>
      </c>
      <c r="CW43" s="3">
        <v>32.39</v>
      </c>
      <c r="CX43" s="3">
        <v>32583</v>
      </c>
      <c r="CY43" s="3">
        <v>685.95</v>
      </c>
      <c r="CZ43" s="3">
        <v>25.45</v>
      </c>
      <c r="DA43" s="3"/>
    </row>
    <row r="44" spans="1:105" ht="12.5" x14ac:dyDescent="0.25">
      <c r="A44" s="3" t="s">
        <v>142</v>
      </c>
      <c r="B44" s="3" t="s">
        <v>143</v>
      </c>
      <c r="C44" s="4" t="s">
        <v>328</v>
      </c>
      <c r="D44" s="4" t="s">
        <v>333</v>
      </c>
      <c r="E44" s="4" t="s">
        <v>330</v>
      </c>
      <c r="F44" s="3" t="s">
        <v>107</v>
      </c>
      <c r="G44" s="3" t="s">
        <v>108</v>
      </c>
      <c r="H44" s="3" t="s">
        <v>109</v>
      </c>
      <c r="J44" s="3" t="s">
        <v>334</v>
      </c>
      <c r="K44" s="3" t="s">
        <v>335</v>
      </c>
      <c r="L44" s="3">
        <v>-19.132100000000001</v>
      </c>
      <c r="M44" s="3">
        <v>-65.571600000000004</v>
      </c>
      <c r="N44" s="3">
        <v>1.306</v>
      </c>
      <c r="O44" s="3">
        <v>11</v>
      </c>
      <c r="P44" s="3">
        <v>790</v>
      </c>
      <c r="Q44" s="3">
        <v>142.5</v>
      </c>
      <c r="R44" s="3">
        <v>8.1370000000000005</v>
      </c>
      <c r="S44" s="3">
        <v>-70.599999999999994</v>
      </c>
      <c r="T44" s="3">
        <v>1266</v>
      </c>
      <c r="U44" s="3">
        <v>0.6</v>
      </c>
      <c r="V44" s="3">
        <v>16.600000000000001</v>
      </c>
      <c r="W44" s="3">
        <v>6.65</v>
      </c>
      <c r="X44" s="3">
        <v>95.8</v>
      </c>
      <c r="Y44" s="3"/>
      <c r="Z44" s="3">
        <v>9767</v>
      </c>
      <c r="AA44" s="3">
        <v>844</v>
      </c>
      <c r="AB44" s="3">
        <v>8923</v>
      </c>
      <c r="AC44" s="3"/>
      <c r="AD44" s="3">
        <v>333.1</v>
      </c>
      <c r="AE44" s="3"/>
      <c r="AF44" s="3">
        <v>160</v>
      </c>
      <c r="AG44" s="3">
        <v>184</v>
      </c>
      <c r="AH44" s="3">
        <v>174.8</v>
      </c>
      <c r="AI44" s="3">
        <v>96.19</v>
      </c>
      <c r="AJ44" s="3">
        <v>22.56</v>
      </c>
      <c r="AK44" s="3">
        <v>117.9</v>
      </c>
      <c r="AL44" s="3">
        <v>11.1</v>
      </c>
      <c r="AM44" s="3">
        <v>97.79</v>
      </c>
      <c r="AN44" s="3">
        <v>23.39</v>
      </c>
      <c r="AO44" s="3">
        <v>123.6</v>
      </c>
      <c r="AP44" s="3">
        <v>12.7</v>
      </c>
      <c r="AQ44" s="3"/>
      <c r="AR44" s="3"/>
      <c r="AS44" s="3"/>
      <c r="AT44" s="3"/>
      <c r="AU44" s="3"/>
      <c r="AV44" s="3"/>
      <c r="AW44" s="3">
        <v>10</v>
      </c>
      <c r="AX44" s="3">
        <v>42</v>
      </c>
      <c r="AY44" s="3"/>
      <c r="AZ44" s="3"/>
      <c r="BA44" s="3"/>
      <c r="BB44" s="3"/>
      <c r="BC44" s="3"/>
      <c r="BD44" s="3"/>
      <c r="BE44" s="3">
        <f t="shared" si="26"/>
        <v>0.1</v>
      </c>
      <c r="BF44" s="3">
        <v>59</v>
      </c>
      <c r="BG44" s="3">
        <v>0.2</v>
      </c>
      <c r="BH44" s="3">
        <v>12</v>
      </c>
      <c r="BI44" s="3">
        <v>4</v>
      </c>
      <c r="BJ44" s="3">
        <v>357</v>
      </c>
      <c r="BK44" s="3">
        <v>3</v>
      </c>
      <c r="BL44" s="3">
        <v>2</v>
      </c>
      <c r="BM44" s="3">
        <v>66</v>
      </c>
      <c r="BN44" s="3">
        <v>15</v>
      </c>
      <c r="BO44" s="3">
        <f t="shared" si="108"/>
        <v>0.05</v>
      </c>
      <c r="BP44" s="3">
        <v>2</v>
      </c>
      <c r="BQ44" s="3">
        <f t="shared" si="4"/>
        <v>0.05</v>
      </c>
      <c r="BR44" s="3"/>
      <c r="BS44" s="3">
        <v>197</v>
      </c>
      <c r="BT44" s="3">
        <v>77</v>
      </c>
      <c r="BU44" s="3">
        <f t="shared" si="77"/>
        <v>1</v>
      </c>
      <c r="BV44" s="3">
        <v>251</v>
      </c>
      <c r="BW44" s="3">
        <v>5222</v>
      </c>
      <c r="BX44" s="3">
        <v>192</v>
      </c>
      <c r="BY44" s="3">
        <v>1088</v>
      </c>
      <c r="BZ44" s="3">
        <v>13193</v>
      </c>
      <c r="CA44" s="3">
        <v>1988</v>
      </c>
      <c r="CB44" s="3">
        <v>118</v>
      </c>
      <c r="CC44" s="3">
        <v>1900</v>
      </c>
      <c r="CD44" s="3">
        <v>84</v>
      </c>
      <c r="CE44" s="3"/>
      <c r="CF44" s="3">
        <v>262542</v>
      </c>
      <c r="CG44" s="3">
        <v>700</v>
      </c>
      <c r="CH44" s="3">
        <f t="shared" si="47"/>
        <v>12.5</v>
      </c>
      <c r="CI44" s="3"/>
      <c r="CJ44" s="3"/>
      <c r="CK44" s="3">
        <f t="shared" si="114"/>
        <v>5.0000000000000001E-4</v>
      </c>
      <c r="CL44" s="3"/>
      <c r="CM44" s="3"/>
      <c r="CN44" s="3">
        <v>1.32</v>
      </c>
      <c r="CO44" s="3"/>
      <c r="CP44" s="3">
        <v>1471.14</v>
      </c>
      <c r="CQ44" s="3">
        <v>211.69</v>
      </c>
      <c r="CR44" s="3">
        <v>221.11</v>
      </c>
      <c r="CS44" s="3">
        <v>6.61</v>
      </c>
      <c r="CT44" s="3">
        <v>69.819999999999993</v>
      </c>
      <c r="CU44" s="3">
        <v>13.22</v>
      </c>
      <c r="CV44" s="3">
        <v>121.71</v>
      </c>
      <c r="CW44" s="3">
        <v>27.68</v>
      </c>
      <c r="CX44" s="3">
        <v>29400.99</v>
      </c>
      <c r="CY44" s="3">
        <v>545.22</v>
      </c>
      <c r="CZ44" s="3">
        <v>21.18</v>
      </c>
      <c r="DA44" s="3">
        <v>9.41</v>
      </c>
    </row>
    <row r="45" spans="1:105" ht="12.5" x14ac:dyDescent="0.25">
      <c r="A45" s="3" t="s">
        <v>146</v>
      </c>
      <c r="B45" s="3" t="s">
        <v>147</v>
      </c>
      <c r="C45" s="4" t="s">
        <v>336</v>
      </c>
      <c r="D45" s="4" t="s">
        <v>318</v>
      </c>
      <c r="E45" s="4" t="s">
        <v>330</v>
      </c>
      <c r="F45" s="3" t="s">
        <v>107</v>
      </c>
      <c r="G45" s="3" t="s">
        <v>108</v>
      </c>
      <c r="H45" s="3" t="s">
        <v>146</v>
      </c>
      <c r="I45" s="3" t="s">
        <v>150</v>
      </c>
      <c r="J45" s="3" t="s">
        <v>337</v>
      </c>
      <c r="K45" s="3" t="s">
        <v>338</v>
      </c>
      <c r="L45" s="3">
        <v>-19.472200000000001</v>
      </c>
      <c r="M45" s="3">
        <v>-65.794399999999996</v>
      </c>
      <c r="N45" s="3"/>
      <c r="O45" s="3"/>
      <c r="P45" s="3">
        <v>801</v>
      </c>
      <c r="Q45" s="3">
        <v>71.3</v>
      </c>
      <c r="R45" s="3">
        <v>6.875</v>
      </c>
      <c r="S45" s="3">
        <v>-1.6</v>
      </c>
      <c r="T45" s="3">
        <v>1249</v>
      </c>
      <c r="U45" s="3">
        <v>0.6</v>
      </c>
      <c r="V45" s="3">
        <v>15.9</v>
      </c>
      <c r="W45" s="3">
        <v>3.36</v>
      </c>
      <c r="X45" s="3">
        <v>51.3</v>
      </c>
      <c r="Y45" s="3">
        <f>1.5*1100</f>
        <v>1650</v>
      </c>
      <c r="Z45" s="3">
        <v>10750</v>
      </c>
      <c r="AA45" s="3">
        <v>725</v>
      </c>
      <c r="AB45" s="3">
        <v>10410</v>
      </c>
      <c r="AC45" s="3"/>
      <c r="AD45" s="3">
        <v>538</v>
      </c>
      <c r="AE45" s="3">
        <v>12.7</v>
      </c>
      <c r="AF45" s="3">
        <v>64.8</v>
      </c>
      <c r="AG45" s="3">
        <v>66.900000000000006</v>
      </c>
      <c r="AH45" s="3">
        <v>524</v>
      </c>
      <c r="AI45" s="3">
        <v>171</v>
      </c>
      <c r="AJ45" s="3">
        <v>13.1</v>
      </c>
      <c r="AK45" s="3">
        <v>26.5</v>
      </c>
      <c r="AL45" s="3">
        <v>59.9</v>
      </c>
      <c r="AM45" s="3">
        <v>912</v>
      </c>
      <c r="AN45" s="3">
        <v>270</v>
      </c>
      <c r="AO45" s="3">
        <v>286</v>
      </c>
      <c r="AP45" s="3">
        <v>172</v>
      </c>
      <c r="AQ45" s="3"/>
      <c r="AR45" s="3"/>
      <c r="AS45" s="3"/>
      <c r="AT45" s="3"/>
      <c r="AU45" s="3"/>
      <c r="AV45" s="3"/>
      <c r="AW45" s="3">
        <v>41.1</v>
      </c>
      <c r="AX45" s="3">
        <v>1438</v>
      </c>
      <c r="AY45" s="3"/>
      <c r="AZ45" s="3"/>
      <c r="BA45" s="3"/>
      <c r="BB45" s="3"/>
      <c r="BC45" s="3"/>
      <c r="BD45" s="3"/>
      <c r="BE45" s="3">
        <f t="shared" si="26"/>
        <v>0.1</v>
      </c>
      <c r="BF45" s="3">
        <v>46</v>
      </c>
      <c r="BG45" s="3">
        <v>0.1</v>
      </c>
      <c r="BH45" s="3">
        <v>18</v>
      </c>
      <c r="BI45" s="3">
        <v>2</v>
      </c>
      <c r="BJ45" s="3">
        <v>2734</v>
      </c>
      <c r="BK45" s="3">
        <v>20</v>
      </c>
      <c r="BL45" s="3">
        <v>3</v>
      </c>
      <c r="BM45" s="3">
        <v>4962</v>
      </c>
      <c r="BN45" s="3">
        <v>34</v>
      </c>
      <c r="BO45" s="3">
        <v>5</v>
      </c>
      <c r="BP45" s="3">
        <v>2</v>
      </c>
      <c r="BQ45" s="3">
        <f t="shared" si="4"/>
        <v>0.05</v>
      </c>
      <c r="BR45" s="3"/>
      <c r="BS45" s="3">
        <v>2911</v>
      </c>
      <c r="BT45" s="3">
        <v>29</v>
      </c>
      <c r="BU45" s="3">
        <f t="shared" si="77"/>
        <v>1</v>
      </c>
      <c r="BV45" s="3">
        <v>379</v>
      </c>
      <c r="BW45" s="3">
        <v>8842</v>
      </c>
      <c r="BX45" s="3">
        <v>367</v>
      </c>
      <c r="BY45" s="3">
        <v>2841</v>
      </c>
      <c r="BZ45" s="3">
        <v>44561</v>
      </c>
      <c r="CA45" s="3">
        <v>2805</v>
      </c>
      <c r="CB45" s="3">
        <v>330</v>
      </c>
      <c r="CC45" s="3">
        <v>2868</v>
      </c>
      <c r="CD45" s="3">
        <v>83</v>
      </c>
      <c r="CE45" s="3"/>
      <c r="CF45" s="3">
        <v>406334</v>
      </c>
      <c r="CG45" s="3">
        <v>499</v>
      </c>
      <c r="CH45" s="3">
        <f t="shared" si="47"/>
        <v>12.5</v>
      </c>
      <c r="CI45" s="3">
        <f t="shared" ref="CI45:CI46" si="115">0.5*0.02</f>
        <v>0.01</v>
      </c>
      <c r="CJ45" s="3"/>
      <c r="CK45" s="3">
        <f t="shared" ref="CK45:CK46" si="116">0.5*1</f>
        <v>0.5</v>
      </c>
      <c r="CL45" s="3"/>
      <c r="CM45" s="3"/>
      <c r="CN45" s="3">
        <v>1.72</v>
      </c>
      <c r="CO45" s="3"/>
      <c r="CP45" s="3">
        <v>3803.94</v>
      </c>
      <c r="CQ45" s="3">
        <v>269.75</v>
      </c>
      <c r="CR45" s="3">
        <v>266.19</v>
      </c>
      <c r="CS45" s="3">
        <v>4.42</v>
      </c>
      <c r="CT45" s="3">
        <v>45.15</v>
      </c>
      <c r="CU45" s="3">
        <v>31.22</v>
      </c>
      <c r="CV45" s="3">
        <v>272.62</v>
      </c>
      <c r="CW45" s="3">
        <v>36.22</v>
      </c>
      <c r="CX45" s="3">
        <v>38753.410000000003</v>
      </c>
      <c r="CY45" s="3">
        <v>586.74</v>
      </c>
      <c r="CZ45" s="3">
        <v>33.33</v>
      </c>
      <c r="DA45" s="3">
        <v>7.97</v>
      </c>
    </row>
    <row r="46" spans="1:105" ht="12.5" x14ac:dyDescent="0.25">
      <c r="A46" s="3" t="s">
        <v>153</v>
      </c>
      <c r="B46" s="3" t="s">
        <v>154</v>
      </c>
      <c r="C46" s="4" t="s">
        <v>336</v>
      </c>
      <c r="D46" s="4" t="s">
        <v>339</v>
      </c>
      <c r="E46" s="4" t="s">
        <v>330</v>
      </c>
      <c r="F46" s="3" t="s">
        <v>107</v>
      </c>
      <c r="G46" s="3" t="s">
        <v>108</v>
      </c>
      <c r="H46" s="3" t="s">
        <v>156</v>
      </c>
      <c r="I46" s="3" t="s">
        <v>150</v>
      </c>
      <c r="J46" s="3" t="s">
        <v>340</v>
      </c>
      <c r="K46" s="3" t="s">
        <v>341</v>
      </c>
      <c r="L46" s="3">
        <v>-19.321400000000001</v>
      </c>
      <c r="M46" s="3">
        <v>-65.552599999999998</v>
      </c>
      <c r="N46" s="3">
        <v>0.47</v>
      </c>
      <c r="O46" s="3">
        <v>0</v>
      </c>
      <c r="P46" s="3">
        <v>2.93</v>
      </c>
      <c r="Q46" s="3">
        <v>134.69999999999999</v>
      </c>
      <c r="R46" s="3">
        <v>6.8209999999999997</v>
      </c>
      <c r="S46" s="3">
        <v>-1.6</v>
      </c>
      <c r="T46" s="3">
        <v>341</v>
      </c>
      <c r="U46" s="3">
        <v>0.1</v>
      </c>
      <c r="V46" s="3">
        <v>15.1</v>
      </c>
      <c r="W46" s="3">
        <v>6.48</v>
      </c>
      <c r="X46" s="3">
        <v>99.8</v>
      </c>
      <c r="Y46" s="3">
        <v>126.7</v>
      </c>
      <c r="Z46" s="3">
        <v>375</v>
      </c>
      <c r="AA46" s="3">
        <v>198</v>
      </c>
      <c r="AB46" s="3">
        <v>105</v>
      </c>
      <c r="AC46" s="3"/>
      <c r="AD46" s="3">
        <v>154</v>
      </c>
      <c r="AE46" s="3">
        <v>1.095</v>
      </c>
      <c r="AF46" s="3">
        <v>5.62</v>
      </c>
      <c r="AG46" s="3">
        <v>3.41</v>
      </c>
      <c r="AH46" s="3">
        <v>155</v>
      </c>
      <c r="AI46" s="3">
        <v>26.8</v>
      </c>
      <c r="AJ46" s="3">
        <v>20.8</v>
      </c>
      <c r="AK46" s="3">
        <v>2.83</v>
      </c>
      <c r="AL46" s="3">
        <v>1.94</v>
      </c>
      <c r="AM46" s="3">
        <v>30.2</v>
      </c>
      <c r="AN46" s="3">
        <v>21.7</v>
      </c>
      <c r="AO46" s="3">
        <v>3.35</v>
      </c>
      <c r="AP46" s="3">
        <v>5.52</v>
      </c>
      <c r="AQ46" s="3"/>
      <c r="AR46" s="3"/>
      <c r="AS46" s="3"/>
      <c r="AT46" s="3"/>
      <c r="AU46" s="3"/>
      <c r="AV46" s="3"/>
      <c r="AW46" s="3">
        <v>6.5</v>
      </c>
      <c r="AX46" s="3">
        <v>18</v>
      </c>
      <c r="AY46" s="3"/>
      <c r="AZ46" s="3"/>
      <c r="BA46" s="3"/>
      <c r="BB46" s="3"/>
      <c r="BC46" s="3"/>
      <c r="BD46" s="3"/>
      <c r="BE46" s="3">
        <f t="shared" si="26"/>
        <v>0.1</v>
      </c>
      <c r="BF46" s="3">
        <f>0.5*3</f>
        <v>1.5</v>
      </c>
      <c r="BG46" s="3">
        <f>0.5*0.1</f>
        <v>0.05</v>
      </c>
      <c r="BH46" s="3">
        <f>0.5*1</f>
        <v>0.5</v>
      </c>
      <c r="BI46" s="3">
        <v>0.9</v>
      </c>
      <c r="BJ46" s="3">
        <v>3765</v>
      </c>
      <c r="BK46" s="3">
        <v>25</v>
      </c>
      <c r="BL46" s="3">
        <v>35</v>
      </c>
      <c r="BM46" s="3">
        <v>1004</v>
      </c>
      <c r="BN46" s="3">
        <f>0.5*0.2</f>
        <v>0.1</v>
      </c>
      <c r="BO46" s="3">
        <v>5</v>
      </c>
      <c r="BP46" s="3">
        <v>2</v>
      </c>
      <c r="BQ46" s="3">
        <f t="shared" si="4"/>
        <v>0.05</v>
      </c>
      <c r="BR46" s="3"/>
      <c r="BS46" s="3">
        <v>425</v>
      </c>
      <c r="BT46" s="3">
        <v>5</v>
      </c>
      <c r="BU46" s="3">
        <f t="shared" si="77"/>
        <v>1</v>
      </c>
      <c r="BV46" s="3">
        <v>13</v>
      </c>
      <c r="BW46" s="3">
        <v>4492</v>
      </c>
      <c r="BX46" s="3">
        <v>32</v>
      </c>
      <c r="BY46" s="3">
        <v>257</v>
      </c>
      <c r="BZ46" s="3">
        <v>943</v>
      </c>
      <c r="CA46" s="3">
        <v>3</v>
      </c>
      <c r="CB46" s="3">
        <v>5</v>
      </c>
      <c r="CC46" s="3">
        <v>10</v>
      </c>
      <c r="CD46" s="3">
        <f>0.5*1</f>
        <v>0.5</v>
      </c>
      <c r="CE46" s="3"/>
      <c r="CF46" s="3">
        <v>8207</v>
      </c>
      <c r="CG46" s="3">
        <v>51</v>
      </c>
      <c r="CH46" s="3">
        <f t="shared" si="47"/>
        <v>12.5</v>
      </c>
      <c r="CI46" s="3">
        <f t="shared" si="115"/>
        <v>0.01</v>
      </c>
      <c r="CJ46" s="3"/>
      <c r="CK46" s="3">
        <f t="shared" si="116"/>
        <v>0.5</v>
      </c>
      <c r="CL46" s="3"/>
      <c r="CM46" s="3"/>
      <c r="CN46" s="3"/>
      <c r="CO46" s="3"/>
      <c r="CP46" s="3"/>
      <c r="CQ46" s="3">
        <v>76.760000000000005</v>
      </c>
      <c r="CR46" s="3">
        <v>28.57</v>
      </c>
      <c r="CS46" s="3"/>
      <c r="CT46" s="3">
        <v>438.1</v>
      </c>
      <c r="CU46" s="3">
        <v>0</v>
      </c>
      <c r="CV46" s="3">
        <v>2114.29</v>
      </c>
      <c r="CW46" s="3">
        <v>115.24</v>
      </c>
      <c r="CX46" s="3">
        <v>74114.289999999994</v>
      </c>
      <c r="CY46" s="3">
        <v>6923.81</v>
      </c>
      <c r="CZ46" s="3">
        <v>66.67</v>
      </c>
      <c r="DA46" s="3"/>
    </row>
    <row r="47" spans="1:105" ht="12.5" x14ac:dyDescent="0.25">
      <c r="C47" s="4"/>
      <c r="D47" s="4"/>
      <c r="E47" s="4"/>
    </row>
    <row r="48" spans="1:105" ht="15.75" customHeight="1" x14ac:dyDescent="0.25">
      <c r="A48" s="3" t="s">
        <v>102</v>
      </c>
      <c r="B48" s="3" t="s">
        <v>103</v>
      </c>
      <c r="C48" s="4" t="s">
        <v>342</v>
      </c>
      <c r="D48" s="4" t="s">
        <v>343</v>
      </c>
      <c r="E48" s="4" t="s">
        <v>344</v>
      </c>
      <c r="F48" s="3" t="s">
        <v>107</v>
      </c>
      <c r="G48" s="3" t="s">
        <v>108</v>
      </c>
      <c r="H48" s="3" t="s">
        <v>109</v>
      </c>
      <c r="I48" s="3" t="s">
        <v>110</v>
      </c>
      <c r="J48" s="3" t="s">
        <v>345</v>
      </c>
      <c r="K48" s="3" t="s">
        <v>346</v>
      </c>
      <c r="L48" s="3">
        <v>-21.258099999999999</v>
      </c>
      <c r="M48" s="3">
        <v>-63.511600000000001</v>
      </c>
      <c r="N48" s="3">
        <v>0.81599999999999995</v>
      </c>
      <c r="O48" s="3">
        <v>103</v>
      </c>
      <c r="P48" s="3">
        <v>1286</v>
      </c>
      <c r="Q48" s="3">
        <v>191.8</v>
      </c>
      <c r="R48" s="3">
        <v>8.2070000000000007</v>
      </c>
      <c r="S48" s="3">
        <v>-76.599999999999994</v>
      </c>
      <c r="T48" s="3">
        <v>778</v>
      </c>
      <c r="U48" s="3">
        <v>0.3</v>
      </c>
      <c r="V48" s="3">
        <v>27.6</v>
      </c>
      <c r="W48" s="3">
        <v>7.4</v>
      </c>
      <c r="X48" s="3">
        <v>97.5</v>
      </c>
      <c r="Y48" s="3">
        <f t="shared" ref="Y48:Y49" si="117">1.5*1100</f>
        <v>1650</v>
      </c>
      <c r="Z48" s="3">
        <v>5177</v>
      </c>
      <c r="AA48" s="3">
        <v>508</v>
      </c>
      <c r="AB48" s="3">
        <v>4669</v>
      </c>
      <c r="AC48" s="3"/>
      <c r="AD48" s="3">
        <v>162.4</v>
      </c>
      <c r="AE48" s="3">
        <f>0.5*5</f>
        <v>2.5</v>
      </c>
      <c r="AF48" s="3">
        <v>95</v>
      </c>
      <c r="AG48" s="3">
        <v>110.7</v>
      </c>
      <c r="AH48" s="3">
        <v>168.4</v>
      </c>
      <c r="AI48" s="3">
        <v>30.34</v>
      </c>
      <c r="AJ48" s="3">
        <v>21.04</v>
      </c>
      <c r="AK48" s="3">
        <v>89.7</v>
      </c>
      <c r="AL48" s="3">
        <v>9.6</v>
      </c>
      <c r="AM48" s="3">
        <v>30.64</v>
      </c>
      <c r="AN48" s="3">
        <v>21.17</v>
      </c>
      <c r="AO48" s="3">
        <v>90.3</v>
      </c>
      <c r="AP48" s="3">
        <v>10.1</v>
      </c>
      <c r="AQ48" s="3"/>
      <c r="AR48" s="3"/>
      <c r="AS48" s="3"/>
      <c r="AT48" s="3"/>
      <c r="AU48" s="3"/>
      <c r="AV48" s="3"/>
      <c r="AW48" s="3">
        <v>16</v>
      </c>
      <c r="AX48" s="3">
        <v>20</v>
      </c>
      <c r="AY48" s="3"/>
      <c r="AZ48" s="3"/>
      <c r="BA48" s="3"/>
      <c r="BB48" s="3"/>
      <c r="BC48" s="3"/>
      <c r="BD48" s="3"/>
      <c r="BE48" s="3">
        <f t="shared" ref="BE48:BE62" si="118">0.5*0.2</f>
        <v>0.1</v>
      </c>
      <c r="BF48" s="3">
        <v>3</v>
      </c>
      <c r="BG48" s="3">
        <f t="shared" ref="BG48:BG71" si="119">0.5*0.2</f>
        <v>0.1</v>
      </c>
      <c r="BH48" s="3">
        <v>4</v>
      </c>
      <c r="BI48" s="3">
        <f t="shared" ref="BI48:BI53" si="120">0.5*0.2</f>
        <v>0.1</v>
      </c>
      <c r="BJ48" s="3">
        <v>8</v>
      </c>
      <c r="BK48" s="3">
        <v>3</v>
      </c>
      <c r="BL48" s="3">
        <f t="shared" ref="BL48:BN50" si="121">0.5*2</f>
        <v>1</v>
      </c>
      <c r="BM48" s="3">
        <f t="shared" si="121"/>
        <v>1</v>
      </c>
      <c r="BN48" s="3">
        <f t="shared" si="121"/>
        <v>1</v>
      </c>
      <c r="BO48" s="3">
        <f t="shared" ref="BO48:BQ52" si="122">0.5*0.2</f>
        <v>0.1</v>
      </c>
      <c r="BP48" s="3">
        <f t="shared" si="122"/>
        <v>0.1</v>
      </c>
      <c r="BQ48" s="3">
        <f t="shared" si="122"/>
        <v>0.1</v>
      </c>
      <c r="BR48" s="3">
        <f t="shared" ref="BR48:BR94" si="123">0.5*0.04</f>
        <v>0.02</v>
      </c>
      <c r="BS48" s="3">
        <v>143</v>
      </c>
      <c r="BT48" s="3">
        <v>368</v>
      </c>
      <c r="BU48" s="3">
        <f t="shared" ref="BU48:BV59" si="124">0.5*2</f>
        <v>1</v>
      </c>
      <c r="BV48" s="3">
        <v>262</v>
      </c>
      <c r="BW48" s="3">
        <v>3381</v>
      </c>
      <c r="BX48" s="3">
        <v>169</v>
      </c>
      <c r="BY48" s="3">
        <v>143</v>
      </c>
      <c r="BZ48" s="3">
        <v>499</v>
      </c>
      <c r="CA48" s="3">
        <v>74</v>
      </c>
      <c r="CB48" s="3">
        <f t="shared" ref="CB48:CB49" si="125">0.5*2</f>
        <v>1</v>
      </c>
      <c r="CC48" s="3">
        <v>176</v>
      </c>
      <c r="CD48" s="3">
        <f t="shared" ref="CD48:CD49" si="126">0.5*2</f>
        <v>1</v>
      </c>
      <c r="CE48" s="3">
        <v>0.34</v>
      </c>
      <c r="CF48" s="3">
        <v>221871</v>
      </c>
      <c r="CG48" s="3">
        <v>678</v>
      </c>
      <c r="CH48" s="3">
        <f t="shared" ref="CH48:CH54" si="127">0.5*20</f>
        <v>10</v>
      </c>
      <c r="CI48" s="3"/>
      <c r="CJ48" s="3">
        <f>0.5*0.001</f>
        <v>5.0000000000000001E-4</v>
      </c>
      <c r="CK48" s="3"/>
      <c r="CL48" s="3"/>
      <c r="CM48" s="3">
        <v>0.86</v>
      </c>
      <c r="CN48" s="3"/>
      <c r="CO48" s="3">
        <v>106.88</v>
      </c>
      <c r="CP48" s="3">
        <v>35.64</v>
      </c>
      <c r="CQ48" s="3">
        <v>15.85</v>
      </c>
      <c r="CR48" s="3">
        <v>0.64</v>
      </c>
      <c r="CS48" s="3">
        <v>66.400000000000006</v>
      </c>
      <c r="CT48" s="3"/>
      <c r="CU48" s="3">
        <v>30.63</v>
      </c>
      <c r="CV48" s="3">
        <v>56.11</v>
      </c>
      <c r="CW48" s="3">
        <v>47489.4</v>
      </c>
      <c r="CX48" s="3">
        <v>722.42</v>
      </c>
      <c r="CY48" s="3">
        <v>7.0000000000000007E-2</v>
      </c>
      <c r="CZ48" s="3">
        <v>35.549999999999997</v>
      </c>
      <c r="DA48" s="3"/>
    </row>
    <row r="49" spans="1:105" ht="15.75" customHeight="1" x14ac:dyDescent="0.25">
      <c r="A49" s="3" t="s">
        <v>113</v>
      </c>
      <c r="B49" s="3" t="s">
        <v>114</v>
      </c>
      <c r="C49" s="4" t="s">
        <v>347</v>
      </c>
      <c r="D49" s="4" t="s">
        <v>348</v>
      </c>
      <c r="E49" s="4" t="s">
        <v>344</v>
      </c>
      <c r="F49" s="3" t="s">
        <v>107</v>
      </c>
      <c r="G49" s="3" t="s">
        <v>108</v>
      </c>
      <c r="H49" s="3" t="s">
        <v>109</v>
      </c>
      <c r="I49" s="3" t="s">
        <v>117</v>
      </c>
      <c r="J49" s="3" t="s">
        <v>315</v>
      </c>
      <c r="K49" s="3" t="s">
        <v>349</v>
      </c>
      <c r="L49" s="3">
        <v>-22.3781</v>
      </c>
      <c r="M49" s="3">
        <v>-62.518599999999999</v>
      </c>
      <c r="N49" s="3"/>
      <c r="O49" s="3"/>
      <c r="P49" s="3">
        <v>1391</v>
      </c>
      <c r="Q49" s="3">
        <v>166.6</v>
      </c>
      <c r="R49" s="3">
        <v>7.9560000000000004</v>
      </c>
      <c r="S49" s="3">
        <v>-62.2</v>
      </c>
      <c r="T49" s="3">
        <v>718</v>
      </c>
      <c r="U49" s="3">
        <v>0.3</v>
      </c>
      <c r="V49" s="3">
        <v>27.4</v>
      </c>
      <c r="W49" s="3">
        <v>6.45</v>
      </c>
      <c r="X49" s="3">
        <v>85.1</v>
      </c>
      <c r="Y49" s="3">
        <f t="shared" si="117"/>
        <v>1650</v>
      </c>
      <c r="Z49" s="3">
        <v>6506</v>
      </c>
      <c r="AA49" s="3">
        <v>554</v>
      </c>
      <c r="AB49" s="3">
        <v>5940</v>
      </c>
      <c r="AC49" s="3">
        <v>21</v>
      </c>
      <c r="AD49" s="3">
        <v>211</v>
      </c>
      <c r="AE49" s="3"/>
      <c r="AF49" s="3">
        <v>127</v>
      </c>
      <c r="AG49" s="3">
        <v>60</v>
      </c>
      <c r="AH49" s="3">
        <v>128</v>
      </c>
      <c r="AI49" s="3">
        <v>61</v>
      </c>
      <c r="AJ49" s="3">
        <v>14.1</v>
      </c>
      <c r="AK49" s="3">
        <v>53</v>
      </c>
      <c r="AL49" s="3">
        <v>5</v>
      </c>
      <c r="AM49" s="3"/>
      <c r="AN49" s="3"/>
      <c r="AO49" s="3"/>
      <c r="AP49" s="3"/>
      <c r="AQ49" s="3"/>
      <c r="AR49" s="3"/>
      <c r="AS49" s="3">
        <f>0.5*0.05</f>
        <v>2.5000000000000001E-2</v>
      </c>
      <c r="AT49" s="3">
        <v>0.09</v>
      </c>
      <c r="AU49" s="3"/>
      <c r="AV49" s="3"/>
      <c r="AW49" s="3">
        <v>4</v>
      </c>
      <c r="AX49" s="3">
        <v>18</v>
      </c>
      <c r="AY49" s="3"/>
      <c r="AZ49" s="3"/>
      <c r="BA49" s="3"/>
      <c r="BB49" s="3"/>
      <c r="BC49" s="3"/>
      <c r="BD49" s="3"/>
      <c r="BE49" s="3">
        <f t="shared" si="118"/>
        <v>0.1</v>
      </c>
      <c r="BF49" s="3">
        <f>0.5*2</f>
        <v>1</v>
      </c>
      <c r="BG49" s="3">
        <f t="shared" si="119"/>
        <v>0.1</v>
      </c>
      <c r="BH49" s="3">
        <f t="shared" ref="BH49:BH86" si="128">0.5*2</f>
        <v>1</v>
      </c>
      <c r="BI49" s="3">
        <f t="shared" si="120"/>
        <v>0.1</v>
      </c>
      <c r="BJ49" s="3">
        <v>120</v>
      </c>
      <c r="BK49" s="3">
        <v>8</v>
      </c>
      <c r="BL49" s="3">
        <f t="shared" si="121"/>
        <v>1</v>
      </c>
      <c r="BM49" s="3">
        <f t="shared" si="121"/>
        <v>1</v>
      </c>
      <c r="BN49" s="3">
        <v>3</v>
      </c>
      <c r="BO49" s="3">
        <f t="shared" si="122"/>
        <v>0.1</v>
      </c>
      <c r="BP49" s="3">
        <f t="shared" si="122"/>
        <v>0.1</v>
      </c>
      <c r="BQ49" s="3">
        <f t="shared" si="122"/>
        <v>0.1</v>
      </c>
      <c r="BR49" s="3">
        <f t="shared" si="123"/>
        <v>0.02</v>
      </c>
      <c r="BS49" s="3">
        <v>344</v>
      </c>
      <c r="BT49" s="3">
        <v>2074</v>
      </c>
      <c r="BU49" s="3">
        <f t="shared" si="124"/>
        <v>1</v>
      </c>
      <c r="BV49" s="3">
        <v>20</v>
      </c>
      <c r="BW49" s="3">
        <v>246</v>
      </c>
      <c r="BX49" s="3">
        <f t="shared" ref="BX49:BY49" si="129">0.5*20</f>
        <v>10</v>
      </c>
      <c r="BY49" s="3">
        <f t="shared" si="129"/>
        <v>10</v>
      </c>
      <c r="BZ49" s="3">
        <v>49</v>
      </c>
      <c r="CA49" s="3">
        <f>0.5*20</f>
        <v>10</v>
      </c>
      <c r="CB49" s="3">
        <f t="shared" si="125"/>
        <v>1</v>
      </c>
      <c r="CC49" s="3">
        <v>32</v>
      </c>
      <c r="CD49" s="3">
        <f t="shared" si="126"/>
        <v>1</v>
      </c>
      <c r="CE49" s="3">
        <v>0.32500000000000001</v>
      </c>
      <c r="CF49" s="3">
        <v>8791</v>
      </c>
      <c r="CG49" s="3">
        <v>3468</v>
      </c>
      <c r="CH49" s="3">
        <f t="shared" si="127"/>
        <v>10</v>
      </c>
      <c r="CI49" s="3"/>
      <c r="CJ49" s="3"/>
      <c r="CK49" s="3"/>
      <c r="CL49" s="3"/>
      <c r="CM49" s="3"/>
      <c r="CN49" s="3"/>
      <c r="CO49" s="3">
        <v>8.25</v>
      </c>
      <c r="CP49" s="3">
        <v>4.55</v>
      </c>
      <c r="CQ49" s="3"/>
      <c r="CR49" s="3"/>
      <c r="CS49" s="3">
        <v>234.68</v>
      </c>
      <c r="CT49" s="3"/>
      <c r="CU49" s="3"/>
      <c r="CV49" s="3">
        <v>3.37</v>
      </c>
      <c r="CW49" s="3">
        <v>1422.05</v>
      </c>
      <c r="CX49" s="3">
        <v>21.21</v>
      </c>
      <c r="CY49" s="3">
        <v>0.05</v>
      </c>
      <c r="CZ49" s="3"/>
      <c r="DA49" s="3"/>
    </row>
    <row r="50" spans="1:105" ht="15.75" customHeight="1" x14ac:dyDescent="0.25">
      <c r="A50" s="3" t="s">
        <v>120</v>
      </c>
      <c r="B50" s="3" t="s">
        <v>121</v>
      </c>
      <c r="C50" s="4" t="s">
        <v>350</v>
      </c>
      <c r="D50" s="4" t="s">
        <v>351</v>
      </c>
      <c r="E50" s="4" t="s">
        <v>344</v>
      </c>
      <c r="F50" s="3" t="s">
        <v>107</v>
      </c>
      <c r="G50" s="3" t="s">
        <v>108</v>
      </c>
      <c r="H50" s="3" t="s">
        <v>124</v>
      </c>
      <c r="I50" s="3" t="s">
        <v>125</v>
      </c>
      <c r="J50" s="3" t="s">
        <v>352</v>
      </c>
      <c r="K50" s="3" t="s">
        <v>353</v>
      </c>
      <c r="L50" s="3">
        <v>-21.2393</v>
      </c>
      <c r="M50" s="3">
        <v>-65.208799999999997</v>
      </c>
      <c r="N50" s="3">
        <v>0.26200000000000001</v>
      </c>
      <c r="O50" s="3">
        <v>0</v>
      </c>
      <c r="P50" s="3">
        <v>512</v>
      </c>
      <c r="Q50" s="3">
        <v>166.2</v>
      </c>
      <c r="R50" s="3">
        <v>8.3290000000000006</v>
      </c>
      <c r="S50" s="3">
        <v>-82.5</v>
      </c>
      <c r="T50" s="3">
        <v>1953</v>
      </c>
      <c r="U50" s="3">
        <v>1</v>
      </c>
      <c r="V50" s="3">
        <v>23</v>
      </c>
      <c r="W50" s="3">
        <v>6.9</v>
      </c>
      <c r="X50" s="3">
        <v>106.7</v>
      </c>
      <c r="Y50" s="3">
        <v>257</v>
      </c>
      <c r="Z50" s="3">
        <v>1946</v>
      </c>
      <c r="AA50" s="3">
        <v>1760</v>
      </c>
      <c r="AB50" s="3">
        <v>186</v>
      </c>
      <c r="AC50" s="3"/>
      <c r="AD50" s="3">
        <v>730.4</v>
      </c>
      <c r="AE50" s="3">
        <f t="shared" ref="AE50:AE53" si="130">0.5*5</f>
        <v>2.5</v>
      </c>
      <c r="AF50" s="3">
        <v>200</v>
      </c>
      <c r="AG50" s="3">
        <v>111.7</v>
      </c>
      <c r="AH50" s="3">
        <v>637.29999999999995</v>
      </c>
      <c r="AI50" s="3">
        <v>131.80000000000001</v>
      </c>
      <c r="AJ50" s="3">
        <v>97.45</v>
      </c>
      <c r="AK50" s="3">
        <v>154.80000000000001</v>
      </c>
      <c r="AL50" s="3">
        <v>10.5</v>
      </c>
      <c r="AM50" s="3">
        <v>132.72999999999999</v>
      </c>
      <c r="AN50" s="3">
        <v>98.16</v>
      </c>
      <c r="AO50" s="3">
        <v>156.30000000000001</v>
      </c>
      <c r="AP50" s="3">
        <v>10.5</v>
      </c>
      <c r="AQ50" s="3"/>
      <c r="AR50" s="3"/>
      <c r="AS50" s="3"/>
      <c r="AT50" s="3"/>
      <c r="AU50" s="3"/>
      <c r="AV50" s="3"/>
      <c r="AW50" s="3">
        <v>5</v>
      </c>
      <c r="AX50" s="3">
        <v>8</v>
      </c>
      <c r="AY50" s="3"/>
      <c r="AZ50" s="3"/>
      <c r="BA50" s="3"/>
      <c r="BB50" s="3"/>
      <c r="BC50" s="3"/>
      <c r="BD50" s="3"/>
      <c r="BE50" s="3">
        <f t="shared" si="118"/>
        <v>0.1</v>
      </c>
      <c r="BF50" s="3">
        <v>2</v>
      </c>
      <c r="BG50" s="3">
        <f t="shared" si="119"/>
        <v>0.1</v>
      </c>
      <c r="BH50" s="3">
        <f t="shared" si="128"/>
        <v>1</v>
      </c>
      <c r="BI50" s="3">
        <f t="shared" si="120"/>
        <v>0.1</v>
      </c>
      <c r="BJ50" s="3">
        <v>17</v>
      </c>
      <c r="BK50" s="3">
        <v>5</v>
      </c>
      <c r="BL50" s="3">
        <f t="shared" si="121"/>
        <v>1</v>
      </c>
      <c r="BM50" s="3">
        <f t="shared" si="121"/>
        <v>1</v>
      </c>
      <c r="BN50" s="3">
        <v>5</v>
      </c>
      <c r="BO50" s="3">
        <f t="shared" si="122"/>
        <v>0.1</v>
      </c>
      <c r="BP50" s="3">
        <f t="shared" si="122"/>
        <v>0.1</v>
      </c>
      <c r="BQ50" s="3">
        <f t="shared" si="122"/>
        <v>0.1</v>
      </c>
      <c r="BR50" s="3">
        <f t="shared" si="123"/>
        <v>0.02</v>
      </c>
      <c r="BS50" s="3">
        <v>183</v>
      </c>
      <c r="BT50" s="3">
        <v>1109</v>
      </c>
      <c r="BU50" s="3">
        <f t="shared" si="124"/>
        <v>1</v>
      </c>
      <c r="BV50" s="3">
        <v>97</v>
      </c>
      <c r="BW50" s="3">
        <v>1622</v>
      </c>
      <c r="BX50" s="3">
        <v>65</v>
      </c>
      <c r="BY50" s="3">
        <v>58</v>
      </c>
      <c r="BZ50" s="3">
        <v>473</v>
      </c>
      <c r="CA50" s="3">
        <v>56</v>
      </c>
      <c r="CB50" s="3">
        <v>6</v>
      </c>
      <c r="CC50" s="3">
        <v>124</v>
      </c>
      <c r="CD50" s="3">
        <v>4</v>
      </c>
      <c r="CE50" s="3">
        <f>0.5*0.1</f>
        <v>0.05</v>
      </c>
      <c r="CF50" s="3">
        <v>73457</v>
      </c>
      <c r="CG50" s="3">
        <v>1602</v>
      </c>
      <c r="CH50" s="3">
        <f t="shared" si="127"/>
        <v>10</v>
      </c>
      <c r="CI50" s="3"/>
      <c r="CJ50" s="3">
        <v>3.0000000000000001E-3</v>
      </c>
      <c r="CK50" s="3"/>
      <c r="CL50" s="3"/>
      <c r="CM50" s="3"/>
      <c r="CN50" s="3"/>
      <c r="CO50" s="3">
        <v>2543.0100000000002</v>
      </c>
      <c r="CP50" s="3">
        <v>610.22</v>
      </c>
      <c r="CQ50" s="3">
        <v>274.19</v>
      </c>
      <c r="CR50" s="3">
        <v>10.75</v>
      </c>
      <c r="CS50" s="3">
        <v>2650.54</v>
      </c>
      <c r="CT50" s="3">
        <v>32.26</v>
      </c>
      <c r="CU50" s="3">
        <v>311.83</v>
      </c>
      <c r="CV50" s="3">
        <v>521.51</v>
      </c>
      <c r="CW50" s="3">
        <v>393946.24</v>
      </c>
      <c r="CX50" s="3">
        <v>8629.0300000000007</v>
      </c>
      <c r="CY50" s="3"/>
      <c r="CZ50" s="3">
        <v>322.58</v>
      </c>
      <c r="DA50" s="3">
        <v>21.51</v>
      </c>
    </row>
    <row r="51" spans="1:105" ht="15.75" customHeight="1" x14ac:dyDescent="0.25">
      <c r="A51" s="3" t="s">
        <v>128</v>
      </c>
      <c r="B51" s="3" t="s">
        <v>129</v>
      </c>
      <c r="C51" s="4" t="s">
        <v>350</v>
      </c>
      <c r="D51" s="4" t="s">
        <v>208</v>
      </c>
      <c r="E51" s="4" t="s">
        <v>344</v>
      </c>
      <c r="F51" s="3" t="s">
        <v>107</v>
      </c>
      <c r="G51" s="3" t="s">
        <v>108</v>
      </c>
      <c r="H51" s="3" t="s">
        <v>131</v>
      </c>
      <c r="I51" s="3" t="s">
        <v>132</v>
      </c>
      <c r="J51" s="3" t="s">
        <v>354</v>
      </c>
      <c r="K51" s="3" t="s">
        <v>355</v>
      </c>
      <c r="L51" s="3">
        <v>-20.7423</v>
      </c>
      <c r="M51" s="3">
        <v>-65.240700000000004</v>
      </c>
      <c r="N51" s="3">
        <v>0.44800000000000001</v>
      </c>
      <c r="O51" s="3">
        <v>2</v>
      </c>
      <c r="P51" s="3">
        <v>758</v>
      </c>
      <c r="Q51" s="3">
        <v>151</v>
      </c>
      <c r="R51" s="3">
        <v>8.4969999999999999</v>
      </c>
      <c r="S51" s="3">
        <v>-91.1</v>
      </c>
      <c r="T51" s="3">
        <v>1320</v>
      </c>
      <c r="U51" s="3">
        <v>0.6</v>
      </c>
      <c r="V51" s="3">
        <v>18.8</v>
      </c>
      <c r="W51" s="3">
        <v>7</v>
      </c>
      <c r="X51" s="3">
        <v>99.1</v>
      </c>
      <c r="Y51" s="3">
        <f>1.5*1100</f>
        <v>1650</v>
      </c>
      <c r="Z51" s="3">
        <v>3117</v>
      </c>
      <c r="AA51" s="3">
        <v>1156</v>
      </c>
      <c r="AB51" s="3">
        <v>1961</v>
      </c>
      <c r="AC51" s="3"/>
      <c r="AD51" s="3">
        <v>241.4</v>
      </c>
      <c r="AE51" s="3">
        <f t="shared" si="130"/>
        <v>2.5</v>
      </c>
      <c r="AF51" s="3">
        <v>145</v>
      </c>
      <c r="AG51" s="3">
        <v>61.5</v>
      </c>
      <c r="AH51" s="3">
        <v>733.2</v>
      </c>
      <c r="AI51" s="3">
        <v>38.93</v>
      </c>
      <c r="AJ51" s="3">
        <v>35.020000000000003</v>
      </c>
      <c r="AK51" s="3">
        <v>110.8</v>
      </c>
      <c r="AL51" s="3">
        <v>9.3000000000000007</v>
      </c>
      <c r="AM51" s="3">
        <v>40.729999999999997</v>
      </c>
      <c r="AN51" s="3">
        <v>35.020000000000003</v>
      </c>
      <c r="AO51" s="3">
        <v>111.1</v>
      </c>
      <c r="AP51" s="3">
        <v>9.5</v>
      </c>
      <c r="AQ51" s="3"/>
      <c r="AR51" s="3"/>
      <c r="AS51" s="3"/>
      <c r="AT51" s="3"/>
      <c r="AU51" s="3"/>
      <c r="AV51" s="3"/>
      <c r="AW51" s="3">
        <f t="shared" ref="AW51:AW52" si="131">0.5*5</f>
        <v>2.5</v>
      </c>
      <c r="AX51" s="3">
        <v>9</v>
      </c>
      <c r="AY51" s="3"/>
      <c r="AZ51" s="3"/>
      <c r="BA51" s="3"/>
      <c r="BB51" s="3"/>
      <c r="BC51" s="3"/>
      <c r="BD51" s="3"/>
      <c r="BE51" s="3">
        <f t="shared" si="118"/>
        <v>0.1</v>
      </c>
      <c r="BF51" s="3">
        <f>0.5*2</f>
        <v>1</v>
      </c>
      <c r="BG51" s="3">
        <f t="shared" si="119"/>
        <v>0.1</v>
      </c>
      <c r="BH51" s="3">
        <f t="shared" si="128"/>
        <v>1</v>
      </c>
      <c r="BI51" s="3">
        <f t="shared" si="120"/>
        <v>0.1</v>
      </c>
      <c r="BJ51" s="3">
        <v>3256</v>
      </c>
      <c r="BK51" s="3">
        <v>20</v>
      </c>
      <c r="BL51" s="3">
        <v>128</v>
      </c>
      <c r="BM51" s="3">
        <v>924</v>
      </c>
      <c r="BN51" s="3">
        <f>0.5*2</f>
        <v>1</v>
      </c>
      <c r="BO51" s="3">
        <v>4</v>
      </c>
      <c r="BP51" s="3">
        <f t="shared" si="122"/>
        <v>0.1</v>
      </c>
      <c r="BQ51" s="3">
        <f t="shared" si="122"/>
        <v>0.1</v>
      </c>
      <c r="BR51" s="3">
        <f t="shared" si="123"/>
        <v>0.02</v>
      </c>
      <c r="BS51" s="3">
        <v>2352</v>
      </c>
      <c r="BT51" s="3">
        <v>62</v>
      </c>
      <c r="BU51" s="3">
        <f t="shared" si="124"/>
        <v>1</v>
      </c>
      <c r="BV51" s="3">
        <v>11</v>
      </c>
      <c r="BW51" s="3">
        <v>4311</v>
      </c>
      <c r="BX51" s="3">
        <v>25</v>
      </c>
      <c r="BY51" s="3">
        <v>215</v>
      </c>
      <c r="BZ51" s="3">
        <v>985</v>
      </c>
      <c r="CA51" s="3">
        <f>0.5*20</f>
        <v>10</v>
      </c>
      <c r="CB51" s="3">
        <v>7</v>
      </c>
      <c r="CC51" s="3">
        <f t="shared" ref="CC51:CD51" si="132">0.5*2</f>
        <v>1</v>
      </c>
      <c r="CD51" s="3">
        <f t="shared" si="132"/>
        <v>1</v>
      </c>
      <c r="CE51" s="3">
        <v>0.22500000000000001</v>
      </c>
      <c r="CF51" s="3">
        <v>5587</v>
      </c>
      <c r="CG51" s="3">
        <v>58</v>
      </c>
      <c r="CH51" s="3">
        <f t="shared" si="127"/>
        <v>10</v>
      </c>
      <c r="CI51" s="3"/>
      <c r="CJ51" s="3">
        <v>5.0000000000000001E-3</v>
      </c>
      <c r="CK51" s="3"/>
      <c r="CL51" s="3"/>
      <c r="CM51" s="3"/>
      <c r="CN51" s="3"/>
      <c r="CO51" s="3">
        <v>31.11</v>
      </c>
      <c r="CP51" s="3"/>
      <c r="CQ51" s="3"/>
      <c r="CR51" s="3"/>
      <c r="CS51" s="3"/>
      <c r="CT51" s="3">
        <v>1.53</v>
      </c>
      <c r="CU51" s="3">
        <v>44.37</v>
      </c>
      <c r="CV51" s="3">
        <v>5.61</v>
      </c>
      <c r="CW51" s="3">
        <v>1649.67</v>
      </c>
      <c r="CX51" s="3">
        <v>537.99</v>
      </c>
      <c r="CY51" s="3">
        <v>0.11</v>
      </c>
      <c r="CZ51" s="3">
        <v>2.5499999999999998</v>
      </c>
      <c r="DA51" s="3"/>
    </row>
    <row r="52" spans="1:105" ht="15.75" customHeight="1" x14ac:dyDescent="0.25">
      <c r="A52" s="3" t="s">
        <v>153</v>
      </c>
      <c r="B52" s="3" t="s">
        <v>154</v>
      </c>
      <c r="C52" s="4" t="s">
        <v>356</v>
      </c>
      <c r="D52" s="4" t="s">
        <v>357</v>
      </c>
      <c r="E52" s="4" t="s">
        <v>344</v>
      </c>
      <c r="F52" s="3" t="s">
        <v>107</v>
      </c>
      <c r="G52" s="3" t="s">
        <v>108</v>
      </c>
      <c r="H52" s="3" t="s">
        <v>156</v>
      </c>
      <c r="I52" s="3" t="s">
        <v>150</v>
      </c>
      <c r="J52" s="3" t="s">
        <v>157</v>
      </c>
      <c r="K52" s="3" t="s">
        <v>358</v>
      </c>
      <c r="L52" s="3">
        <v>-19.321300000000001</v>
      </c>
      <c r="M52" s="3">
        <v>-65.5518</v>
      </c>
      <c r="N52" s="3">
        <v>0.40300000000000002</v>
      </c>
      <c r="O52" s="3">
        <v>0</v>
      </c>
      <c r="P52" s="3">
        <v>3210</v>
      </c>
      <c r="Q52" s="3">
        <v>134.30000000000001</v>
      </c>
      <c r="R52" s="3">
        <v>6.2279999999999998</v>
      </c>
      <c r="S52" s="3">
        <v>34.4</v>
      </c>
      <c r="T52" s="3">
        <v>312</v>
      </c>
      <c r="U52" s="3">
        <v>0.1</v>
      </c>
      <c r="V52" s="3">
        <v>18.600000000000001</v>
      </c>
      <c r="W52" s="3">
        <v>6.03</v>
      </c>
      <c r="X52" s="3">
        <v>100.1</v>
      </c>
      <c r="Y52" s="3">
        <v>15.9</v>
      </c>
      <c r="Z52" s="3">
        <v>237</v>
      </c>
      <c r="AA52" s="3">
        <v>220</v>
      </c>
      <c r="AB52" s="3">
        <v>17</v>
      </c>
      <c r="AC52" s="3"/>
      <c r="AD52" s="3">
        <v>112.5</v>
      </c>
      <c r="AE52" s="3">
        <f t="shared" si="130"/>
        <v>2.5</v>
      </c>
      <c r="AF52" s="3">
        <f>0.5*5</f>
        <v>2.5</v>
      </c>
      <c r="AG52" s="3">
        <v>3.4</v>
      </c>
      <c r="AH52" s="3">
        <v>184.5</v>
      </c>
      <c r="AI52" s="3">
        <v>31.02</v>
      </c>
      <c r="AJ52" s="3">
        <v>8.52</v>
      </c>
      <c r="AK52" s="3">
        <v>1.7</v>
      </c>
      <c r="AL52" s="3">
        <v>1.5</v>
      </c>
      <c r="AM52" s="3">
        <v>31.82</v>
      </c>
      <c r="AN52" s="3">
        <v>8.5399999999999991</v>
      </c>
      <c r="AO52" s="3">
        <v>1.7</v>
      </c>
      <c r="AP52" s="3">
        <v>1.5</v>
      </c>
      <c r="AQ52" s="3"/>
      <c r="AR52" s="3"/>
      <c r="AS52" s="3"/>
      <c r="AT52" s="3"/>
      <c r="AU52" s="3"/>
      <c r="AV52" s="3"/>
      <c r="AW52" s="3">
        <f t="shared" si="131"/>
        <v>2.5</v>
      </c>
      <c r="AX52" s="3">
        <v>4</v>
      </c>
      <c r="AY52" s="3"/>
      <c r="AZ52" s="3"/>
      <c r="BA52" s="3"/>
      <c r="BB52" s="3"/>
      <c r="BC52" s="3"/>
      <c r="BD52" s="3"/>
      <c r="BE52" s="3">
        <f t="shared" si="118"/>
        <v>0.1</v>
      </c>
      <c r="BF52" s="3">
        <v>2</v>
      </c>
      <c r="BG52" s="3">
        <f t="shared" si="119"/>
        <v>0.1</v>
      </c>
      <c r="BH52" s="3">
        <f t="shared" si="128"/>
        <v>1</v>
      </c>
      <c r="BI52" s="3">
        <f t="shared" si="120"/>
        <v>0.1</v>
      </c>
      <c r="BJ52" s="3">
        <v>2207</v>
      </c>
      <c r="BK52" s="3">
        <v>24</v>
      </c>
      <c r="BL52" s="3">
        <v>21</v>
      </c>
      <c r="BM52" s="3">
        <v>2868</v>
      </c>
      <c r="BN52" s="3">
        <v>24</v>
      </c>
      <c r="BO52" s="3">
        <v>4</v>
      </c>
      <c r="BP52" s="3">
        <f t="shared" si="122"/>
        <v>0.1</v>
      </c>
      <c r="BQ52" s="3">
        <f t="shared" si="122"/>
        <v>0.1</v>
      </c>
      <c r="BR52" s="3">
        <f t="shared" si="123"/>
        <v>0.02</v>
      </c>
      <c r="BS52" s="3">
        <v>500</v>
      </c>
      <c r="BT52" s="3">
        <v>455</v>
      </c>
      <c r="BU52" s="3">
        <f t="shared" si="124"/>
        <v>1</v>
      </c>
      <c r="BV52" s="3">
        <v>29</v>
      </c>
      <c r="BW52" s="3">
        <v>3337</v>
      </c>
      <c r="BX52" s="3">
        <v>42</v>
      </c>
      <c r="BY52" s="3">
        <v>792</v>
      </c>
      <c r="BZ52" s="3">
        <v>11491</v>
      </c>
      <c r="CA52" s="3">
        <v>393</v>
      </c>
      <c r="CB52" s="3">
        <v>36</v>
      </c>
      <c r="CC52" s="3">
        <v>91</v>
      </c>
      <c r="CD52" s="3">
        <v>14</v>
      </c>
      <c r="CE52" s="3">
        <f>0.5*0.1</f>
        <v>0.05</v>
      </c>
      <c r="CF52" s="3">
        <v>53196</v>
      </c>
      <c r="CG52" s="3">
        <v>521</v>
      </c>
      <c r="CH52" s="3">
        <f t="shared" si="127"/>
        <v>10</v>
      </c>
      <c r="CI52" s="3"/>
      <c r="CJ52" s="3">
        <v>3.0000000000000001E-3</v>
      </c>
      <c r="CK52" s="3"/>
      <c r="CL52" s="3"/>
      <c r="CM52" s="3"/>
      <c r="CN52" s="3"/>
      <c r="CO52" s="3">
        <v>507235.29</v>
      </c>
      <c r="CP52" s="3">
        <v>5264.71</v>
      </c>
      <c r="CQ52" s="3">
        <v>21705.88</v>
      </c>
      <c r="CR52" s="3">
        <v>117.65</v>
      </c>
      <c r="CS52" s="3">
        <v>3882.35</v>
      </c>
      <c r="CT52" s="3">
        <v>1882.35</v>
      </c>
      <c r="CU52" s="3">
        <v>45352.94</v>
      </c>
      <c r="CV52" s="3">
        <v>1705.88</v>
      </c>
      <c r="CW52" s="3">
        <v>3099764.71</v>
      </c>
      <c r="CX52" s="3">
        <v>66470.59</v>
      </c>
      <c r="CY52" s="3"/>
      <c r="CZ52" s="3">
        <v>1058.82</v>
      </c>
      <c r="DA52" s="3">
        <v>823.53</v>
      </c>
    </row>
    <row r="53" spans="1:105" ht="15.75" customHeight="1" x14ac:dyDescent="0.25">
      <c r="A53" s="3" t="s">
        <v>146</v>
      </c>
      <c r="B53" s="3" t="s">
        <v>147</v>
      </c>
      <c r="C53" s="4" t="s">
        <v>356</v>
      </c>
      <c r="D53" s="4" t="s">
        <v>359</v>
      </c>
      <c r="E53" s="4" t="s">
        <v>344</v>
      </c>
      <c r="F53" s="3" t="s">
        <v>107</v>
      </c>
      <c r="G53" s="3" t="s">
        <v>108</v>
      </c>
      <c r="H53" s="3" t="s">
        <v>146</v>
      </c>
      <c r="I53" s="3" t="s">
        <v>150</v>
      </c>
      <c r="J53" s="3" t="s">
        <v>360</v>
      </c>
      <c r="K53" s="3" t="s">
        <v>361</v>
      </c>
      <c r="L53" s="3">
        <v>-19.471800000000002</v>
      </c>
      <c r="M53" s="3">
        <v>-65.794200000000004</v>
      </c>
      <c r="N53" s="3">
        <v>0.39700000000000002</v>
      </c>
      <c r="O53" s="3">
        <v>0</v>
      </c>
      <c r="P53" s="3">
        <v>553</v>
      </c>
      <c r="Q53" s="3">
        <v>127</v>
      </c>
      <c r="R53" s="3">
        <v>7.5129999999999999</v>
      </c>
      <c r="S53" s="3">
        <v>-33.799999999999997</v>
      </c>
      <c r="T53" s="3">
        <v>1807</v>
      </c>
      <c r="U53" s="3">
        <v>0.9</v>
      </c>
      <c r="V53" s="3">
        <v>12.4</v>
      </c>
      <c r="W53" s="3">
        <v>6.52</v>
      </c>
      <c r="X53" s="3">
        <v>90.6</v>
      </c>
      <c r="Y53" s="3">
        <v>448</v>
      </c>
      <c r="Z53" s="3">
        <v>1680</v>
      </c>
      <c r="AA53" s="3">
        <v>1368</v>
      </c>
      <c r="AB53" s="3">
        <v>312</v>
      </c>
      <c r="AC53" s="3"/>
      <c r="AD53" s="3">
        <v>452</v>
      </c>
      <c r="AE53" s="3">
        <f t="shared" si="130"/>
        <v>2.5</v>
      </c>
      <c r="AF53" s="3">
        <v>75</v>
      </c>
      <c r="AG53" s="3">
        <v>143.19999999999999</v>
      </c>
      <c r="AH53" s="3">
        <v>668.4</v>
      </c>
      <c r="AI53" s="3">
        <v>134.59</v>
      </c>
      <c r="AJ53" s="3">
        <v>28.16</v>
      </c>
      <c r="AK53" s="3">
        <v>149.6</v>
      </c>
      <c r="AL53" s="3">
        <v>23</v>
      </c>
      <c r="AM53" s="3">
        <v>136.46</v>
      </c>
      <c r="AN53" s="3">
        <v>29.68</v>
      </c>
      <c r="AO53" s="3">
        <v>152.69999999999999</v>
      </c>
      <c r="AP53" s="3">
        <v>23</v>
      </c>
      <c r="AQ53" s="3"/>
      <c r="AR53" s="3"/>
      <c r="AS53" s="3"/>
      <c r="AT53" s="3"/>
      <c r="AU53" s="3"/>
      <c r="AV53" s="3"/>
      <c r="AW53" s="3">
        <v>28</v>
      </c>
      <c r="AX53" s="3">
        <v>40</v>
      </c>
      <c r="AY53" s="3"/>
      <c r="AZ53" s="3"/>
      <c r="BA53" s="3"/>
      <c r="BB53" s="3"/>
      <c r="BC53" s="3"/>
      <c r="BD53" s="3"/>
      <c r="BE53" s="3">
        <f t="shared" si="118"/>
        <v>0.1</v>
      </c>
      <c r="BF53" s="3">
        <f>0.5*2</f>
        <v>1</v>
      </c>
      <c r="BG53" s="3">
        <f t="shared" si="119"/>
        <v>0.1</v>
      </c>
      <c r="BH53" s="3">
        <f t="shared" si="128"/>
        <v>1</v>
      </c>
      <c r="BI53" s="3">
        <f t="shared" si="120"/>
        <v>0.1</v>
      </c>
      <c r="BJ53" s="3">
        <v>14</v>
      </c>
      <c r="BK53" s="3">
        <v>3</v>
      </c>
      <c r="BL53" s="3">
        <f t="shared" ref="BL53:BN53" si="133">0.5*2</f>
        <v>1</v>
      </c>
      <c r="BM53" s="3">
        <f t="shared" si="133"/>
        <v>1</v>
      </c>
      <c r="BN53" s="3">
        <f t="shared" si="133"/>
        <v>1</v>
      </c>
      <c r="BO53" s="3">
        <f t="shared" ref="BO53:BQ68" si="134">0.5*0.2</f>
        <v>0.1</v>
      </c>
      <c r="BP53" s="3">
        <f t="shared" si="134"/>
        <v>0.1</v>
      </c>
      <c r="BQ53" s="3">
        <f t="shared" si="134"/>
        <v>0.1</v>
      </c>
      <c r="BR53" s="3">
        <f t="shared" si="123"/>
        <v>0.02</v>
      </c>
      <c r="BS53" s="3">
        <v>119</v>
      </c>
      <c r="BT53" s="3">
        <v>240</v>
      </c>
      <c r="BU53" s="3">
        <f t="shared" si="124"/>
        <v>1</v>
      </c>
      <c r="BV53" s="3">
        <v>20</v>
      </c>
      <c r="BW53" s="3">
        <v>155</v>
      </c>
      <c r="BX53" s="3">
        <f t="shared" ref="BX53:BY53" si="135">0.5*20</f>
        <v>10</v>
      </c>
      <c r="BY53" s="3">
        <f t="shared" si="135"/>
        <v>10</v>
      </c>
      <c r="BZ53" s="3">
        <v>28</v>
      </c>
      <c r="CA53" s="3">
        <f>0.5*20</f>
        <v>10</v>
      </c>
      <c r="CB53" s="3">
        <f>0.5*2</f>
        <v>1</v>
      </c>
      <c r="CC53" s="3">
        <v>5</v>
      </c>
      <c r="CD53" s="3">
        <f>0.5*2</f>
        <v>1</v>
      </c>
      <c r="CE53" s="3">
        <v>0.313</v>
      </c>
      <c r="CF53" s="3">
        <v>7909</v>
      </c>
      <c r="CG53" s="3">
        <v>241</v>
      </c>
      <c r="CH53" s="3">
        <f t="shared" si="127"/>
        <v>10</v>
      </c>
      <c r="CI53" s="3"/>
      <c r="CJ53" s="3">
        <v>4.0000000000000001E-3</v>
      </c>
      <c r="CK53" s="3"/>
      <c r="CL53" s="3"/>
      <c r="CM53" s="3"/>
      <c r="CN53" s="3"/>
      <c r="CO53" s="3">
        <v>89.74</v>
      </c>
      <c r="CP53" s="3"/>
      <c r="CQ53" s="3"/>
      <c r="CR53" s="3"/>
      <c r="CS53" s="3">
        <v>3.21</v>
      </c>
      <c r="CT53" s="3"/>
      <c r="CU53" s="3"/>
      <c r="CV53" s="3">
        <v>64.099999999999994</v>
      </c>
      <c r="CW53" s="3">
        <v>24967.95</v>
      </c>
      <c r="CX53" s="3">
        <v>451.92</v>
      </c>
      <c r="CY53" s="3">
        <v>0.99</v>
      </c>
      <c r="CZ53" s="3"/>
      <c r="DA53" s="3"/>
    </row>
    <row r="54" spans="1:105" ht="15.75" customHeight="1" x14ac:dyDescent="0.25">
      <c r="A54" s="3" t="s">
        <v>135</v>
      </c>
      <c r="B54" s="3" t="s">
        <v>136</v>
      </c>
      <c r="C54" s="4" t="s">
        <v>362</v>
      </c>
      <c r="D54" s="4" t="s">
        <v>116</v>
      </c>
      <c r="E54" s="4" t="s">
        <v>344</v>
      </c>
      <c r="F54" s="3" t="s">
        <v>107</v>
      </c>
      <c r="G54" s="3" t="s">
        <v>108</v>
      </c>
      <c r="H54" s="3" t="s">
        <v>139</v>
      </c>
      <c r="J54" s="3" t="s">
        <v>363</v>
      </c>
      <c r="K54" s="3" t="s">
        <v>364</v>
      </c>
      <c r="L54" s="3">
        <v>-19.135100000000001</v>
      </c>
      <c r="M54" s="3">
        <v>-65.568100000000001</v>
      </c>
      <c r="N54" s="3">
        <v>0.63900000000000001</v>
      </c>
      <c r="O54" s="3">
        <v>0</v>
      </c>
      <c r="P54" s="3">
        <v>1292</v>
      </c>
      <c r="Q54" s="3"/>
      <c r="R54" s="3">
        <v>8.4649999999999999</v>
      </c>
      <c r="S54" s="3">
        <v>-91.7</v>
      </c>
      <c r="T54" s="3">
        <v>774</v>
      </c>
      <c r="U54" s="3">
        <v>0.3</v>
      </c>
      <c r="V54" s="3">
        <v>28.1</v>
      </c>
      <c r="W54" s="3">
        <v>5.51</v>
      </c>
      <c r="X54" s="3">
        <v>99.3</v>
      </c>
      <c r="Y54" s="3">
        <v>196</v>
      </c>
      <c r="Z54" s="3">
        <v>714</v>
      </c>
      <c r="AA54" s="3">
        <v>516</v>
      </c>
      <c r="AB54" s="3">
        <v>198</v>
      </c>
      <c r="AC54" s="3"/>
      <c r="AD54" s="3">
        <v>232.6</v>
      </c>
      <c r="AE54" s="3">
        <v>5</v>
      </c>
      <c r="AF54" s="3">
        <v>200</v>
      </c>
      <c r="AG54" s="3">
        <v>9.1999999999999993</v>
      </c>
      <c r="AH54" s="3">
        <v>248.2</v>
      </c>
      <c r="AI54" s="3">
        <v>56.76</v>
      </c>
      <c r="AJ54" s="3">
        <v>22.07</v>
      </c>
      <c r="AK54" s="3">
        <v>125.4</v>
      </c>
      <c r="AL54" s="3">
        <v>8.6999999999999993</v>
      </c>
      <c r="AM54" s="3">
        <v>57.83</v>
      </c>
      <c r="AN54" s="3">
        <v>24.97</v>
      </c>
      <c r="AO54" s="3">
        <v>127.2</v>
      </c>
      <c r="AP54" s="3">
        <v>9.1999999999999993</v>
      </c>
      <c r="AQ54" s="3"/>
      <c r="AR54" s="3"/>
      <c r="AS54" s="3"/>
      <c r="AT54" s="3"/>
      <c r="AU54" s="3"/>
      <c r="AV54" s="3"/>
      <c r="AW54" s="3">
        <f>0.5*5</f>
        <v>2.5</v>
      </c>
      <c r="AX54" s="3">
        <f>0.5*2</f>
        <v>1</v>
      </c>
      <c r="AY54" s="3"/>
      <c r="AZ54" s="3"/>
      <c r="BA54" s="3"/>
      <c r="BB54" s="3"/>
      <c r="BC54" s="3"/>
      <c r="BD54" s="3"/>
      <c r="BE54" s="3">
        <f t="shared" si="118"/>
        <v>0.1</v>
      </c>
      <c r="BF54" s="3">
        <v>4</v>
      </c>
      <c r="BG54" s="3">
        <f t="shared" si="119"/>
        <v>0.1</v>
      </c>
      <c r="BH54" s="3">
        <f t="shared" si="128"/>
        <v>1</v>
      </c>
      <c r="BI54" s="3">
        <v>0.3</v>
      </c>
      <c r="BJ54" s="3">
        <v>88</v>
      </c>
      <c r="BK54" s="3">
        <v>3</v>
      </c>
      <c r="BL54" s="3">
        <v>3</v>
      </c>
      <c r="BM54" s="3">
        <v>13</v>
      </c>
      <c r="BN54" s="3">
        <v>13</v>
      </c>
      <c r="BO54" s="3">
        <f t="shared" si="134"/>
        <v>0.1</v>
      </c>
      <c r="BP54" s="3">
        <f t="shared" si="134"/>
        <v>0.1</v>
      </c>
      <c r="BQ54" s="3">
        <f t="shared" si="134"/>
        <v>0.1</v>
      </c>
      <c r="BR54" s="3">
        <f t="shared" si="123"/>
        <v>0.02</v>
      </c>
      <c r="BS54" s="3">
        <v>139</v>
      </c>
      <c r="BT54" s="3">
        <v>931</v>
      </c>
      <c r="BU54" s="3">
        <f t="shared" si="124"/>
        <v>1</v>
      </c>
      <c r="BV54" s="3">
        <v>49</v>
      </c>
      <c r="BW54" s="3">
        <v>734</v>
      </c>
      <c r="BX54" s="3">
        <v>32</v>
      </c>
      <c r="BY54" s="3">
        <v>234</v>
      </c>
      <c r="BZ54" s="3">
        <v>1682</v>
      </c>
      <c r="CA54" s="3">
        <v>211</v>
      </c>
      <c r="CB54" s="3">
        <v>17</v>
      </c>
      <c r="CC54" s="3">
        <v>184</v>
      </c>
      <c r="CD54" s="3">
        <v>12</v>
      </c>
      <c r="CE54" s="3">
        <f>0.5*0.1</f>
        <v>0.05</v>
      </c>
      <c r="CF54" s="3">
        <v>42735</v>
      </c>
      <c r="CG54" s="3">
        <v>1850</v>
      </c>
      <c r="CH54" s="3">
        <f t="shared" si="127"/>
        <v>10</v>
      </c>
      <c r="CI54" s="3"/>
      <c r="CJ54" s="3">
        <v>1.4999999999999999E-2</v>
      </c>
      <c r="CK54" s="3"/>
      <c r="CL54" s="3"/>
      <c r="CM54" s="3"/>
      <c r="CN54" s="3"/>
      <c r="CO54" s="3">
        <v>8429.2900000000009</v>
      </c>
      <c r="CP54" s="3">
        <v>885.35</v>
      </c>
      <c r="CQ54" s="3">
        <v>1000</v>
      </c>
      <c r="CR54" s="3">
        <v>20.2</v>
      </c>
      <c r="CS54" s="3">
        <v>4641.41</v>
      </c>
      <c r="CT54" s="3">
        <v>85.86</v>
      </c>
      <c r="CU54" s="3">
        <v>1166.67</v>
      </c>
      <c r="CV54" s="3">
        <v>245.96</v>
      </c>
      <c r="CW54" s="3">
        <v>215131.31</v>
      </c>
      <c r="CX54" s="3">
        <v>3262.63</v>
      </c>
      <c r="CY54" s="3"/>
      <c r="CZ54" s="3">
        <v>146.46</v>
      </c>
      <c r="DA54" s="3">
        <v>60.61</v>
      </c>
    </row>
    <row r="55" spans="1:105" ht="15.75" customHeight="1" x14ac:dyDescent="0.25">
      <c r="A55" s="3" t="s">
        <v>142</v>
      </c>
      <c r="B55" s="3" t="s">
        <v>143</v>
      </c>
      <c r="C55" s="4" t="s">
        <v>362</v>
      </c>
      <c r="D55" s="4" t="s">
        <v>329</v>
      </c>
      <c r="E55" s="4" t="s">
        <v>344</v>
      </c>
      <c r="F55" s="3" t="s">
        <v>107</v>
      </c>
      <c r="G55" s="3" t="s">
        <v>108</v>
      </c>
      <c r="H55" s="3" t="s">
        <v>109</v>
      </c>
      <c r="J55" s="3" t="s">
        <v>365</v>
      </c>
      <c r="K55" s="3" t="s">
        <v>366</v>
      </c>
      <c r="L55" s="3">
        <v>-19.132400000000001</v>
      </c>
      <c r="M55" s="3">
        <v>-65.572800000000001</v>
      </c>
      <c r="N55" s="3">
        <v>0.40500000000000003</v>
      </c>
      <c r="O55" s="3">
        <v>2</v>
      </c>
      <c r="P55" s="3">
        <v>881</v>
      </c>
      <c r="Q55" s="3">
        <v>143.1</v>
      </c>
      <c r="R55" s="3">
        <v>8.3149999999999995</v>
      </c>
      <c r="S55" s="3">
        <v>-81.900000000000006</v>
      </c>
      <c r="T55" s="3">
        <v>1136</v>
      </c>
      <c r="U55" s="3">
        <v>0.5</v>
      </c>
      <c r="V55" s="3">
        <v>23.4</v>
      </c>
      <c r="W55" s="3">
        <v>5.85</v>
      </c>
      <c r="X55" s="3">
        <v>96.7</v>
      </c>
      <c r="Y55" s="3">
        <v>932</v>
      </c>
      <c r="Z55" s="3">
        <v>1550</v>
      </c>
      <c r="AA55" s="3">
        <v>706</v>
      </c>
      <c r="AB55" s="3">
        <v>844</v>
      </c>
      <c r="AC55" s="3"/>
      <c r="AD55" s="3">
        <v>217.5</v>
      </c>
      <c r="AE55" s="3">
        <f>0.5*5</f>
        <v>2.5</v>
      </c>
      <c r="AF55" s="3">
        <v>135</v>
      </c>
      <c r="AG55" s="3">
        <v>171.7</v>
      </c>
      <c r="AH55" s="3">
        <v>222.3</v>
      </c>
      <c r="AI55" s="3">
        <v>49.46</v>
      </c>
      <c r="AJ55" s="3">
        <v>22.83</v>
      </c>
      <c r="AK55" s="3">
        <v>138.6</v>
      </c>
      <c r="AL55" s="3">
        <v>10.9</v>
      </c>
      <c r="AM55" s="3">
        <v>50.68</v>
      </c>
      <c r="AN55" s="3">
        <v>23.13</v>
      </c>
      <c r="AO55" s="3">
        <v>140.9</v>
      </c>
      <c r="AP55" s="3">
        <v>10.9</v>
      </c>
      <c r="AQ55" s="3"/>
      <c r="AR55" s="3"/>
      <c r="AS55" s="3"/>
      <c r="AT55" s="3"/>
      <c r="AU55" s="3"/>
      <c r="AV55" s="3"/>
      <c r="AW55" s="3">
        <v>12</v>
      </c>
      <c r="AX55" s="3">
        <v>16</v>
      </c>
      <c r="AY55" s="3"/>
      <c r="AZ55" s="3"/>
      <c r="BA55" s="3"/>
      <c r="BB55" s="3"/>
      <c r="BC55" s="3"/>
      <c r="BD55" s="3"/>
      <c r="BE55" s="3">
        <f t="shared" si="118"/>
        <v>0.1</v>
      </c>
      <c r="BF55" s="3">
        <f t="shared" ref="BF55:BF64" si="136">0.5*2</f>
        <v>1</v>
      </c>
      <c r="BG55" s="3">
        <f t="shared" si="119"/>
        <v>0.1</v>
      </c>
      <c r="BH55" s="3">
        <f t="shared" si="128"/>
        <v>1</v>
      </c>
      <c r="BI55" s="3">
        <v>0.4</v>
      </c>
      <c r="BJ55" s="3">
        <f t="shared" ref="BJ55:BM59" si="137">0.5*2</f>
        <v>1</v>
      </c>
      <c r="BK55" s="3">
        <f t="shared" si="137"/>
        <v>1</v>
      </c>
      <c r="BL55" s="3">
        <v>4</v>
      </c>
      <c r="BM55" s="3">
        <v>2</v>
      </c>
      <c r="BN55" s="3">
        <f>0.5*2</f>
        <v>1</v>
      </c>
      <c r="BO55" s="3">
        <f t="shared" si="134"/>
        <v>0.1</v>
      </c>
      <c r="BP55" s="3">
        <f t="shared" si="134"/>
        <v>0.1</v>
      </c>
      <c r="BQ55" s="3">
        <f t="shared" si="134"/>
        <v>0.1</v>
      </c>
      <c r="BR55" s="3">
        <f t="shared" si="123"/>
        <v>0.02</v>
      </c>
      <c r="BS55" s="3">
        <v>22</v>
      </c>
      <c r="BT55" s="3">
        <v>114</v>
      </c>
      <c r="BU55" s="3">
        <f t="shared" si="124"/>
        <v>1</v>
      </c>
      <c r="BV55" s="3">
        <v>3</v>
      </c>
      <c r="BW55" s="3">
        <v>44</v>
      </c>
      <c r="BX55" s="3">
        <f t="shared" ref="BX55:CA63" si="138">0.5*20</f>
        <v>10</v>
      </c>
      <c r="BY55" s="3">
        <v>43</v>
      </c>
      <c r="BZ55" s="3">
        <f t="shared" ref="BZ55:BZ56" si="139">0.5*20</f>
        <v>10</v>
      </c>
      <c r="CA55" s="3">
        <v>42</v>
      </c>
      <c r="CB55" s="3">
        <f t="shared" ref="CB55:CD70" si="140">0.5*2</f>
        <v>1</v>
      </c>
      <c r="CC55" s="3">
        <f t="shared" si="140"/>
        <v>1</v>
      </c>
      <c r="CD55" s="3">
        <f t="shared" si="140"/>
        <v>1</v>
      </c>
      <c r="CE55" s="3">
        <v>0.94</v>
      </c>
      <c r="CF55" s="3">
        <v>878</v>
      </c>
      <c r="CG55" s="3">
        <v>5765</v>
      </c>
      <c r="CH55" s="3">
        <v>51</v>
      </c>
      <c r="CI55" s="3"/>
      <c r="CJ55" s="3">
        <v>3.0000000000000001E-3</v>
      </c>
      <c r="CK55" s="3"/>
      <c r="CL55" s="3"/>
      <c r="CM55" s="3"/>
      <c r="CN55" s="3">
        <v>60.43</v>
      </c>
      <c r="CO55" s="3"/>
      <c r="CP55" s="3"/>
      <c r="CQ55" s="3">
        <v>49.76</v>
      </c>
      <c r="CR55" s="3"/>
      <c r="CS55" s="3">
        <v>6695.5</v>
      </c>
      <c r="CT55" s="3"/>
      <c r="CU55" s="3">
        <v>46.21</v>
      </c>
      <c r="CV55" s="3">
        <v>3.08</v>
      </c>
      <c r="CW55" s="3">
        <v>1014.22</v>
      </c>
      <c r="CX55" s="3">
        <v>52.13</v>
      </c>
      <c r="CY55" s="3">
        <v>1.1100000000000001</v>
      </c>
      <c r="CZ55" s="3"/>
      <c r="DA55" s="3"/>
    </row>
    <row r="56" spans="1:105" ht="15.75" customHeight="1" x14ac:dyDescent="0.25">
      <c r="A56" s="3" t="s">
        <v>191</v>
      </c>
      <c r="B56" s="3" t="s">
        <v>192</v>
      </c>
      <c r="C56" s="4" t="s">
        <v>367</v>
      </c>
      <c r="D56" s="4" t="s">
        <v>357</v>
      </c>
      <c r="E56" s="4" t="s">
        <v>368</v>
      </c>
      <c r="F56" s="3" t="s">
        <v>107</v>
      </c>
      <c r="G56" s="3" t="s">
        <v>108</v>
      </c>
      <c r="H56" s="3" t="s">
        <v>109</v>
      </c>
      <c r="I56" s="3" t="s">
        <v>195</v>
      </c>
      <c r="J56" s="3" t="s">
        <v>369</v>
      </c>
      <c r="K56" s="3" t="s">
        <v>370</v>
      </c>
      <c r="L56" s="3">
        <v>-24.7484</v>
      </c>
      <c r="M56" s="3">
        <v>-58.832999999999998</v>
      </c>
      <c r="N56" s="3"/>
      <c r="O56" s="3"/>
      <c r="P56" s="3">
        <v>29.8</v>
      </c>
      <c r="Q56" s="3">
        <v>242</v>
      </c>
      <c r="R56" s="3">
        <v>8.5570000000000004</v>
      </c>
      <c r="S56" s="3">
        <v>-96.4</v>
      </c>
      <c r="T56" s="3">
        <v>33600</v>
      </c>
      <c r="U56" s="3">
        <v>21.1</v>
      </c>
      <c r="V56" s="3">
        <v>25.7</v>
      </c>
      <c r="W56" s="3">
        <v>9.6300000000000008</v>
      </c>
      <c r="X56" s="3">
        <v>119.6</v>
      </c>
      <c r="Y56" s="3">
        <v>2.77</v>
      </c>
      <c r="Z56" s="3">
        <v>22270</v>
      </c>
      <c r="AA56" s="3">
        <v>22235.4</v>
      </c>
      <c r="AB56" s="3">
        <v>34.6</v>
      </c>
      <c r="AC56" s="3">
        <v>3</v>
      </c>
      <c r="AD56" s="3">
        <v>3550</v>
      </c>
      <c r="AE56" s="3">
        <v>97.63</v>
      </c>
      <c r="AF56" s="3">
        <v>476.38</v>
      </c>
      <c r="AG56" s="3">
        <v>7943.3</v>
      </c>
      <c r="AH56" s="3">
        <v>8283.7000000000007</v>
      </c>
      <c r="AI56" s="3">
        <v>1060</v>
      </c>
      <c r="AJ56" s="3">
        <v>218.88</v>
      </c>
      <c r="AK56" s="3"/>
      <c r="AL56" s="3"/>
      <c r="AM56" s="3"/>
      <c r="AN56" s="3"/>
      <c r="AO56" s="3"/>
      <c r="AP56" s="3"/>
      <c r="AQ56" s="3">
        <v>2.4700000000000002</v>
      </c>
      <c r="AR56" s="3"/>
      <c r="AS56" s="3">
        <v>0.17</v>
      </c>
      <c r="AT56" s="3">
        <v>6.0000000000000001E-3</v>
      </c>
      <c r="AU56" s="3">
        <f>0.5*0.044</f>
        <v>2.1999999999999999E-2</v>
      </c>
      <c r="AV56" s="3">
        <v>0.90200000000000002</v>
      </c>
      <c r="AW56" s="3">
        <v>3.6</v>
      </c>
      <c r="AX56" s="3">
        <v>264.32</v>
      </c>
      <c r="AY56" s="3">
        <v>3560</v>
      </c>
      <c r="AZ56" s="3">
        <v>20</v>
      </c>
      <c r="BA56" s="3"/>
      <c r="BB56" s="3"/>
      <c r="BC56" s="3"/>
      <c r="BD56" s="3">
        <v>13200</v>
      </c>
      <c r="BE56" s="3">
        <f t="shared" si="118"/>
        <v>0.1</v>
      </c>
      <c r="BF56" s="3">
        <f t="shared" si="136"/>
        <v>1</v>
      </c>
      <c r="BG56" s="3">
        <f t="shared" si="119"/>
        <v>0.1</v>
      </c>
      <c r="BH56" s="3">
        <f t="shared" si="128"/>
        <v>1</v>
      </c>
      <c r="BI56" s="3">
        <v>0.8</v>
      </c>
      <c r="BJ56" s="3">
        <v>309</v>
      </c>
      <c r="BK56" s="3">
        <f t="shared" si="137"/>
        <v>1</v>
      </c>
      <c r="BL56" s="3">
        <v>3</v>
      </c>
      <c r="BM56" s="3">
        <v>2</v>
      </c>
      <c r="BN56" s="3">
        <v>4</v>
      </c>
      <c r="BO56" s="3">
        <f t="shared" si="134"/>
        <v>0.1</v>
      </c>
      <c r="BP56" s="3">
        <v>0.2</v>
      </c>
      <c r="BQ56" s="3">
        <f t="shared" si="134"/>
        <v>0.1</v>
      </c>
      <c r="BR56" s="3">
        <f t="shared" si="123"/>
        <v>0.02</v>
      </c>
      <c r="BS56" s="3">
        <v>381</v>
      </c>
      <c r="BT56" s="3">
        <v>447</v>
      </c>
      <c r="BU56" s="3">
        <f t="shared" si="124"/>
        <v>1</v>
      </c>
      <c r="BV56" s="3">
        <f t="shared" si="124"/>
        <v>1</v>
      </c>
      <c r="BW56" s="3">
        <v>43</v>
      </c>
      <c r="BX56" s="3">
        <f t="shared" si="138"/>
        <v>10</v>
      </c>
      <c r="BY56" s="3">
        <v>44</v>
      </c>
      <c r="BZ56" s="3">
        <f t="shared" si="139"/>
        <v>10</v>
      </c>
      <c r="CA56" s="3">
        <v>43</v>
      </c>
      <c r="CB56" s="3">
        <f t="shared" si="140"/>
        <v>1</v>
      </c>
      <c r="CC56" s="3">
        <f t="shared" si="140"/>
        <v>1</v>
      </c>
      <c r="CD56" s="3">
        <f t="shared" si="140"/>
        <v>1</v>
      </c>
      <c r="CE56" s="3">
        <f t="shared" ref="CE56:CE63" si="141">0.5*0.1</f>
        <v>0.05</v>
      </c>
      <c r="CF56" s="3">
        <v>1013</v>
      </c>
      <c r="CG56" s="3">
        <v>5514</v>
      </c>
      <c r="CH56" s="3">
        <v>58</v>
      </c>
      <c r="CI56" s="3"/>
      <c r="CJ56" s="3">
        <f t="shared" ref="CJ56:CK62" si="142">0.5*0.001</f>
        <v>5.0000000000000001E-4</v>
      </c>
      <c r="CK56" s="3">
        <f t="shared" si="142"/>
        <v>5.0000000000000001E-4</v>
      </c>
      <c r="CL56" s="3">
        <f t="shared" ref="CL56:CL62" si="143">0.5*0.5</f>
        <v>0.25</v>
      </c>
      <c r="CM56" s="3"/>
      <c r="CN56" s="3">
        <v>1676.3</v>
      </c>
      <c r="CO56" s="3"/>
      <c r="CP56" s="3"/>
      <c r="CQ56" s="3">
        <v>1127.17</v>
      </c>
      <c r="CR56" s="3"/>
      <c r="CS56" s="3">
        <v>146445.09</v>
      </c>
      <c r="CT56" s="3"/>
      <c r="CU56" s="3">
        <v>1184.97</v>
      </c>
      <c r="CV56" s="3"/>
      <c r="CW56" s="3">
        <v>18265.900000000001</v>
      </c>
      <c r="CX56" s="3"/>
      <c r="CY56" s="3"/>
      <c r="CZ56" s="3"/>
      <c r="DA56" s="3"/>
    </row>
    <row r="57" spans="1:105" ht="15.75" customHeight="1" x14ac:dyDescent="0.25">
      <c r="A57" s="3" t="s">
        <v>159</v>
      </c>
      <c r="B57" s="3" t="s">
        <v>160</v>
      </c>
      <c r="C57" s="4" t="s">
        <v>371</v>
      </c>
      <c r="D57" s="4" t="s">
        <v>372</v>
      </c>
      <c r="E57" s="4" t="s">
        <v>368</v>
      </c>
      <c r="F57" s="3" t="s">
        <v>107</v>
      </c>
      <c r="G57" s="3" t="s">
        <v>108</v>
      </c>
      <c r="H57" s="3" t="s">
        <v>164</v>
      </c>
      <c r="J57" s="3" t="s">
        <v>373</v>
      </c>
      <c r="K57" s="3" t="s">
        <v>374</v>
      </c>
      <c r="L57" s="3">
        <v>-25.107299999999999</v>
      </c>
      <c r="M57" s="3">
        <v>-57.546599999999998</v>
      </c>
      <c r="N57" s="3"/>
      <c r="O57" s="3"/>
      <c r="P57" s="3">
        <v>8660</v>
      </c>
      <c r="Q57" s="3">
        <v>84.2</v>
      </c>
      <c r="R57" s="3">
        <v>6.6550000000000002</v>
      </c>
      <c r="S57" s="3">
        <v>15.2</v>
      </c>
      <c r="T57" s="3">
        <v>115.5</v>
      </c>
      <c r="U57" s="3">
        <v>0</v>
      </c>
      <c r="V57" s="3">
        <v>25.6</v>
      </c>
      <c r="W57" s="3">
        <v>3.36</v>
      </c>
      <c r="X57" s="3">
        <v>41.6</v>
      </c>
      <c r="Y57" s="3">
        <v>24.3</v>
      </c>
      <c r="Z57" s="3">
        <v>206</v>
      </c>
      <c r="AA57" s="3">
        <v>166.6</v>
      </c>
      <c r="AB57" s="3">
        <v>39.4</v>
      </c>
      <c r="AC57" s="3">
        <v>45</v>
      </c>
      <c r="AD57" s="3">
        <v>21</v>
      </c>
      <c r="AE57" s="3">
        <v>0</v>
      </c>
      <c r="AF57" s="3">
        <v>28.39</v>
      </c>
      <c r="AG57" s="3">
        <v>10.199999999999999</v>
      </c>
      <c r="AH57" s="3">
        <v>3.05</v>
      </c>
      <c r="AI57" s="3">
        <v>6.4</v>
      </c>
      <c r="AJ57" s="3">
        <v>1.22</v>
      </c>
      <c r="AK57" s="3"/>
      <c r="AL57" s="3"/>
      <c r="AM57" s="3"/>
      <c r="AN57" s="3"/>
      <c r="AO57" s="3"/>
      <c r="AP57" s="3"/>
      <c r="AQ57" s="3">
        <v>1.27</v>
      </c>
      <c r="AR57" s="3"/>
      <c r="AS57" s="3">
        <v>0.184</v>
      </c>
      <c r="AT57" s="3">
        <v>9.8000000000000004E-2</v>
      </c>
      <c r="AU57" s="3">
        <v>2.52</v>
      </c>
      <c r="AV57" s="3">
        <v>0.26600000000000001</v>
      </c>
      <c r="AW57" s="3">
        <v>3.8</v>
      </c>
      <c r="AX57" s="3">
        <v>79.3</v>
      </c>
      <c r="AY57" s="3">
        <v>1300</v>
      </c>
      <c r="AZ57" s="3">
        <v>400</v>
      </c>
      <c r="BA57" s="3"/>
      <c r="BB57" s="3"/>
      <c r="BC57" s="3"/>
      <c r="BD57" s="3">
        <v>5500</v>
      </c>
      <c r="BE57" s="3">
        <f t="shared" si="118"/>
        <v>0.1</v>
      </c>
      <c r="BF57" s="3">
        <f t="shared" si="136"/>
        <v>1</v>
      </c>
      <c r="BG57" s="3">
        <f t="shared" si="119"/>
        <v>0.1</v>
      </c>
      <c r="BH57" s="3">
        <f t="shared" si="128"/>
        <v>1</v>
      </c>
      <c r="BI57" s="3">
        <v>0.6</v>
      </c>
      <c r="BJ57" s="3">
        <v>140</v>
      </c>
      <c r="BK57" s="3">
        <f t="shared" si="137"/>
        <v>1</v>
      </c>
      <c r="BL57" s="3">
        <v>2</v>
      </c>
      <c r="BM57" s="3">
        <f>0.5*2</f>
        <v>1</v>
      </c>
      <c r="BN57" s="3">
        <v>3</v>
      </c>
      <c r="BO57" s="3">
        <f t="shared" si="134"/>
        <v>0.1</v>
      </c>
      <c r="BP57" s="3">
        <v>0.4</v>
      </c>
      <c r="BQ57" s="3">
        <f t="shared" si="134"/>
        <v>0.1</v>
      </c>
      <c r="BR57" s="3">
        <f t="shared" si="123"/>
        <v>0.02</v>
      </c>
      <c r="BS57" s="3">
        <v>570</v>
      </c>
      <c r="BT57" s="3">
        <v>201</v>
      </c>
      <c r="BU57" s="3">
        <f t="shared" si="124"/>
        <v>1</v>
      </c>
      <c r="BV57" s="3">
        <f t="shared" si="124"/>
        <v>1</v>
      </c>
      <c r="BW57" s="3">
        <v>74</v>
      </c>
      <c r="BX57" s="3">
        <f t="shared" si="138"/>
        <v>10</v>
      </c>
      <c r="BY57" s="3">
        <f t="shared" si="138"/>
        <v>10</v>
      </c>
      <c r="BZ57" s="3">
        <f t="shared" si="138"/>
        <v>10</v>
      </c>
      <c r="CA57" s="3">
        <f t="shared" si="138"/>
        <v>10</v>
      </c>
      <c r="CB57" s="3">
        <f t="shared" si="140"/>
        <v>1</v>
      </c>
      <c r="CC57" s="3">
        <f t="shared" si="140"/>
        <v>1</v>
      </c>
      <c r="CD57" s="3">
        <f t="shared" si="140"/>
        <v>1</v>
      </c>
      <c r="CE57" s="3">
        <f t="shared" si="141"/>
        <v>0.05</v>
      </c>
      <c r="CF57" s="3">
        <v>1671</v>
      </c>
      <c r="CG57" s="3">
        <v>53</v>
      </c>
      <c r="CH57" s="3">
        <f t="shared" ref="CH57:CH70" si="144">0.5*20</f>
        <v>10</v>
      </c>
      <c r="CI57" s="3"/>
      <c r="CJ57" s="3">
        <f t="shared" si="142"/>
        <v>5.0000000000000001E-4</v>
      </c>
      <c r="CK57" s="3">
        <v>1E-3</v>
      </c>
      <c r="CL57" s="3">
        <f t="shared" si="143"/>
        <v>0.25</v>
      </c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>
        <v>27944.16</v>
      </c>
      <c r="CX57" s="3"/>
      <c r="CY57" s="3"/>
      <c r="CZ57" s="3"/>
      <c r="DA57" s="3"/>
    </row>
    <row r="58" spans="1:105" ht="15.75" customHeight="1" x14ac:dyDescent="0.25">
      <c r="A58" s="3" t="s">
        <v>167</v>
      </c>
      <c r="B58" s="3" t="s">
        <v>168</v>
      </c>
      <c r="C58" s="4" t="s">
        <v>371</v>
      </c>
      <c r="D58" s="4" t="s">
        <v>375</v>
      </c>
      <c r="E58" s="4" t="s">
        <v>368</v>
      </c>
      <c r="F58" s="3" t="s">
        <v>107</v>
      </c>
      <c r="G58" s="3" t="s">
        <v>108</v>
      </c>
      <c r="H58" s="3" t="s">
        <v>171</v>
      </c>
      <c r="J58" s="3" t="s">
        <v>376</v>
      </c>
      <c r="K58" s="3" t="s">
        <v>377</v>
      </c>
      <c r="L58" s="3">
        <v>-23.893000000000001</v>
      </c>
      <c r="M58" s="3">
        <v>-58.446399999999997</v>
      </c>
      <c r="N58" s="3"/>
      <c r="O58" s="3"/>
      <c r="P58" s="3">
        <v>764</v>
      </c>
      <c r="Q58" s="3">
        <v>10.9</v>
      </c>
      <c r="R58" s="3">
        <v>6.6639999999999997</v>
      </c>
      <c r="S58" s="3">
        <v>14.6</v>
      </c>
      <c r="T58" s="3">
        <v>1305</v>
      </c>
      <c r="U58" s="3">
        <v>0.6</v>
      </c>
      <c r="V58" s="3">
        <v>29.1</v>
      </c>
      <c r="W58" s="3">
        <v>0.41</v>
      </c>
      <c r="X58" s="3">
        <v>5.5</v>
      </c>
      <c r="Y58" s="3">
        <v>4.5</v>
      </c>
      <c r="Z58" s="3">
        <v>831</v>
      </c>
      <c r="AA58" s="3">
        <v>825.9</v>
      </c>
      <c r="AB58" s="3">
        <v>5.0999999999999996</v>
      </c>
      <c r="AC58" s="3">
        <v>15</v>
      </c>
      <c r="AD58" s="3">
        <v>120</v>
      </c>
      <c r="AE58" s="3">
        <v>0</v>
      </c>
      <c r="AF58" s="3">
        <v>39</v>
      </c>
      <c r="AG58" s="3">
        <v>277.3</v>
      </c>
      <c r="AH58" s="3">
        <v>127.47</v>
      </c>
      <c r="AI58" s="3">
        <v>47.2</v>
      </c>
      <c r="AJ58" s="3">
        <v>0.5</v>
      </c>
      <c r="AK58" s="3"/>
      <c r="AL58" s="3"/>
      <c r="AM58" s="3"/>
      <c r="AN58" s="3"/>
      <c r="AO58" s="3"/>
      <c r="AP58" s="3"/>
      <c r="AQ58" s="3">
        <v>3.18</v>
      </c>
      <c r="AR58" s="3"/>
      <c r="AS58" s="3">
        <v>0.48799999999999999</v>
      </c>
      <c r="AT58" s="3">
        <v>0.26600000000000001</v>
      </c>
      <c r="AU58" s="3">
        <v>0.19</v>
      </c>
      <c r="AV58" s="3">
        <v>0.79400000000000004</v>
      </c>
      <c r="AW58" s="3">
        <v>4.5</v>
      </c>
      <c r="AX58" s="3">
        <v>83.7</v>
      </c>
      <c r="AY58" s="3">
        <v>900</v>
      </c>
      <c r="AZ58" s="3">
        <v>280</v>
      </c>
      <c r="BA58" s="3"/>
      <c r="BB58" s="3"/>
      <c r="BC58" s="3"/>
      <c r="BD58" s="3">
        <v>28600</v>
      </c>
      <c r="BE58" s="3">
        <f t="shared" si="118"/>
        <v>0.1</v>
      </c>
      <c r="BF58" s="3">
        <f t="shared" si="136"/>
        <v>1</v>
      </c>
      <c r="BG58" s="3">
        <f t="shared" si="119"/>
        <v>0.1</v>
      </c>
      <c r="BH58" s="3">
        <f t="shared" si="128"/>
        <v>1</v>
      </c>
      <c r="BI58" s="3">
        <v>0.7</v>
      </c>
      <c r="BJ58" s="3">
        <v>36</v>
      </c>
      <c r="BK58" s="3">
        <f t="shared" si="137"/>
        <v>1</v>
      </c>
      <c r="BL58" s="3">
        <f t="shared" si="137"/>
        <v>1</v>
      </c>
      <c r="BM58" s="3">
        <f t="shared" si="137"/>
        <v>1</v>
      </c>
      <c r="BN58" s="3">
        <v>3</v>
      </c>
      <c r="BO58" s="3">
        <f t="shared" si="134"/>
        <v>0.1</v>
      </c>
      <c r="BP58" s="3">
        <v>0.2</v>
      </c>
      <c r="BQ58" s="3">
        <f t="shared" si="134"/>
        <v>0.1</v>
      </c>
      <c r="BR58" s="3">
        <f t="shared" si="123"/>
        <v>0.02</v>
      </c>
      <c r="BS58" s="3">
        <v>196</v>
      </c>
      <c r="BT58" s="3">
        <v>91</v>
      </c>
      <c r="BU58" s="3">
        <f t="shared" si="124"/>
        <v>1</v>
      </c>
      <c r="BV58" s="3">
        <f t="shared" si="124"/>
        <v>1</v>
      </c>
      <c r="BW58" s="3">
        <v>339</v>
      </c>
      <c r="BX58" s="3">
        <f t="shared" si="138"/>
        <v>10</v>
      </c>
      <c r="BY58" s="3">
        <f t="shared" si="138"/>
        <v>10</v>
      </c>
      <c r="BZ58" s="3">
        <f t="shared" si="138"/>
        <v>10</v>
      </c>
      <c r="CA58" s="3">
        <f t="shared" si="138"/>
        <v>10</v>
      </c>
      <c r="CB58" s="3">
        <f t="shared" si="140"/>
        <v>1</v>
      </c>
      <c r="CC58" s="3">
        <f t="shared" si="140"/>
        <v>1</v>
      </c>
      <c r="CD58" s="3">
        <f t="shared" si="140"/>
        <v>1</v>
      </c>
      <c r="CE58" s="3">
        <f t="shared" si="141"/>
        <v>0.05</v>
      </c>
      <c r="CF58" s="3">
        <v>837</v>
      </c>
      <c r="CG58" s="3">
        <v>426</v>
      </c>
      <c r="CH58" s="3">
        <f t="shared" si="144"/>
        <v>10</v>
      </c>
      <c r="CI58" s="3"/>
      <c r="CJ58" s="3">
        <f t="shared" si="142"/>
        <v>5.0000000000000001E-4</v>
      </c>
      <c r="CK58" s="3">
        <f t="shared" si="142"/>
        <v>5.0000000000000001E-4</v>
      </c>
      <c r="CL58" s="3">
        <f t="shared" si="143"/>
        <v>0.25</v>
      </c>
      <c r="CM58" s="3"/>
      <c r="CN58" s="3"/>
      <c r="CO58" s="3"/>
      <c r="CP58" s="3"/>
      <c r="CQ58" s="3"/>
      <c r="CR58" s="3"/>
      <c r="CS58" s="3">
        <v>65686.27</v>
      </c>
      <c r="CT58" s="3"/>
      <c r="CU58" s="3"/>
      <c r="CV58" s="3"/>
      <c r="CW58" s="3">
        <v>125686.27</v>
      </c>
      <c r="CX58" s="3">
        <v>59411.76</v>
      </c>
      <c r="CY58" s="3"/>
      <c r="CZ58" s="3"/>
      <c r="DA58" s="3"/>
    </row>
    <row r="59" spans="1:105" ht="15.75" customHeight="1" x14ac:dyDescent="0.25">
      <c r="A59" s="3" t="s">
        <v>174</v>
      </c>
      <c r="B59" s="3" t="s">
        <v>175</v>
      </c>
      <c r="C59" s="4" t="s">
        <v>371</v>
      </c>
      <c r="D59" s="4" t="s">
        <v>378</v>
      </c>
      <c r="E59" s="4" t="s">
        <v>368</v>
      </c>
      <c r="F59" s="3" t="s">
        <v>107</v>
      </c>
      <c r="G59" s="3" t="s">
        <v>108</v>
      </c>
      <c r="H59" s="3" t="s">
        <v>177</v>
      </c>
      <c r="J59" s="3" t="s">
        <v>379</v>
      </c>
      <c r="K59" s="3" t="s">
        <v>380</v>
      </c>
      <c r="L59" s="3">
        <v>-24.189599999999999</v>
      </c>
      <c r="M59" s="3">
        <v>-58.3003</v>
      </c>
      <c r="N59" s="3"/>
      <c r="O59" s="3"/>
      <c r="P59" s="3">
        <v>3860</v>
      </c>
      <c r="Q59" s="3">
        <v>94.7</v>
      </c>
      <c r="R59" s="3">
        <v>6.8470000000000004</v>
      </c>
      <c r="S59" s="3">
        <v>3.2</v>
      </c>
      <c r="T59" s="3">
        <v>259</v>
      </c>
      <c r="U59" s="3">
        <v>0</v>
      </c>
      <c r="V59" s="3">
        <v>27.6</v>
      </c>
      <c r="W59" s="3">
        <v>3.66</v>
      </c>
      <c r="X59" s="3">
        <v>47.1</v>
      </c>
      <c r="Y59" s="3">
        <v>36.83</v>
      </c>
      <c r="Z59" s="3">
        <v>192</v>
      </c>
      <c r="AA59" s="3">
        <v>170.6</v>
      </c>
      <c r="AB59" s="3">
        <v>21.4</v>
      </c>
      <c r="AC59" s="3">
        <v>125</v>
      </c>
      <c r="AD59" s="3">
        <v>41</v>
      </c>
      <c r="AE59" s="3">
        <v>0</v>
      </c>
      <c r="AF59" s="3">
        <v>28.1</v>
      </c>
      <c r="AG59" s="3">
        <v>39.799999999999997</v>
      </c>
      <c r="AH59" s="3">
        <v>28.47</v>
      </c>
      <c r="AI59" s="3">
        <v>14.8</v>
      </c>
      <c r="AJ59" s="3">
        <v>0.97</v>
      </c>
      <c r="AK59" s="3"/>
      <c r="AL59" s="3"/>
      <c r="AM59" s="3"/>
      <c r="AN59" s="3"/>
      <c r="AO59" s="3"/>
      <c r="AP59" s="3"/>
      <c r="AQ59" s="3">
        <v>2.62</v>
      </c>
      <c r="AR59" s="3"/>
      <c r="AS59" s="3">
        <v>8.7999999999999995E-2</v>
      </c>
      <c r="AT59" s="3">
        <v>4.7E-2</v>
      </c>
      <c r="AU59" s="3">
        <v>1.19</v>
      </c>
      <c r="AV59" s="3">
        <v>0.17899999999999999</v>
      </c>
      <c r="AW59" s="3">
        <v>3.7</v>
      </c>
      <c r="AX59" s="3">
        <v>40.049999999999997</v>
      </c>
      <c r="AY59" s="3">
        <v>14000</v>
      </c>
      <c r="AZ59" s="3">
        <v>4600</v>
      </c>
      <c r="BA59" s="3"/>
      <c r="BB59" s="3"/>
      <c r="BC59" s="3"/>
      <c r="BD59" s="3">
        <v>27500</v>
      </c>
      <c r="BE59" s="3">
        <f t="shared" si="118"/>
        <v>0.1</v>
      </c>
      <c r="BF59" s="3">
        <f t="shared" si="136"/>
        <v>1</v>
      </c>
      <c r="BG59" s="3">
        <f t="shared" si="119"/>
        <v>0.1</v>
      </c>
      <c r="BH59" s="3">
        <f t="shared" si="128"/>
        <v>1</v>
      </c>
      <c r="BI59" s="3">
        <v>0.9</v>
      </c>
      <c r="BJ59" s="3">
        <v>50</v>
      </c>
      <c r="BK59" s="3">
        <f t="shared" si="137"/>
        <v>1</v>
      </c>
      <c r="BL59" s="3">
        <f t="shared" si="137"/>
        <v>1</v>
      </c>
      <c r="BM59" s="3">
        <f t="shared" si="137"/>
        <v>1</v>
      </c>
      <c r="BN59" s="3">
        <v>2</v>
      </c>
      <c r="BO59" s="3">
        <f t="shared" si="134"/>
        <v>0.1</v>
      </c>
      <c r="BP59" s="3">
        <v>0.3</v>
      </c>
      <c r="BQ59" s="3">
        <f t="shared" si="134"/>
        <v>0.1</v>
      </c>
      <c r="BR59" s="3">
        <f t="shared" si="123"/>
        <v>0.02</v>
      </c>
      <c r="BS59" s="3">
        <v>610</v>
      </c>
      <c r="BT59" s="3">
        <v>76</v>
      </c>
      <c r="BU59" s="3">
        <f t="shared" si="124"/>
        <v>1</v>
      </c>
      <c r="BV59" s="3">
        <f t="shared" si="124"/>
        <v>1</v>
      </c>
      <c r="BW59" s="3">
        <v>57</v>
      </c>
      <c r="BX59" s="3">
        <f t="shared" si="138"/>
        <v>10</v>
      </c>
      <c r="BY59" s="3">
        <f t="shared" si="138"/>
        <v>10</v>
      </c>
      <c r="BZ59" s="3">
        <f t="shared" si="138"/>
        <v>10</v>
      </c>
      <c r="CA59" s="3">
        <f t="shared" si="138"/>
        <v>10</v>
      </c>
      <c r="CB59" s="3">
        <f t="shared" si="140"/>
        <v>1</v>
      </c>
      <c r="CC59" s="3">
        <f t="shared" si="140"/>
        <v>1</v>
      </c>
      <c r="CD59" s="3">
        <f t="shared" si="140"/>
        <v>1</v>
      </c>
      <c r="CE59" s="3">
        <f t="shared" si="141"/>
        <v>0.05</v>
      </c>
      <c r="CF59" s="3">
        <v>2076</v>
      </c>
      <c r="CG59" s="3">
        <v>73</v>
      </c>
      <c r="CH59" s="3">
        <f t="shared" si="144"/>
        <v>10</v>
      </c>
      <c r="CI59" s="3"/>
      <c r="CJ59" s="3">
        <f t="shared" si="142"/>
        <v>5.0000000000000001E-4</v>
      </c>
      <c r="CK59" s="3">
        <f t="shared" si="142"/>
        <v>5.0000000000000001E-4</v>
      </c>
      <c r="CL59" s="3">
        <f t="shared" si="143"/>
        <v>0.25</v>
      </c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>
        <v>68504.67</v>
      </c>
      <c r="CX59" s="3">
        <v>327.10000000000002</v>
      </c>
      <c r="CY59" s="3"/>
      <c r="CZ59" s="3"/>
      <c r="DA59" s="3"/>
    </row>
    <row r="60" spans="1:105" ht="15.75" customHeight="1" x14ac:dyDescent="0.25">
      <c r="A60" s="3" t="s">
        <v>180</v>
      </c>
      <c r="B60" s="3" t="s">
        <v>181</v>
      </c>
      <c r="C60" s="4" t="s">
        <v>381</v>
      </c>
      <c r="D60" s="4" t="s">
        <v>280</v>
      </c>
      <c r="E60" s="4" t="s">
        <v>368</v>
      </c>
      <c r="F60" s="3" t="s">
        <v>107</v>
      </c>
      <c r="G60" s="3" t="s">
        <v>108</v>
      </c>
      <c r="H60" s="3" t="s">
        <v>109</v>
      </c>
      <c r="I60" s="3" t="s">
        <v>184</v>
      </c>
      <c r="J60" s="3" t="s">
        <v>382</v>
      </c>
      <c r="K60" s="3" t="s">
        <v>383</v>
      </c>
      <c r="L60" s="3">
        <v>-25.264500000000002</v>
      </c>
      <c r="M60" s="3">
        <v>-57.724800000000002</v>
      </c>
      <c r="N60" s="3"/>
      <c r="O60" s="3"/>
      <c r="P60" s="3">
        <v>818</v>
      </c>
      <c r="Q60" s="3">
        <v>129.5</v>
      </c>
      <c r="R60" s="3">
        <v>7.1130000000000004</v>
      </c>
      <c r="S60" s="3">
        <v>-11.8</v>
      </c>
      <c r="T60" s="3">
        <v>1225</v>
      </c>
      <c r="U60" s="3">
        <v>0.6</v>
      </c>
      <c r="V60" s="3">
        <v>28.3</v>
      </c>
      <c r="W60" s="3">
        <v>4.96</v>
      </c>
      <c r="X60" s="3">
        <v>64.400000000000006</v>
      </c>
      <c r="Y60" s="3">
        <v>47.6</v>
      </c>
      <c r="Z60" s="3">
        <v>784</v>
      </c>
      <c r="AA60" s="3">
        <v>712.8</v>
      </c>
      <c r="AB60" s="3">
        <v>71.2</v>
      </c>
      <c r="AC60" s="3">
        <v>175</v>
      </c>
      <c r="AD60" s="3">
        <v>95</v>
      </c>
      <c r="AE60" s="3">
        <v>0</v>
      </c>
      <c r="AF60" s="3">
        <v>50.96</v>
      </c>
      <c r="AG60" s="3">
        <v>261.5</v>
      </c>
      <c r="AH60" s="3">
        <v>120.1</v>
      </c>
      <c r="AI60" s="3">
        <v>36</v>
      </c>
      <c r="AJ60" s="3">
        <v>1.22</v>
      </c>
      <c r="AK60" s="3"/>
      <c r="AL60" s="3"/>
      <c r="AM60" s="3"/>
      <c r="AN60" s="3"/>
      <c r="AO60" s="3"/>
      <c r="AP60" s="3"/>
      <c r="AQ60" s="3">
        <v>0.97</v>
      </c>
      <c r="AR60" s="3"/>
      <c r="AS60" s="3">
        <v>0.23</v>
      </c>
      <c r="AT60" s="3">
        <v>7.2999999999999995E-2</v>
      </c>
      <c r="AU60" s="3">
        <v>1.21</v>
      </c>
      <c r="AV60" s="3">
        <v>0.51600000000000001</v>
      </c>
      <c r="AW60" s="3">
        <v>2.2999999999999998</v>
      </c>
      <c r="AX60" s="3">
        <v>64.23</v>
      </c>
      <c r="AY60" s="3">
        <v>25600</v>
      </c>
      <c r="AZ60" s="3">
        <v>18000</v>
      </c>
      <c r="BA60" s="3"/>
      <c r="BB60" s="3"/>
      <c r="BC60" s="3"/>
      <c r="BD60" s="3">
        <v>52800</v>
      </c>
      <c r="BE60" s="3">
        <f t="shared" si="118"/>
        <v>0.1</v>
      </c>
      <c r="BF60" s="3">
        <f t="shared" si="136"/>
        <v>1</v>
      </c>
      <c r="BG60" s="3">
        <f t="shared" si="119"/>
        <v>0.1</v>
      </c>
      <c r="BH60" s="3">
        <f t="shared" si="128"/>
        <v>1</v>
      </c>
      <c r="BI60" s="3">
        <v>0.8</v>
      </c>
      <c r="BJ60" s="3">
        <v>34</v>
      </c>
      <c r="BK60" s="3">
        <v>4</v>
      </c>
      <c r="BL60" s="3">
        <v>6</v>
      </c>
      <c r="BM60" s="3">
        <v>3</v>
      </c>
      <c r="BN60" s="3">
        <v>6</v>
      </c>
      <c r="BO60" s="3">
        <f t="shared" si="134"/>
        <v>0.1</v>
      </c>
      <c r="BP60" s="3">
        <f t="shared" si="134"/>
        <v>0.1</v>
      </c>
      <c r="BQ60" s="3">
        <f t="shared" si="134"/>
        <v>0.1</v>
      </c>
      <c r="BR60" s="3">
        <f t="shared" si="123"/>
        <v>0.02</v>
      </c>
      <c r="BS60" s="3">
        <v>229</v>
      </c>
      <c r="BT60" s="3">
        <v>1628</v>
      </c>
      <c r="BU60" s="3">
        <v>5</v>
      </c>
      <c r="BV60" s="3">
        <v>2</v>
      </c>
      <c r="BW60" s="3">
        <v>188</v>
      </c>
      <c r="BX60" s="3">
        <f t="shared" si="138"/>
        <v>10</v>
      </c>
      <c r="BY60" s="3">
        <f t="shared" si="138"/>
        <v>10</v>
      </c>
      <c r="BZ60" s="3">
        <f t="shared" si="138"/>
        <v>10</v>
      </c>
      <c r="CA60" s="3">
        <f t="shared" si="138"/>
        <v>10</v>
      </c>
      <c r="CB60" s="3">
        <f t="shared" si="140"/>
        <v>1</v>
      </c>
      <c r="CC60" s="3">
        <f t="shared" si="140"/>
        <v>1</v>
      </c>
      <c r="CD60" s="3">
        <f t="shared" si="140"/>
        <v>1</v>
      </c>
      <c r="CE60" s="3">
        <f t="shared" si="141"/>
        <v>0.05</v>
      </c>
      <c r="CF60" s="3">
        <v>2926</v>
      </c>
      <c r="CG60" s="3">
        <v>186</v>
      </c>
      <c r="CH60" s="3">
        <f t="shared" si="144"/>
        <v>10</v>
      </c>
      <c r="CI60" s="3"/>
      <c r="CJ60" s="3">
        <f t="shared" si="142"/>
        <v>5.0000000000000001E-4</v>
      </c>
      <c r="CK60" s="3">
        <f t="shared" si="142"/>
        <v>5.0000000000000001E-4</v>
      </c>
      <c r="CL60" s="3">
        <f t="shared" si="143"/>
        <v>0.25</v>
      </c>
      <c r="CM60" s="3"/>
      <c r="CN60" s="3"/>
      <c r="CO60" s="3"/>
      <c r="CP60" s="3"/>
      <c r="CQ60" s="3"/>
      <c r="CR60" s="3"/>
      <c r="CS60" s="3"/>
      <c r="CT60" s="3"/>
      <c r="CU60" s="3"/>
      <c r="CV60" s="3">
        <v>16.850000000000001</v>
      </c>
      <c r="CW60" s="3">
        <v>37879.21</v>
      </c>
      <c r="CX60" s="3">
        <v>2162.92</v>
      </c>
      <c r="CY60" s="3"/>
      <c r="CZ60" s="3"/>
      <c r="DA60" s="3"/>
    </row>
    <row r="61" spans="1:105" ht="15.75" customHeight="1" x14ac:dyDescent="0.25">
      <c r="A61" s="3" t="s">
        <v>384</v>
      </c>
      <c r="B61" s="3" t="s">
        <v>385</v>
      </c>
      <c r="C61" s="4" t="s">
        <v>381</v>
      </c>
      <c r="D61" s="4" t="s">
        <v>386</v>
      </c>
      <c r="E61" s="4" t="s">
        <v>368</v>
      </c>
      <c r="F61" s="3" t="s">
        <v>107</v>
      </c>
      <c r="G61" s="3" t="s">
        <v>108</v>
      </c>
      <c r="H61" s="3" t="s">
        <v>387</v>
      </c>
      <c r="I61" s="3" t="s">
        <v>388</v>
      </c>
      <c r="J61" s="3" t="s">
        <v>389</v>
      </c>
      <c r="K61" s="3" t="s">
        <v>390</v>
      </c>
      <c r="L61" s="3">
        <v>-25.265499999999999</v>
      </c>
      <c r="M61" s="3">
        <v>-57.728700000000003</v>
      </c>
      <c r="N61" s="3"/>
      <c r="O61" s="3"/>
      <c r="P61" s="3">
        <v>175.5</v>
      </c>
      <c r="Q61" s="3">
        <v>174.8</v>
      </c>
      <c r="R61" s="3">
        <v>7.9969999999999999</v>
      </c>
      <c r="S61" s="3">
        <v>-63.8</v>
      </c>
      <c r="T61" s="3">
        <v>5690</v>
      </c>
      <c r="U61" s="3">
        <v>3.1</v>
      </c>
      <c r="V61" s="3">
        <v>27.1</v>
      </c>
      <c r="W61" s="3">
        <v>6.8</v>
      </c>
      <c r="X61" s="3">
        <v>86.9</v>
      </c>
      <c r="Y61" s="3">
        <v>88.6</v>
      </c>
      <c r="Z61" s="3">
        <v>4062</v>
      </c>
      <c r="AA61" s="3">
        <v>3832.5</v>
      </c>
      <c r="AB61" s="3">
        <v>229.5</v>
      </c>
      <c r="AC61" s="3">
        <v>50</v>
      </c>
      <c r="AD61" s="3">
        <v>625</v>
      </c>
      <c r="AE61" s="3">
        <v>10.4</v>
      </c>
      <c r="AF61" s="3">
        <v>231.92</v>
      </c>
      <c r="AG61" s="3">
        <v>888.5</v>
      </c>
      <c r="AH61" s="3">
        <v>1893.6</v>
      </c>
      <c r="AI61" s="3">
        <v>202</v>
      </c>
      <c r="AJ61" s="3">
        <v>29.18</v>
      </c>
      <c r="AK61" s="3"/>
      <c r="AL61" s="3"/>
      <c r="AM61" s="3"/>
      <c r="AN61" s="3"/>
      <c r="AO61" s="3"/>
      <c r="AP61" s="3"/>
      <c r="AQ61" s="3">
        <v>1.74</v>
      </c>
      <c r="AR61" s="3"/>
      <c r="AS61" s="3">
        <v>0.17399999999999999</v>
      </c>
      <c r="AT61" s="3">
        <v>6.9000000000000006E-2</v>
      </c>
      <c r="AU61" s="3">
        <f>0.5*0.044</f>
        <v>2.1999999999999999E-2</v>
      </c>
      <c r="AV61" s="3">
        <v>1.1120000000000001</v>
      </c>
      <c r="AW61" s="3">
        <v>2</v>
      </c>
      <c r="AX61" s="3">
        <v>96.35</v>
      </c>
      <c r="AY61" s="3">
        <v>76000</v>
      </c>
      <c r="AZ61" s="3">
        <v>7200</v>
      </c>
      <c r="BA61" s="3"/>
      <c r="BB61" s="3"/>
      <c r="BC61" s="3"/>
      <c r="BD61" s="3">
        <v>66000</v>
      </c>
      <c r="BE61" s="3">
        <f t="shared" si="118"/>
        <v>0.1</v>
      </c>
      <c r="BF61" s="3">
        <f t="shared" si="136"/>
        <v>1</v>
      </c>
      <c r="BG61" s="3">
        <f t="shared" si="119"/>
        <v>0.1</v>
      </c>
      <c r="BH61" s="3">
        <f t="shared" si="128"/>
        <v>1</v>
      </c>
      <c r="BI61" s="3">
        <v>1</v>
      </c>
      <c r="BJ61" s="3">
        <v>25</v>
      </c>
      <c r="BK61" s="3">
        <v>2</v>
      </c>
      <c r="BL61" s="3">
        <v>3</v>
      </c>
      <c r="BM61" s="3">
        <f>0.5*2</f>
        <v>1</v>
      </c>
      <c r="BN61" s="3">
        <v>4</v>
      </c>
      <c r="BO61" s="3">
        <f t="shared" si="134"/>
        <v>0.1</v>
      </c>
      <c r="BP61" s="3">
        <f t="shared" si="134"/>
        <v>0.1</v>
      </c>
      <c r="BQ61" s="3">
        <f t="shared" si="134"/>
        <v>0.1</v>
      </c>
      <c r="BR61" s="3">
        <f t="shared" si="123"/>
        <v>0.02</v>
      </c>
      <c r="BS61" s="3">
        <v>208</v>
      </c>
      <c r="BT61" s="3">
        <v>775</v>
      </c>
      <c r="BU61" s="3">
        <f t="shared" ref="BU61:BU69" si="145">0.5*2</f>
        <v>1</v>
      </c>
      <c r="BV61" s="3">
        <v>12</v>
      </c>
      <c r="BW61" s="3">
        <v>274</v>
      </c>
      <c r="BX61" s="3">
        <f t="shared" si="138"/>
        <v>10</v>
      </c>
      <c r="BY61" s="3">
        <f t="shared" si="138"/>
        <v>10</v>
      </c>
      <c r="BZ61" s="3">
        <v>23</v>
      </c>
      <c r="CA61" s="3">
        <f t="shared" si="138"/>
        <v>10</v>
      </c>
      <c r="CB61" s="3">
        <f t="shared" si="140"/>
        <v>1</v>
      </c>
      <c r="CC61" s="3">
        <v>3</v>
      </c>
      <c r="CD61" s="3">
        <f>0.5*2</f>
        <v>1</v>
      </c>
      <c r="CE61" s="3">
        <f t="shared" si="141"/>
        <v>0.05</v>
      </c>
      <c r="CF61" s="3">
        <v>5701</v>
      </c>
      <c r="CG61" s="3">
        <v>2935</v>
      </c>
      <c r="CH61" s="3">
        <f t="shared" si="144"/>
        <v>10</v>
      </c>
      <c r="CI61" s="3"/>
      <c r="CJ61" s="3">
        <f t="shared" si="142"/>
        <v>5.0000000000000001E-4</v>
      </c>
      <c r="CK61" s="3">
        <f t="shared" si="142"/>
        <v>5.0000000000000001E-4</v>
      </c>
      <c r="CL61" s="3">
        <f t="shared" si="143"/>
        <v>0.25</v>
      </c>
      <c r="CM61" s="3"/>
      <c r="CN61" s="3"/>
      <c r="CO61" s="3">
        <v>100.22</v>
      </c>
      <c r="CP61" s="3"/>
      <c r="CQ61" s="3"/>
      <c r="CR61" s="3"/>
      <c r="CS61" s="3">
        <v>9411.76</v>
      </c>
      <c r="CT61" s="3"/>
      <c r="CU61" s="3"/>
      <c r="CV61" s="3">
        <v>47.93</v>
      </c>
      <c r="CW61" s="3">
        <v>23934.639999999999</v>
      </c>
      <c r="CX61" s="3">
        <v>1084.97</v>
      </c>
      <c r="CY61" s="3"/>
      <c r="CZ61" s="3"/>
      <c r="DA61" s="3"/>
    </row>
    <row r="62" spans="1:105" ht="15.75" customHeight="1" x14ac:dyDescent="0.25">
      <c r="A62" s="3" t="s">
        <v>187</v>
      </c>
      <c r="B62" s="3" t="s">
        <v>188</v>
      </c>
      <c r="C62" s="4" t="s">
        <v>381</v>
      </c>
      <c r="D62" s="4" t="s">
        <v>170</v>
      </c>
      <c r="E62" s="4" t="s">
        <v>368</v>
      </c>
      <c r="F62" s="3" t="s">
        <v>107</v>
      </c>
      <c r="G62" s="3" t="s">
        <v>108</v>
      </c>
      <c r="H62" s="3" t="s">
        <v>171</v>
      </c>
      <c r="J62" s="3" t="s">
        <v>391</v>
      </c>
      <c r="K62" s="3" t="s">
        <v>392</v>
      </c>
      <c r="L62" s="3">
        <v>-25.7883</v>
      </c>
      <c r="M62" s="3">
        <v>-58.021500000000003</v>
      </c>
      <c r="N62" s="3"/>
      <c r="O62" s="3"/>
      <c r="P62" s="3">
        <v>398</v>
      </c>
      <c r="Q62" s="3">
        <v>176.6</v>
      </c>
      <c r="R62" s="3">
        <v>7.8140000000000001</v>
      </c>
      <c r="S62" s="3">
        <v>-52.9</v>
      </c>
      <c r="T62" s="3">
        <v>2510</v>
      </c>
      <c r="U62" s="3">
        <v>1.3</v>
      </c>
      <c r="V62" s="3">
        <v>26.4</v>
      </c>
      <c r="W62" s="3">
        <v>6.93</v>
      </c>
      <c r="X62" s="3">
        <v>87.4</v>
      </c>
      <c r="Y62" s="3">
        <v>37.5</v>
      </c>
      <c r="Z62" s="3">
        <v>1611</v>
      </c>
      <c r="AA62" s="3">
        <v>1564.2</v>
      </c>
      <c r="AB62" s="3">
        <v>46.8</v>
      </c>
      <c r="AC62" s="3">
        <v>80</v>
      </c>
      <c r="AD62" s="3">
        <v>280</v>
      </c>
      <c r="AE62" s="3">
        <v>0</v>
      </c>
      <c r="AF62" s="3">
        <v>135.19999999999999</v>
      </c>
      <c r="AG62" s="3">
        <v>386.7</v>
      </c>
      <c r="AH62" s="3">
        <v>506.3</v>
      </c>
      <c r="AI62" s="3">
        <v>88</v>
      </c>
      <c r="AJ62" s="3">
        <v>14.59</v>
      </c>
      <c r="AK62" s="3"/>
      <c r="AL62" s="3"/>
      <c r="AM62" s="3"/>
      <c r="AN62" s="3"/>
      <c r="AO62" s="3"/>
      <c r="AP62" s="3"/>
      <c r="AQ62" s="3">
        <v>1.74</v>
      </c>
      <c r="AR62" s="3"/>
      <c r="AS62" s="3">
        <v>0.13400000000000001</v>
      </c>
      <c r="AT62" s="3">
        <v>0.08</v>
      </c>
      <c r="AU62" s="3">
        <v>0.7</v>
      </c>
      <c r="AV62" s="3">
        <v>1.018</v>
      </c>
      <c r="AW62" s="3">
        <v>2.76</v>
      </c>
      <c r="AX62" s="3">
        <v>84.67</v>
      </c>
      <c r="AY62" s="3">
        <v>28000</v>
      </c>
      <c r="AZ62" s="3">
        <v>40</v>
      </c>
      <c r="BA62" s="3"/>
      <c r="BB62" s="3"/>
      <c r="BC62" s="3"/>
      <c r="BD62" s="3">
        <v>55000</v>
      </c>
      <c r="BE62" s="3">
        <f t="shared" si="118"/>
        <v>0.1</v>
      </c>
      <c r="BF62" s="3">
        <f t="shared" si="136"/>
        <v>1</v>
      </c>
      <c r="BG62" s="3">
        <f t="shared" si="119"/>
        <v>0.1</v>
      </c>
      <c r="BH62" s="3">
        <f t="shared" si="128"/>
        <v>1</v>
      </c>
      <c r="BI62" s="3">
        <v>0.6</v>
      </c>
      <c r="BJ62" s="3">
        <v>67</v>
      </c>
      <c r="BK62" s="3">
        <v>3</v>
      </c>
      <c r="BL62" s="3">
        <f t="shared" ref="BL62:BM63" si="146">0.5*2</f>
        <v>1</v>
      </c>
      <c r="BM62" s="3">
        <f t="shared" si="146"/>
        <v>1</v>
      </c>
      <c r="BN62" s="3">
        <v>5</v>
      </c>
      <c r="BO62" s="3">
        <f t="shared" si="134"/>
        <v>0.1</v>
      </c>
      <c r="BP62" s="3">
        <f t="shared" si="134"/>
        <v>0.1</v>
      </c>
      <c r="BQ62" s="3">
        <f t="shared" si="134"/>
        <v>0.1</v>
      </c>
      <c r="BR62" s="3">
        <f t="shared" si="123"/>
        <v>0.02</v>
      </c>
      <c r="BS62" s="3">
        <v>170</v>
      </c>
      <c r="BT62" s="3">
        <v>1022</v>
      </c>
      <c r="BU62" s="3">
        <f t="shared" si="145"/>
        <v>1</v>
      </c>
      <c r="BV62" s="3">
        <f>0.5*2</f>
        <v>1</v>
      </c>
      <c r="BW62" s="3">
        <v>83</v>
      </c>
      <c r="BX62" s="3">
        <f t="shared" si="138"/>
        <v>10</v>
      </c>
      <c r="BY62" s="3">
        <f t="shared" si="138"/>
        <v>10</v>
      </c>
      <c r="BZ62" s="3">
        <v>21</v>
      </c>
      <c r="CA62" s="3">
        <f t="shared" si="138"/>
        <v>10</v>
      </c>
      <c r="CB62" s="3">
        <f t="shared" si="140"/>
        <v>1</v>
      </c>
      <c r="CC62" s="3">
        <f t="shared" si="140"/>
        <v>1</v>
      </c>
      <c r="CD62" s="3">
        <f t="shared" si="140"/>
        <v>1</v>
      </c>
      <c r="CE62" s="3">
        <f t="shared" si="141"/>
        <v>0.05</v>
      </c>
      <c r="CF62" s="3">
        <v>1871</v>
      </c>
      <c r="CG62" s="3">
        <v>807</v>
      </c>
      <c r="CH62" s="3">
        <f t="shared" si="144"/>
        <v>10</v>
      </c>
      <c r="CI62" s="3"/>
      <c r="CJ62" s="3">
        <f t="shared" si="142"/>
        <v>5.0000000000000001E-4</v>
      </c>
      <c r="CK62" s="3">
        <f t="shared" si="142"/>
        <v>5.0000000000000001E-4</v>
      </c>
      <c r="CL62" s="3">
        <f t="shared" si="143"/>
        <v>0.25</v>
      </c>
      <c r="CM62" s="3"/>
      <c r="CN62" s="3"/>
      <c r="CO62" s="3">
        <v>448.72</v>
      </c>
      <c r="CP62" s="3"/>
      <c r="CQ62" s="3"/>
      <c r="CR62" s="3"/>
      <c r="CS62" s="3"/>
      <c r="CT62" s="3"/>
      <c r="CU62" s="3"/>
      <c r="CV62" s="3"/>
      <c r="CW62" s="3">
        <v>36346.15</v>
      </c>
      <c r="CX62" s="3">
        <v>341.88</v>
      </c>
      <c r="CY62" s="3"/>
      <c r="CZ62" s="3"/>
      <c r="DA62" s="3"/>
    </row>
    <row r="63" spans="1:105" ht="15.75" customHeight="1" x14ac:dyDescent="0.25">
      <c r="A63" s="3" t="s">
        <v>198</v>
      </c>
      <c r="B63" s="3" t="s">
        <v>199</v>
      </c>
      <c r="C63" s="4" t="s">
        <v>393</v>
      </c>
      <c r="D63" s="4" t="s">
        <v>394</v>
      </c>
      <c r="E63" s="4" t="s">
        <v>395</v>
      </c>
      <c r="F63" s="3" t="s">
        <v>107</v>
      </c>
      <c r="G63" s="3" t="s">
        <v>108</v>
      </c>
      <c r="H63" s="3" t="s">
        <v>202</v>
      </c>
      <c r="I63" s="3" t="s">
        <v>203</v>
      </c>
      <c r="J63" s="3" t="s">
        <v>396</v>
      </c>
      <c r="K63" s="3" t="s">
        <v>397</v>
      </c>
      <c r="L63" s="3">
        <v>-21.1523</v>
      </c>
      <c r="M63" s="3">
        <v>-64.233400000000003</v>
      </c>
      <c r="N63" s="3">
        <v>0.59599999999999997</v>
      </c>
      <c r="O63" s="3">
        <v>4</v>
      </c>
      <c r="P63" s="3">
        <v>791</v>
      </c>
      <c r="Q63" s="3">
        <v>189</v>
      </c>
      <c r="R63" s="3">
        <v>8.5950000000000006</v>
      </c>
      <c r="S63" s="3">
        <v>-99.8</v>
      </c>
      <c r="T63" s="3">
        <v>1263</v>
      </c>
      <c r="U63" s="3">
        <v>0.6</v>
      </c>
      <c r="V63" s="3">
        <v>28.1</v>
      </c>
      <c r="W63" s="3">
        <v>7.22</v>
      </c>
      <c r="X63" s="3">
        <v>103.5</v>
      </c>
      <c r="Y63" s="3">
        <v>496.8</v>
      </c>
      <c r="Z63" s="3">
        <v>1343</v>
      </c>
      <c r="AA63" s="3">
        <v>990</v>
      </c>
      <c r="AB63" s="3">
        <v>343</v>
      </c>
      <c r="AC63" s="3">
        <v>35.5</v>
      </c>
      <c r="AD63" s="3">
        <v>1147</v>
      </c>
      <c r="AE63" s="3">
        <v>34.96</v>
      </c>
      <c r="AF63" s="3">
        <v>155.38999999999999</v>
      </c>
      <c r="AG63" s="3">
        <v>323.60000000000002</v>
      </c>
      <c r="AH63" s="3">
        <v>195.4</v>
      </c>
      <c r="AI63" s="3">
        <v>111</v>
      </c>
      <c r="AJ63" s="3">
        <v>60.8</v>
      </c>
      <c r="AK63" s="3">
        <v>93</v>
      </c>
      <c r="AL63" s="3">
        <v>5.7</v>
      </c>
      <c r="AM63" s="3">
        <v>138</v>
      </c>
      <c r="AN63" s="3">
        <v>62</v>
      </c>
      <c r="AO63" s="3">
        <v>227</v>
      </c>
      <c r="AP63" s="3">
        <v>19.600000000000001</v>
      </c>
      <c r="AQ63" s="3">
        <v>1.2</v>
      </c>
      <c r="AR63" s="3">
        <v>0.43</v>
      </c>
      <c r="AS63" s="3">
        <v>1.46</v>
      </c>
      <c r="AT63" s="3">
        <v>6.27</v>
      </c>
      <c r="AU63" s="3">
        <v>2.63</v>
      </c>
      <c r="AV63" s="3">
        <v>3.02</v>
      </c>
      <c r="AW63" s="3">
        <v>17</v>
      </c>
      <c r="AX63" s="3">
        <v>64</v>
      </c>
      <c r="AY63" s="3"/>
      <c r="AZ63" s="3"/>
      <c r="BA63" s="3"/>
      <c r="BB63" s="3">
        <v>11000</v>
      </c>
      <c r="BC63" s="3">
        <v>1500</v>
      </c>
      <c r="BD63" s="3">
        <v>3500</v>
      </c>
      <c r="BE63" s="3"/>
      <c r="BF63" s="3">
        <f t="shared" si="136"/>
        <v>1</v>
      </c>
      <c r="BG63" s="3">
        <f t="shared" si="119"/>
        <v>0.1</v>
      </c>
      <c r="BH63" s="3">
        <f t="shared" si="128"/>
        <v>1</v>
      </c>
      <c r="BI63" s="3">
        <v>1</v>
      </c>
      <c r="BJ63" s="3">
        <f>0.5*2</f>
        <v>1</v>
      </c>
      <c r="BK63" s="3">
        <v>3</v>
      </c>
      <c r="BL63" s="3">
        <f t="shared" si="146"/>
        <v>1</v>
      </c>
      <c r="BM63" s="3">
        <f t="shared" si="146"/>
        <v>1</v>
      </c>
      <c r="BN63" s="3">
        <v>3</v>
      </c>
      <c r="BO63" s="3">
        <f t="shared" si="134"/>
        <v>0.1</v>
      </c>
      <c r="BP63" s="3">
        <f t="shared" si="134"/>
        <v>0.1</v>
      </c>
      <c r="BQ63" s="3">
        <f t="shared" si="134"/>
        <v>0.1</v>
      </c>
      <c r="BR63" s="3">
        <f t="shared" si="123"/>
        <v>0.02</v>
      </c>
      <c r="BS63" s="3">
        <v>149</v>
      </c>
      <c r="BT63" s="3">
        <v>414</v>
      </c>
      <c r="BU63" s="3">
        <f t="shared" si="145"/>
        <v>1</v>
      </c>
      <c r="BV63" s="3">
        <v>8</v>
      </c>
      <c r="BW63" s="3">
        <v>266</v>
      </c>
      <c r="BX63" s="3">
        <f t="shared" si="138"/>
        <v>10</v>
      </c>
      <c r="BY63" s="3">
        <f t="shared" si="138"/>
        <v>10</v>
      </c>
      <c r="BZ63" s="3">
        <v>20</v>
      </c>
      <c r="CA63" s="3">
        <f t="shared" si="138"/>
        <v>10</v>
      </c>
      <c r="CB63" s="3">
        <f t="shared" si="140"/>
        <v>1</v>
      </c>
      <c r="CC63" s="3">
        <v>16</v>
      </c>
      <c r="CD63" s="3">
        <f t="shared" si="140"/>
        <v>1</v>
      </c>
      <c r="CE63" s="3">
        <f t="shared" si="141"/>
        <v>0.05</v>
      </c>
      <c r="CF63" s="3">
        <v>11159</v>
      </c>
      <c r="CG63" s="3">
        <v>1022</v>
      </c>
      <c r="CH63" s="3">
        <f t="shared" si="144"/>
        <v>10</v>
      </c>
      <c r="CI63" s="3">
        <f t="shared" ref="CI63:CI65" si="147">0.5*0.02</f>
        <v>0.01</v>
      </c>
      <c r="CJ63" s="3">
        <f t="shared" ref="CJ63:CJ65" si="148">0.5*1</f>
        <v>0.5</v>
      </c>
      <c r="CK63" s="3"/>
      <c r="CL63" s="3"/>
      <c r="CM63" s="3"/>
      <c r="CN63" s="3"/>
      <c r="CO63" s="3">
        <v>58.31</v>
      </c>
      <c r="CP63" s="3">
        <v>30.03</v>
      </c>
      <c r="CQ63" s="3"/>
      <c r="CR63" s="3"/>
      <c r="CS63" s="3">
        <v>1772.59</v>
      </c>
      <c r="CT63" s="3"/>
      <c r="CU63" s="3"/>
      <c r="CV63" s="3">
        <v>20.41</v>
      </c>
      <c r="CW63" s="3">
        <v>32099.13</v>
      </c>
      <c r="CX63" s="3">
        <v>775.51</v>
      </c>
      <c r="CY63" s="3"/>
      <c r="CZ63" s="3"/>
      <c r="DA63" s="3"/>
    </row>
    <row r="64" spans="1:105" ht="15.75" customHeight="1" x14ac:dyDescent="0.25">
      <c r="A64" s="3" t="s">
        <v>206</v>
      </c>
      <c r="B64" s="3" t="s">
        <v>207</v>
      </c>
      <c r="C64" s="4" t="s">
        <v>393</v>
      </c>
      <c r="D64" s="4" t="s">
        <v>208</v>
      </c>
      <c r="E64" s="4" t="s">
        <v>395</v>
      </c>
      <c r="F64" s="3" t="s">
        <v>107</v>
      </c>
      <c r="G64" s="3" t="s">
        <v>108</v>
      </c>
      <c r="H64" s="3" t="s">
        <v>109</v>
      </c>
      <c r="I64" s="3" t="s">
        <v>110</v>
      </c>
      <c r="J64" s="3" t="s">
        <v>398</v>
      </c>
      <c r="K64" s="3" t="s">
        <v>399</v>
      </c>
      <c r="L64" s="3">
        <v>-20.913599999999999</v>
      </c>
      <c r="M64" s="3">
        <v>-64.110500000000002</v>
      </c>
      <c r="N64" s="3">
        <v>0.27800000000000002</v>
      </c>
      <c r="O64" s="3">
        <v>18</v>
      </c>
      <c r="P64" s="3">
        <v>776</v>
      </c>
      <c r="Q64" s="3">
        <v>179.4</v>
      </c>
      <c r="R64" s="3">
        <v>8.35</v>
      </c>
      <c r="S64" s="3">
        <v>-84.4</v>
      </c>
      <c r="T64" s="3">
        <v>1288</v>
      </c>
      <c r="U64" s="3">
        <v>0.6</v>
      </c>
      <c r="V64" s="3">
        <v>24.8</v>
      </c>
      <c r="W64" s="3">
        <v>7.23</v>
      </c>
      <c r="X64" s="3">
        <v>94.8</v>
      </c>
      <c r="Y64" s="3">
        <f t="shared" ref="Y64:Y66" si="149">1.5*1100</f>
        <v>1650</v>
      </c>
      <c r="Z64" s="3">
        <v>3687</v>
      </c>
      <c r="AA64" s="3">
        <v>897</v>
      </c>
      <c r="AB64" s="3">
        <v>2710</v>
      </c>
      <c r="AC64" s="3">
        <v>45</v>
      </c>
      <c r="AD64" s="3">
        <v>1027.2</v>
      </c>
      <c r="AE64" s="3">
        <v>28.95</v>
      </c>
      <c r="AF64" s="3">
        <v>132.47</v>
      </c>
      <c r="AG64" s="3">
        <v>409.9</v>
      </c>
      <c r="AH64" s="3">
        <v>128.15</v>
      </c>
      <c r="AI64" s="3">
        <v>94.9</v>
      </c>
      <c r="AJ64" s="3">
        <v>47.1</v>
      </c>
      <c r="AK64" s="3">
        <v>138</v>
      </c>
      <c r="AL64" s="3">
        <v>7.54</v>
      </c>
      <c r="AM64" s="3">
        <v>133</v>
      </c>
      <c r="AN64" s="3">
        <v>164</v>
      </c>
      <c r="AO64" s="3">
        <v>214</v>
      </c>
      <c r="AP64" s="3">
        <v>102</v>
      </c>
      <c r="AQ64" s="3">
        <v>1.9</v>
      </c>
      <c r="AR64" s="3">
        <v>0.86</v>
      </c>
      <c r="AS64" s="3">
        <v>1.06</v>
      </c>
      <c r="AT64" s="3">
        <v>5.65</v>
      </c>
      <c r="AU64" s="3">
        <v>15.08</v>
      </c>
      <c r="AV64" s="3">
        <v>3.97</v>
      </c>
      <c r="AW64" s="3">
        <v>34.299999999999997</v>
      </c>
      <c r="AX64" s="3">
        <v>128</v>
      </c>
      <c r="AY64" s="3"/>
      <c r="AZ64" s="3"/>
      <c r="BA64" s="3"/>
      <c r="BB64" s="3">
        <v>160000</v>
      </c>
      <c r="BC64" s="3">
        <v>23000</v>
      </c>
      <c r="BD64" s="3">
        <v>15000</v>
      </c>
      <c r="BE64" s="3">
        <f t="shared" ref="BE64:BE100" si="150">0.5*0.2</f>
        <v>0.1</v>
      </c>
      <c r="BF64" s="3">
        <f t="shared" si="136"/>
        <v>1</v>
      </c>
      <c r="BG64" s="3">
        <f t="shared" si="119"/>
        <v>0.1</v>
      </c>
      <c r="BH64" s="3">
        <f t="shared" si="128"/>
        <v>1</v>
      </c>
      <c r="BI64" s="3">
        <f>0.5*0.2</f>
        <v>0.1</v>
      </c>
      <c r="BJ64" s="3">
        <v>10</v>
      </c>
      <c r="BK64" s="3">
        <f t="shared" ref="BK64:BL64" si="151">0.5*2</f>
        <v>1</v>
      </c>
      <c r="BL64" s="3">
        <f t="shared" si="151"/>
        <v>1</v>
      </c>
      <c r="BM64" s="3">
        <v>2</v>
      </c>
      <c r="BN64" s="3">
        <f>0.5*2</f>
        <v>1</v>
      </c>
      <c r="BO64" s="3">
        <f t="shared" si="134"/>
        <v>0.1</v>
      </c>
      <c r="BP64" s="3">
        <f t="shared" si="134"/>
        <v>0.1</v>
      </c>
      <c r="BQ64" s="3">
        <f t="shared" si="134"/>
        <v>0.1</v>
      </c>
      <c r="BR64" s="3">
        <f t="shared" si="123"/>
        <v>0.02</v>
      </c>
      <c r="BS64" s="3">
        <v>183</v>
      </c>
      <c r="BT64" s="3">
        <v>75</v>
      </c>
      <c r="BU64" s="3">
        <f t="shared" si="145"/>
        <v>1</v>
      </c>
      <c r="BV64" s="3">
        <v>64</v>
      </c>
      <c r="BW64" s="3">
        <v>1661</v>
      </c>
      <c r="BX64" s="3">
        <v>99</v>
      </c>
      <c r="BY64" s="3">
        <v>79</v>
      </c>
      <c r="BZ64" s="3">
        <v>241</v>
      </c>
      <c r="CA64" s="3">
        <v>31</v>
      </c>
      <c r="CB64" s="3">
        <f t="shared" si="140"/>
        <v>1</v>
      </c>
      <c r="CC64" s="3">
        <v>79</v>
      </c>
      <c r="CD64" s="3">
        <f t="shared" si="140"/>
        <v>1</v>
      </c>
      <c r="CE64" s="3">
        <v>0.28299999999999997</v>
      </c>
      <c r="CF64" s="3">
        <v>83786</v>
      </c>
      <c r="CG64" s="3">
        <v>485</v>
      </c>
      <c r="CH64" s="3">
        <f t="shared" si="144"/>
        <v>10</v>
      </c>
      <c r="CI64" s="3">
        <f t="shared" si="147"/>
        <v>0.01</v>
      </c>
      <c r="CJ64" s="3">
        <f t="shared" si="148"/>
        <v>0.5</v>
      </c>
      <c r="CK64" s="3"/>
      <c r="CL64" s="3"/>
      <c r="CM64" s="3"/>
      <c r="CN64" s="3"/>
      <c r="CO64" s="3">
        <v>88.19</v>
      </c>
      <c r="CP64" s="3">
        <v>26.37</v>
      </c>
      <c r="CQ64" s="3">
        <v>11.44</v>
      </c>
      <c r="CR64" s="3"/>
      <c r="CS64" s="3">
        <v>151.29</v>
      </c>
      <c r="CT64" s="3"/>
      <c r="CU64" s="3">
        <v>29.15</v>
      </c>
      <c r="CV64" s="3">
        <v>23.62</v>
      </c>
      <c r="CW64" s="3">
        <v>30849.82</v>
      </c>
      <c r="CX64" s="3">
        <v>609.23</v>
      </c>
      <c r="CY64" s="3">
        <v>0.1</v>
      </c>
      <c r="CZ64" s="3">
        <v>36.53</v>
      </c>
      <c r="DA64" s="3"/>
    </row>
    <row r="65" spans="1:105" ht="12.5" x14ac:dyDescent="0.25">
      <c r="A65" s="3" t="s">
        <v>102</v>
      </c>
      <c r="B65" s="3" t="s">
        <v>103</v>
      </c>
      <c r="C65" s="4" t="s">
        <v>400</v>
      </c>
      <c r="D65" s="4" t="s">
        <v>170</v>
      </c>
      <c r="E65" s="4" t="s">
        <v>395</v>
      </c>
      <c r="F65" s="3" t="s">
        <v>107</v>
      </c>
      <c r="G65" s="3" t="s">
        <v>108</v>
      </c>
      <c r="H65" s="3" t="s">
        <v>109</v>
      </c>
      <c r="I65" s="3" t="s">
        <v>110</v>
      </c>
      <c r="J65" s="3" t="s">
        <v>401</v>
      </c>
      <c r="K65" s="3" t="s">
        <v>402</v>
      </c>
      <c r="L65" s="3">
        <v>-21.259</v>
      </c>
      <c r="M65" s="3">
        <v>-63.511699999999998</v>
      </c>
      <c r="N65" s="3">
        <v>0.23699999999999999</v>
      </c>
      <c r="O65" s="3">
        <v>23</v>
      </c>
      <c r="P65" s="3">
        <v>882</v>
      </c>
      <c r="Q65" s="3">
        <v>193.1</v>
      </c>
      <c r="R65" s="3">
        <v>8.1660000000000004</v>
      </c>
      <c r="S65" s="3">
        <v>-73.900000000000006</v>
      </c>
      <c r="T65" s="3">
        <v>1134</v>
      </c>
      <c r="U65" s="3">
        <v>0.5</v>
      </c>
      <c r="V65" s="3">
        <v>25.2</v>
      </c>
      <c r="W65" s="3">
        <v>7.72</v>
      </c>
      <c r="X65" s="3">
        <v>99.2</v>
      </c>
      <c r="Y65" s="3">
        <f t="shared" si="149"/>
        <v>1650</v>
      </c>
      <c r="Z65" s="3">
        <v>6231</v>
      </c>
      <c r="AA65" s="3">
        <v>762</v>
      </c>
      <c r="AB65" s="3">
        <v>5454</v>
      </c>
      <c r="AC65" s="3">
        <v>54.5</v>
      </c>
      <c r="AD65" s="3">
        <v>880.5</v>
      </c>
      <c r="AE65" s="3">
        <v>20.12</v>
      </c>
      <c r="AF65" s="3">
        <v>103.17</v>
      </c>
      <c r="AG65" s="3">
        <v>307.39999999999998</v>
      </c>
      <c r="AH65" s="3">
        <v>99.67</v>
      </c>
      <c r="AI65" s="3">
        <v>74.400000000000006</v>
      </c>
      <c r="AJ65" s="3">
        <v>32.700000000000003</v>
      </c>
      <c r="AK65" s="3">
        <v>126</v>
      </c>
      <c r="AL65" s="3">
        <v>9.1999999999999993</v>
      </c>
      <c r="AM65" s="3">
        <v>107</v>
      </c>
      <c r="AN65" s="3">
        <v>67.599999999999994</v>
      </c>
      <c r="AO65" s="3">
        <v>215</v>
      </c>
      <c r="AP65" s="3">
        <v>194</v>
      </c>
      <c r="AQ65" s="3">
        <v>1.56</v>
      </c>
      <c r="AR65" s="3">
        <v>1.2</v>
      </c>
      <c r="AS65" s="3">
        <v>1.06</v>
      </c>
      <c r="AT65" s="3">
        <v>6.01</v>
      </c>
      <c r="AU65" s="3">
        <v>25.64</v>
      </c>
      <c r="AV65" s="3">
        <v>7.75</v>
      </c>
      <c r="AW65" s="3">
        <v>70.3</v>
      </c>
      <c r="AX65" s="3">
        <v>246</v>
      </c>
      <c r="AY65" s="3"/>
      <c r="AZ65" s="3"/>
      <c r="BA65" s="3"/>
      <c r="BB65" s="3">
        <v>110000</v>
      </c>
      <c r="BC65" s="3">
        <v>4300</v>
      </c>
      <c r="BD65" s="3">
        <v>74000</v>
      </c>
      <c r="BE65" s="3">
        <f t="shared" si="150"/>
        <v>0.1</v>
      </c>
      <c r="BF65" s="3">
        <v>3</v>
      </c>
      <c r="BG65" s="3">
        <f t="shared" si="119"/>
        <v>0.1</v>
      </c>
      <c r="BH65" s="3">
        <f t="shared" si="128"/>
        <v>1</v>
      </c>
      <c r="BI65" s="3">
        <v>3</v>
      </c>
      <c r="BJ65" s="3">
        <f>0.5*2</f>
        <v>1</v>
      </c>
      <c r="BK65" s="3">
        <v>2</v>
      </c>
      <c r="BL65" s="3">
        <v>2</v>
      </c>
      <c r="BM65" s="3">
        <f t="shared" ref="BM65:BM68" si="152">0.5*2</f>
        <v>1</v>
      </c>
      <c r="BN65" s="3">
        <v>4</v>
      </c>
      <c r="BO65" s="3">
        <f t="shared" si="134"/>
        <v>0.1</v>
      </c>
      <c r="BP65" s="3">
        <f t="shared" si="134"/>
        <v>0.1</v>
      </c>
      <c r="BQ65" s="3">
        <f t="shared" si="134"/>
        <v>0.1</v>
      </c>
      <c r="BR65" s="3">
        <f t="shared" si="123"/>
        <v>0.02</v>
      </c>
      <c r="BS65" s="3">
        <v>116</v>
      </c>
      <c r="BT65" s="3">
        <v>356</v>
      </c>
      <c r="BU65" s="3">
        <f t="shared" si="145"/>
        <v>1</v>
      </c>
      <c r="BV65" s="3">
        <v>101</v>
      </c>
      <c r="BW65" s="3">
        <v>3098</v>
      </c>
      <c r="BX65" s="3">
        <v>141</v>
      </c>
      <c r="BY65" s="3">
        <v>161</v>
      </c>
      <c r="BZ65" s="3">
        <v>552</v>
      </c>
      <c r="CA65" s="3">
        <v>64</v>
      </c>
      <c r="CB65" s="3">
        <f t="shared" si="140"/>
        <v>1</v>
      </c>
      <c r="CC65" s="3">
        <v>145</v>
      </c>
      <c r="CD65" s="3">
        <f t="shared" si="140"/>
        <v>1</v>
      </c>
      <c r="CE65" s="3">
        <v>0.28299999999999997</v>
      </c>
      <c r="CF65" s="3">
        <v>153930</v>
      </c>
      <c r="CG65" s="3">
        <v>407</v>
      </c>
      <c r="CH65" s="3">
        <f t="shared" si="144"/>
        <v>10</v>
      </c>
      <c r="CI65" s="3">
        <f t="shared" si="147"/>
        <v>0.01</v>
      </c>
      <c r="CJ65" s="3">
        <f t="shared" si="148"/>
        <v>0.5</v>
      </c>
      <c r="CK65" s="3"/>
      <c r="CL65" s="3"/>
      <c r="CM65" s="3"/>
      <c r="CN65" s="3"/>
      <c r="CO65" s="3">
        <v>101.21</v>
      </c>
      <c r="CP65" s="3">
        <v>24.9</v>
      </c>
      <c r="CQ65" s="3">
        <v>11</v>
      </c>
      <c r="CR65" s="3">
        <v>0.55000000000000004</v>
      </c>
      <c r="CS65" s="3">
        <v>9.35</v>
      </c>
      <c r="CT65" s="3"/>
      <c r="CU65" s="3">
        <v>29.15</v>
      </c>
      <c r="CV65" s="3">
        <v>17.97</v>
      </c>
      <c r="CW65" s="3">
        <v>28202.05</v>
      </c>
      <c r="CX65" s="3">
        <v>568.02</v>
      </c>
      <c r="CY65" s="3">
        <v>0.05</v>
      </c>
      <c r="CZ65" s="3">
        <v>25.49</v>
      </c>
      <c r="DA65" s="3"/>
    </row>
    <row r="66" spans="1:105" ht="12.5" x14ac:dyDescent="0.25">
      <c r="A66" s="3" t="s">
        <v>113</v>
      </c>
      <c r="B66" s="3" t="s">
        <v>114</v>
      </c>
      <c r="C66" s="4" t="s">
        <v>403</v>
      </c>
      <c r="D66" s="4" t="s">
        <v>212</v>
      </c>
      <c r="E66" s="4" t="s">
        <v>395</v>
      </c>
      <c r="F66" s="3" t="s">
        <v>107</v>
      </c>
      <c r="G66" s="3" t="s">
        <v>108</v>
      </c>
      <c r="H66" s="3" t="s">
        <v>109</v>
      </c>
      <c r="I66" s="3" t="s">
        <v>117</v>
      </c>
      <c r="J66" s="3" t="s">
        <v>404</v>
      </c>
      <c r="K66" s="3" t="s">
        <v>405</v>
      </c>
      <c r="L66" s="3">
        <v>-22.377700000000001</v>
      </c>
      <c r="M66" s="3">
        <v>-62.5184</v>
      </c>
      <c r="N66" s="3"/>
      <c r="O66" s="3"/>
      <c r="P66" s="3">
        <v>726</v>
      </c>
      <c r="Q66" s="3">
        <v>184.1</v>
      </c>
      <c r="R66" s="3">
        <v>8.0960000000000001</v>
      </c>
      <c r="S66" s="3">
        <v>-69.900000000000006</v>
      </c>
      <c r="T66" s="3">
        <v>1378</v>
      </c>
      <c r="U66" s="3">
        <v>0.6</v>
      </c>
      <c r="V66" s="3">
        <v>26.1</v>
      </c>
      <c r="W66" s="3">
        <v>7.27</v>
      </c>
      <c r="X66" s="3">
        <v>93.4</v>
      </c>
      <c r="Y66" s="3">
        <f t="shared" si="149"/>
        <v>1650</v>
      </c>
      <c r="Z66" s="3">
        <v>5390</v>
      </c>
      <c r="AA66" s="3">
        <v>1034</v>
      </c>
      <c r="AB66" s="3">
        <v>4340</v>
      </c>
      <c r="AC66" s="3"/>
      <c r="AD66" s="3">
        <v>380</v>
      </c>
      <c r="AE66" s="3"/>
      <c r="AF66" s="3">
        <v>137</v>
      </c>
      <c r="AG66" s="3">
        <v>179</v>
      </c>
      <c r="AH66" s="3">
        <v>246</v>
      </c>
      <c r="AI66" s="3">
        <v>83</v>
      </c>
      <c r="AJ66" s="3">
        <v>42</v>
      </c>
      <c r="AK66" s="3">
        <v>131</v>
      </c>
      <c r="AL66" s="3">
        <v>7.4</v>
      </c>
      <c r="AM66" s="3"/>
      <c r="AN66" s="3"/>
      <c r="AO66" s="3"/>
      <c r="AP66" s="3"/>
      <c r="AQ66" s="3"/>
      <c r="AR66" s="3">
        <v>7.0000000000000007E-2</v>
      </c>
      <c r="AS66" s="3">
        <v>0.05</v>
      </c>
      <c r="AT66" s="3">
        <v>0.03</v>
      </c>
      <c r="AU66" s="3"/>
      <c r="AV66" s="3"/>
      <c r="AW66" s="3">
        <v>9</v>
      </c>
      <c r="AX66" s="3">
        <f t="shared" ref="AX66:AX67" si="153">0.5*2</f>
        <v>1</v>
      </c>
      <c r="AY66" s="3"/>
      <c r="AZ66" s="3"/>
      <c r="BA66" s="3"/>
      <c r="BB66" s="3">
        <v>23000</v>
      </c>
      <c r="BC66" s="3">
        <v>1500</v>
      </c>
      <c r="BD66" s="3"/>
      <c r="BE66" s="3">
        <f t="shared" si="150"/>
        <v>0.1</v>
      </c>
      <c r="BF66" s="3">
        <f t="shared" ref="BF66:BF80" si="154">0.5*2</f>
        <v>1</v>
      </c>
      <c r="BG66" s="3">
        <f t="shared" si="119"/>
        <v>0.1</v>
      </c>
      <c r="BH66" s="3">
        <f t="shared" si="128"/>
        <v>1</v>
      </c>
      <c r="BI66" s="3">
        <v>1</v>
      </c>
      <c r="BJ66" s="3">
        <v>19</v>
      </c>
      <c r="BK66" s="3">
        <v>3</v>
      </c>
      <c r="BL66" s="3">
        <v>2</v>
      </c>
      <c r="BM66" s="3">
        <f t="shared" si="152"/>
        <v>1</v>
      </c>
      <c r="BN66" s="3">
        <v>2</v>
      </c>
      <c r="BO66" s="3">
        <f t="shared" si="134"/>
        <v>0.1</v>
      </c>
      <c r="BP66" s="3">
        <f t="shared" si="134"/>
        <v>0.1</v>
      </c>
      <c r="BQ66" s="3">
        <f t="shared" si="134"/>
        <v>0.1</v>
      </c>
      <c r="BR66" s="3">
        <f t="shared" si="123"/>
        <v>0.02</v>
      </c>
      <c r="BS66" s="3">
        <v>178</v>
      </c>
      <c r="BT66" s="3">
        <v>474</v>
      </c>
      <c r="BU66" s="3">
        <f t="shared" si="145"/>
        <v>1</v>
      </c>
      <c r="BV66" s="3">
        <v>54</v>
      </c>
      <c r="BW66" s="3">
        <v>2463</v>
      </c>
      <c r="BX66" s="3">
        <v>86</v>
      </c>
      <c r="BY66" s="3">
        <v>90</v>
      </c>
      <c r="BZ66" s="3">
        <v>271</v>
      </c>
      <c r="CA66" s="3">
        <v>31</v>
      </c>
      <c r="CB66" s="3">
        <f t="shared" si="140"/>
        <v>1</v>
      </c>
      <c r="CC66" s="3">
        <v>81</v>
      </c>
      <c r="CD66" s="3">
        <f t="shared" si="140"/>
        <v>1</v>
      </c>
      <c r="CE66" s="3">
        <v>0.155</v>
      </c>
      <c r="CF66" s="3">
        <v>85633</v>
      </c>
      <c r="CG66" s="3">
        <v>564</v>
      </c>
      <c r="CH66" s="3">
        <f t="shared" si="144"/>
        <v>10</v>
      </c>
      <c r="CI66" s="3"/>
      <c r="CJ66" s="3"/>
      <c r="CK66" s="3">
        <f t="shared" ref="CK66:CK69" si="155">0.5*0.001</f>
        <v>5.0000000000000001E-4</v>
      </c>
      <c r="CL66" s="3">
        <f t="shared" ref="CL66:CL69" si="156">0.5*0.05</f>
        <v>2.5000000000000001E-2</v>
      </c>
      <c r="CM66" s="3"/>
      <c r="CN66" s="3"/>
      <c r="CO66" s="3">
        <v>62.44</v>
      </c>
      <c r="CP66" s="3">
        <v>16.96</v>
      </c>
      <c r="CQ66" s="3">
        <v>6.68</v>
      </c>
      <c r="CR66" s="3"/>
      <c r="CS66" s="3">
        <v>20.74</v>
      </c>
      <c r="CT66" s="3"/>
      <c r="CU66" s="3">
        <v>20.28</v>
      </c>
      <c r="CV66" s="3">
        <v>12.21</v>
      </c>
      <c r="CW66" s="3">
        <v>19690.09</v>
      </c>
      <c r="CX66" s="3">
        <v>563.13</v>
      </c>
      <c r="CY66" s="3">
        <v>0.04</v>
      </c>
      <c r="CZ66" s="3">
        <v>19.12</v>
      </c>
      <c r="DA66" s="3"/>
    </row>
    <row r="67" spans="1:105" ht="12.5" x14ac:dyDescent="0.25">
      <c r="A67" s="3" t="s">
        <v>227</v>
      </c>
      <c r="B67" s="3" t="s">
        <v>228</v>
      </c>
      <c r="C67" s="4" t="s">
        <v>403</v>
      </c>
      <c r="D67" s="4" t="s">
        <v>406</v>
      </c>
      <c r="E67" s="4" t="s">
        <v>395</v>
      </c>
      <c r="F67" s="3" t="s">
        <v>107</v>
      </c>
      <c r="G67" s="3" t="s">
        <v>108</v>
      </c>
      <c r="H67" s="3" t="s">
        <v>230</v>
      </c>
      <c r="I67" s="3" t="s">
        <v>231</v>
      </c>
      <c r="J67" s="3" t="s">
        <v>407</v>
      </c>
      <c r="K67" s="3" t="s">
        <v>408</v>
      </c>
      <c r="L67" s="3">
        <v>-22.6723</v>
      </c>
      <c r="M67" s="3">
        <v>-62.207900000000002</v>
      </c>
      <c r="N67" s="3"/>
      <c r="O67" s="3"/>
      <c r="P67" s="3">
        <v>600</v>
      </c>
      <c r="Q67" s="3">
        <v>191.2</v>
      </c>
      <c r="R67" s="3">
        <v>8.0180000000000007</v>
      </c>
      <c r="S67" s="3">
        <v>-67.7</v>
      </c>
      <c r="T67" s="3">
        <v>1665</v>
      </c>
      <c r="U67" s="3">
        <v>0.8</v>
      </c>
      <c r="V67" s="3">
        <v>25.2</v>
      </c>
      <c r="W67" s="3">
        <v>7.67</v>
      </c>
      <c r="X67" s="3">
        <v>98.1</v>
      </c>
      <c r="Y67" s="3">
        <v>829</v>
      </c>
      <c r="Z67" s="3">
        <v>4680</v>
      </c>
      <c r="AA67" s="3">
        <v>1068</v>
      </c>
      <c r="AB67" s="3">
        <v>3600</v>
      </c>
      <c r="AC67" s="3">
        <v>17</v>
      </c>
      <c r="AD67" s="3">
        <v>407</v>
      </c>
      <c r="AE67" s="3"/>
      <c r="AF67" s="3">
        <v>144</v>
      </c>
      <c r="AG67" s="3">
        <v>267</v>
      </c>
      <c r="AH67" s="3">
        <v>314</v>
      </c>
      <c r="AI67" s="3">
        <v>89</v>
      </c>
      <c r="AJ67" s="3">
        <v>45</v>
      </c>
      <c r="AK67" s="3">
        <v>184</v>
      </c>
      <c r="AL67" s="3">
        <v>8.9</v>
      </c>
      <c r="AM67" s="3"/>
      <c r="AN67" s="3"/>
      <c r="AO67" s="3"/>
      <c r="AP67" s="3"/>
      <c r="AQ67" s="3"/>
      <c r="AR67" s="3">
        <f t="shared" ref="AR67:AS67" si="157">0.5*0.05</f>
        <v>2.5000000000000001E-2</v>
      </c>
      <c r="AS67" s="3">
        <f t="shared" si="157"/>
        <v>2.5000000000000001E-2</v>
      </c>
      <c r="AT67" s="3">
        <v>0.06</v>
      </c>
      <c r="AU67" s="3"/>
      <c r="AV67" s="3"/>
      <c r="AW67" s="3">
        <v>3</v>
      </c>
      <c r="AX67" s="3">
        <f t="shared" si="153"/>
        <v>1</v>
      </c>
      <c r="AY67" s="3"/>
      <c r="AZ67" s="3"/>
      <c r="BA67" s="3"/>
      <c r="BB67" s="3">
        <v>2300</v>
      </c>
      <c r="BC67" s="3">
        <v>930</v>
      </c>
      <c r="BD67" s="3"/>
      <c r="BE67" s="3">
        <f t="shared" si="150"/>
        <v>0.1</v>
      </c>
      <c r="BF67" s="3">
        <f t="shared" si="154"/>
        <v>1</v>
      </c>
      <c r="BG67" s="3">
        <f t="shared" si="119"/>
        <v>0.1</v>
      </c>
      <c r="BH67" s="3">
        <f t="shared" si="128"/>
        <v>1</v>
      </c>
      <c r="BI67" s="3">
        <v>2</v>
      </c>
      <c r="BJ67" s="3">
        <v>23</v>
      </c>
      <c r="BK67" s="3">
        <v>3</v>
      </c>
      <c r="BL67" s="3">
        <v>2</v>
      </c>
      <c r="BM67" s="3">
        <f t="shared" si="152"/>
        <v>1</v>
      </c>
      <c r="BN67" s="3">
        <v>2</v>
      </c>
      <c r="BO67" s="3">
        <f t="shared" si="134"/>
        <v>0.1</v>
      </c>
      <c r="BP67" s="3">
        <f t="shared" si="134"/>
        <v>0.1</v>
      </c>
      <c r="BQ67" s="3">
        <f t="shared" si="134"/>
        <v>0.1</v>
      </c>
      <c r="BR67" s="3">
        <f t="shared" si="123"/>
        <v>0.02</v>
      </c>
      <c r="BS67" s="3">
        <v>171</v>
      </c>
      <c r="BT67" s="3">
        <v>548</v>
      </c>
      <c r="BU67" s="3">
        <f t="shared" si="145"/>
        <v>1</v>
      </c>
      <c r="BV67" s="3">
        <v>39</v>
      </c>
      <c r="BW67" s="3">
        <v>1883</v>
      </c>
      <c r="BX67" s="3">
        <v>62</v>
      </c>
      <c r="BY67" s="3">
        <v>58</v>
      </c>
      <c r="BZ67" s="3">
        <v>159</v>
      </c>
      <c r="CA67" s="3">
        <v>22</v>
      </c>
      <c r="CB67" s="3">
        <f t="shared" si="140"/>
        <v>1</v>
      </c>
      <c r="CC67" s="3">
        <v>53</v>
      </c>
      <c r="CD67" s="3">
        <f t="shared" si="140"/>
        <v>1</v>
      </c>
      <c r="CE67" s="3">
        <f>0.5*0.1</f>
        <v>0.05</v>
      </c>
      <c r="CF67" s="3">
        <v>59551</v>
      </c>
      <c r="CG67" s="3">
        <v>684</v>
      </c>
      <c r="CH67" s="3">
        <f t="shared" si="144"/>
        <v>10</v>
      </c>
      <c r="CI67" s="3"/>
      <c r="CJ67" s="3"/>
      <c r="CK67" s="3">
        <f t="shared" si="155"/>
        <v>5.0000000000000001E-4</v>
      </c>
      <c r="CL67" s="3">
        <f t="shared" si="156"/>
        <v>2.5000000000000001E-2</v>
      </c>
      <c r="CM67" s="3"/>
      <c r="CN67" s="3"/>
      <c r="CO67" s="3">
        <v>44.17</v>
      </c>
      <c r="CP67" s="3">
        <v>12.25</v>
      </c>
      <c r="CQ67" s="3">
        <v>5.56</v>
      </c>
      <c r="CR67" s="3"/>
      <c r="CS67" s="3">
        <v>37.78</v>
      </c>
      <c r="CT67" s="3"/>
      <c r="CU67" s="3">
        <v>15.56</v>
      </c>
      <c r="CV67" s="3">
        <v>10.28</v>
      </c>
      <c r="CW67" s="3">
        <v>16494.439999999999</v>
      </c>
      <c r="CX67" s="3">
        <v>516.66999999999996</v>
      </c>
      <c r="CY67" s="3"/>
      <c r="CZ67" s="3">
        <v>16.39</v>
      </c>
      <c r="DA67" s="3"/>
    </row>
    <row r="68" spans="1:105" ht="12.5" x14ac:dyDescent="0.25">
      <c r="A68" s="3" t="s">
        <v>234</v>
      </c>
      <c r="B68" s="3" t="s">
        <v>235</v>
      </c>
      <c r="C68" s="4" t="s">
        <v>403</v>
      </c>
      <c r="D68" s="4" t="s">
        <v>409</v>
      </c>
      <c r="E68" s="4" t="s">
        <v>395</v>
      </c>
      <c r="F68" s="3" t="s">
        <v>107</v>
      </c>
      <c r="G68" s="3" t="s">
        <v>108</v>
      </c>
      <c r="H68" s="3" t="s">
        <v>230</v>
      </c>
      <c r="I68" s="3" t="s">
        <v>231</v>
      </c>
      <c r="J68" s="3" t="s">
        <v>410</v>
      </c>
      <c r="K68" s="3" t="s">
        <v>411</v>
      </c>
      <c r="L68" s="3">
        <v>-23.137699999999999</v>
      </c>
      <c r="M68" s="3">
        <v>-61.9636</v>
      </c>
      <c r="N68" s="3"/>
      <c r="O68" s="3"/>
      <c r="P68" s="3">
        <v>525</v>
      </c>
      <c r="Q68" s="3">
        <v>181.8</v>
      </c>
      <c r="R68" s="3">
        <v>8.07</v>
      </c>
      <c r="S68" s="3">
        <v>-67.599999999999994</v>
      </c>
      <c r="T68" s="3">
        <v>1904</v>
      </c>
      <c r="U68" s="3">
        <v>0.9</v>
      </c>
      <c r="V68" s="3">
        <v>22.5</v>
      </c>
      <c r="W68" s="3">
        <v>7.63</v>
      </c>
      <c r="X68" s="3">
        <v>90.5</v>
      </c>
      <c r="Y68" s="3">
        <v>868</v>
      </c>
      <c r="Z68" s="3">
        <v>3044</v>
      </c>
      <c r="AA68" s="3">
        <v>1228</v>
      </c>
      <c r="AB68" s="3">
        <v>1798</v>
      </c>
      <c r="AC68" s="3">
        <f>0.5*1</f>
        <v>0.5</v>
      </c>
      <c r="AD68" s="3">
        <v>450</v>
      </c>
      <c r="AE68" s="3"/>
      <c r="AF68" s="3">
        <v>146</v>
      </c>
      <c r="AG68" s="3">
        <v>317</v>
      </c>
      <c r="AH68" s="3">
        <v>237</v>
      </c>
      <c r="AI68" s="3">
        <v>96</v>
      </c>
      <c r="AJ68" s="3">
        <v>51</v>
      </c>
      <c r="AK68" s="3">
        <v>191</v>
      </c>
      <c r="AL68" s="3">
        <v>9.1</v>
      </c>
      <c r="AM68" s="3"/>
      <c r="AN68" s="3"/>
      <c r="AO68" s="3"/>
      <c r="AP68" s="3"/>
      <c r="AQ68" s="3"/>
      <c r="AR68" s="3">
        <v>0.06</v>
      </c>
      <c r="AS68" s="3">
        <v>0.27</v>
      </c>
      <c r="AT68" s="3">
        <v>0.21</v>
      </c>
      <c r="AU68" s="3"/>
      <c r="AV68" s="3"/>
      <c r="AW68" s="3">
        <v>4</v>
      </c>
      <c r="AX68" s="3">
        <v>11</v>
      </c>
      <c r="AY68" s="3"/>
      <c r="AZ68" s="3"/>
      <c r="BA68" s="3"/>
      <c r="BB68" s="3">
        <v>2900</v>
      </c>
      <c r="BC68" s="3">
        <v>930</v>
      </c>
      <c r="BD68" s="3"/>
      <c r="BE68" s="3">
        <f t="shared" si="150"/>
        <v>0.1</v>
      </c>
      <c r="BF68" s="3">
        <f t="shared" si="154"/>
        <v>1</v>
      </c>
      <c r="BG68" s="3">
        <f t="shared" si="119"/>
        <v>0.1</v>
      </c>
      <c r="BH68" s="3">
        <f t="shared" si="128"/>
        <v>1</v>
      </c>
      <c r="BI68" s="3">
        <v>1</v>
      </c>
      <c r="BJ68" s="3">
        <f>0.5*2</f>
        <v>1</v>
      </c>
      <c r="BK68" s="3">
        <v>3</v>
      </c>
      <c r="BL68" s="3">
        <v>3</v>
      </c>
      <c r="BM68" s="3">
        <f t="shared" si="152"/>
        <v>1</v>
      </c>
      <c r="BN68" s="3">
        <v>3</v>
      </c>
      <c r="BO68" s="3">
        <f t="shared" si="134"/>
        <v>0.1</v>
      </c>
      <c r="BP68" s="3">
        <f t="shared" si="134"/>
        <v>0.1</v>
      </c>
      <c r="BQ68" s="3">
        <f t="shared" si="134"/>
        <v>0.1</v>
      </c>
      <c r="BR68" s="3">
        <f t="shared" si="123"/>
        <v>0.02</v>
      </c>
      <c r="BS68" s="3">
        <v>197</v>
      </c>
      <c r="BT68" s="3">
        <v>637</v>
      </c>
      <c r="BU68" s="3">
        <f t="shared" si="145"/>
        <v>1</v>
      </c>
      <c r="BV68" s="3">
        <v>31</v>
      </c>
      <c r="BW68" s="3">
        <v>1104</v>
      </c>
      <c r="BX68" s="3">
        <v>54</v>
      </c>
      <c r="BY68" s="3">
        <v>56</v>
      </c>
      <c r="BZ68" s="3">
        <v>152</v>
      </c>
      <c r="CA68" s="3">
        <v>21</v>
      </c>
      <c r="CB68" s="3">
        <f t="shared" si="140"/>
        <v>1</v>
      </c>
      <c r="CC68" s="3">
        <v>43</v>
      </c>
      <c r="CD68" s="3">
        <f t="shared" si="140"/>
        <v>1</v>
      </c>
      <c r="CE68" s="3">
        <v>0.29799999999999999</v>
      </c>
      <c r="CF68" s="3">
        <v>52370</v>
      </c>
      <c r="CG68" s="3">
        <v>791</v>
      </c>
      <c r="CH68" s="3">
        <f t="shared" si="144"/>
        <v>10</v>
      </c>
      <c r="CI68" s="3"/>
      <c r="CJ68" s="3"/>
      <c r="CK68" s="3">
        <f t="shared" si="155"/>
        <v>5.0000000000000001E-4</v>
      </c>
      <c r="CL68" s="3">
        <f t="shared" si="156"/>
        <v>2.5000000000000001E-2</v>
      </c>
      <c r="CM68" s="3"/>
      <c r="CN68" s="3"/>
      <c r="CO68" s="3">
        <v>84.54</v>
      </c>
      <c r="CP68" s="3">
        <v>18.850000000000001</v>
      </c>
      <c r="CQ68" s="3">
        <v>10.01</v>
      </c>
      <c r="CR68" s="3"/>
      <c r="CS68" s="3">
        <v>85.65</v>
      </c>
      <c r="CT68" s="3"/>
      <c r="CU68" s="3">
        <v>29.48</v>
      </c>
      <c r="CV68" s="3">
        <v>16.690000000000001</v>
      </c>
      <c r="CW68" s="3">
        <v>29017.24</v>
      </c>
      <c r="CX68" s="3">
        <v>614.02</v>
      </c>
      <c r="CY68" s="3">
        <v>0.17</v>
      </c>
      <c r="CZ68" s="3">
        <v>28.36</v>
      </c>
      <c r="DA68" s="3"/>
    </row>
    <row r="69" spans="1:105" ht="12.5" x14ac:dyDescent="0.25">
      <c r="A69" s="3" t="s">
        <v>239</v>
      </c>
      <c r="B69" s="3" t="s">
        <v>240</v>
      </c>
      <c r="C69" s="4" t="s">
        <v>412</v>
      </c>
      <c r="D69" s="4" t="s">
        <v>413</v>
      </c>
      <c r="E69" s="4" t="s">
        <v>395</v>
      </c>
      <c r="F69" s="3" t="s">
        <v>107</v>
      </c>
      <c r="G69" s="3" t="s">
        <v>108</v>
      </c>
      <c r="H69" s="3" t="s">
        <v>230</v>
      </c>
      <c r="I69" s="3" t="s">
        <v>231</v>
      </c>
      <c r="J69" s="3" t="s">
        <v>414</v>
      </c>
      <c r="K69" s="3" t="s">
        <v>415</v>
      </c>
      <c r="L69" s="3">
        <v>-24.358499999999999</v>
      </c>
      <c r="M69" s="3">
        <v>-60.306600000000003</v>
      </c>
      <c r="N69" s="3"/>
      <c r="O69" s="3"/>
      <c r="P69" s="3">
        <v>817</v>
      </c>
      <c r="Q69" s="3">
        <v>56.5</v>
      </c>
      <c r="R69" s="3">
        <v>7.2009999999999996</v>
      </c>
      <c r="S69" s="3">
        <v>-17.5</v>
      </c>
      <c r="T69" s="3">
        <v>1224</v>
      </c>
      <c r="U69" s="3">
        <v>0.6</v>
      </c>
      <c r="V69" s="3">
        <v>23.2</v>
      </c>
      <c r="W69" s="3">
        <v>2.4</v>
      </c>
      <c r="X69" s="3">
        <v>28</v>
      </c>
      <c r="Y69" s="3">
        <v>2.19</v>
      </c>
      <c r="Z69" s="3">
        <v>802</v>
      </c>
      <c r="AA69" s="3">
        <v>794</v>
      </c>
      <c r="AB69" s="3">
        <v>6</v>
      </c>
      <c r="AC69" s="3">
        <v>41</v>
      </c>
      <c r="AD69" s="3">
        <v>340</v>
      </c>
      <c r="AE69" s="3"/>
      <c r="AF69" s="3">
        <v>290</v>
      </c>
      <c r="AG69" s="3">
        <v>168</v>
      </c>
      <c r="AH69" s="3">
        <v>201</v>
      </c>
      <c r="AI69" s="3">
        <v>84</v>
      </c>
      <c r="AJ69" s="3">
        <v>32</v>
      </c>
      <c r="AK69" s="3">
        <v>124</v>
      </c>
      <c r="AL69" s="3">
        <v>10</v>
      </c>
      <c r="AM69" s="3"/>
      <c r="AN69" s="3"/>
      <c r="AO69" s="3"/>
      <c r="AP69" s="3"/>
      <c r="AQ69" s="3"/>
      <c r="AR69" s="3">
        <v>0.48</v>
      </c>
      <c r="AS69" s="3">
        <f t="shared" ref="AS69:AS70" si="158">0.5*0.05</f>
        <v>2.5000000000000001E-2</v>
      </c>
      <c r="AT69" s="3">
        <f t="shared" ref="AT69:AT71" si="159">0.5*0.03</f>
        <v>1.4999999999999999E-2</v>
      </c>
      <c r="AU69" s="3"/>
      <c r="AV69" s="3"/>
      <c r="AW69" s="3">
        <v>2</v>
      </c>
      <c r="AX69" s="3">
        <v>28</v>
      </c>
      <c r="AY69" s="3"/>
      <c r="AZ69" s="3"/>
      <c r="BA69" s="3"/>
      <c r="BB69" s="3">
        <v>230</v>
      </c>
      <c r="BC69" s="3">
        <f t="shared" ref="BC69:BC70" si="160">0.5*30</f>
        <v>15</v>
      </c>
      <c r="BD69" s="3"/>
      <c r="BE69" s="3">
        <f t="shared" si="150"/>
        <v>0.1</v>
      </c>
      <c r="BF69" s="3">
        <f t="shared" si="154"/>
        <v>1</v>
      </c>
      <c r="BG69" s="3">
        <f t="shared" si="119"/>
        <v>0.1</v>
      </c>
      <c r="BH69" s="3">
        <f t="shared" si="128"/>
        <v>1</v>
      </c>
      <c r="BI69" s="3">
        <v>0.5</v>
      </c>
      <c r="BJ69" s="3">
        <v>65</v>
      </c>
      <c r="BK69" s="3">
        <v>2</v>
      </c>
      <c r="BL69" s="3">
        <f t="shared" ref="BL69:BN69" si="161">0.5*2</f>
        <v>1</v>
      </c>
      <c r="BM69" s="3">
        <f t="shared" si="161"/>
        <v>1</v>
      </c>
      <c r="BN69" s="3">
        <f t="shared" si="161"/>
        <v>1</v>
      </c>
      <c r="BO69" s="3">
        <f t="shared" ref="BO69:BQ92" si="162">0.5*0.2</f>
        <v>0.1</v>
      </c>
      <c r="BP69" s="3">
        <f t="shared" si="162"/>
        <v>0.1</v>
      </c>
      <c r="BQ69" s="3">
        <f t="shared" si="162"/>
        <v>0.1</v>
      </c>
      <c r="BR69" s="3">
        <f t="shared" si="123"/>
        <v>0.02</v>
      </c>
      <c r="BS69" s="3">
        <v>274</v>
      </c>
      <c r="BT69" s="3">
        <v>380</v>
      </c>
      <c r="BU69" s="3">
        <f t="shared" si="145"/>
        <v>1</v>
      </c>
      <c r="BV69" s="3">
        <f>0.5*2</f>
        <v>1</v>
      </c>
      <c r="BW69" s="3">
        <v>66</v>
      </c>
      <c r="BX69" s="3">
        <f t="shared" ref="BX69:CA70" si="163">0.5*20</f>
        <v>10</v>
      </c>
      <c r="BY69" s="3">
        <f t="shared" si="163"/>
        <v>10</v>
      </c>
      <c r="BZ69" s="3">
        <f t="shared" si="163"/>
        <v>10</v>
      </c>
      <c r="CA69" s="3">
        <f t="shared" si="163"/>
        <v>10</v>
      </c>
      <c r="CB69" s="3">
        <f t="shared" si="140"/>
        <v>1</v>
      </c>
      <c r="CC69" s="3">
        <f t="shared" si="140"/>
        <v>1</v>
      </c>
      <c r="CD69" s="3">
        <f t="shared" si="140"/>
        <v>1</v>
      </c>
      <c r="CE69" s="3">
        <f>0.5*0.1</f>
        <v>0.05</v>
      </c>
      <c r="CF69" s="3">
        <v>492</v>
      </c>
      <c r="CG69" s="3">
        <v>373</v>
      </c>
      <c r="CH69" s="3">
        <f t="shared" si="144"/>
        <v>10</v>
      </c>
      <c r="CI69" s="3"/>
      <c r="CJ69" s="3"/>
      <c r="CK69" s="3">
        <f t="shared" si="155"/>
        <v>5.0000000000000001E-4</v>
      </c>
      <c r="CL69" s="3">
        <f t="shared" si="156"/>
        <v>2.5000000000000001E-2</v>
      </c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>
        <v>36333.33</v>
      </c>
      <c r="CX69" s="3">
        <v>166.67</v>
      </c>
      <c r="CY69" s="3"/>
      <c r="CZ69" s="3"/>
      <c r="DA69" s="3"/>
    </row>
    <row r="70" spans="1:105" ht="12.5" x14ac:dyDescent="0.25">
      <c r="A70" s="3" t="s">
        <v>245</v>
      </c>
      <c r="B70" s="3" t="s">
        <v>246</v>
      </c>
      <c r="C70" s="4" t="s">
        <v>412</v>
      </c>
      <c r="D70" s="4" t="s">
        <v>333</v>
      </c>
      <c r="E70" s="4" t="s">
        <v>395</v>
      </c>
      <c r="F70" s="3" t="s">
        <v>107</v>
      </c>
      <c r="G70" s="3" t="s">
        <v>108</v>
      </c>
      <c r="H70" s="3" t="s">
        <v>248</v>
      </c>
      <c r="J70" s="3" t="s">
        <v>416</v>
      </c>
      <c r="K70" s="3" t="s">
        <v>417</v>
      </c>
      <c r="L70" s="3">
        <v>-24.696400000000001</v>
      </c>
      <c r="M70" s="3">
        <v>-59.817500000000003</v>
      </c>
      <c r="N70" s="3"/>
      <c r="O70" s="3"/>
      <c r="P70" s="3">
        <v>240</v>
      </c>
      <c r="Q70" s="3">
        <v>201</v>
      </c>
      <c r="R70" s="3">
        <v>8.2249999999999996</v>
      </c>
      <c r="S70" s="3">
        <v>-77.2</v>
      </c>
      <c r="T70" s="3">
        <v>4160</v>
      </c>
      <c r="U70" s="3">
        <v>2.2000000000000002</v>
      </c>
      <c r="V70" s="3">
        <v>25.7</v>
      </c>
      <c r="W70" s="3">
        <v>8</v>
      </c>
      <c r="X70" s="3">
        <v>98.5</v>
      </c>
      <c r="Y70" s="3">
        <v>95.3</v>
      </c>
      <c r="Z70" s="3">
        <v>2980</v>
      </c>
      <c r="AA70" s="3">
        <v>2644</v>
      </c>
      <c r="AB70" s="3">
        <v>300</v>
      </c>
      <c r="AC70" s="3">
        <v>28</v>
      </c>
      <c r="AD70" s="3">
        <v>479</v>
      </c>
      <c r="AE70" s="3"/>
      <c r="AF70" s="3">
        <v>247</v>
      </c>
      <c r="AG70" s="3">
        <v>614</v>
      </c>
      <c r="AH70" s="3">
        <v>1350</v>
      </c>
      <c r="AI70" s="3">
        <v>89</v>
      </c>
      <c r="AJ70" s="3">
        <v>62</v>
      </c>
      <c r="AK70" s="3">
        <v>853</v>
      </c>
      <c r="AL70" s="3">
        <v>14</v>
      </c>
      <c r="AM70" s="3"/>
      <c r="AN70" s="3"/>
      <c r="AO70" s="3"/>
      <c r="AP70" s="3"/>
      <c r="AQ70" s="3"/>
      <c r="AR70" s="3">
        <v>0.52</v>
      </c>
      <c r="AS70" s="3">
        <f t="shared" si="158"/>
        <v>2.5000000000000001E-2</v>
      </c>
      <c r="AT70" s="3">
        <f t="shared" si="159"/>
        <v>1.4999999999999999E-2</v>
      </c>
      <c r="AU70" s="3"/>
      <c r="AV70" s="3"/>
      <c r="AW70" s="3">
        <f>0.5*2</f>
        <v>1</v>
      </c>
      <c r="AX70" s="3">
        <v>16</v>
      </c>
      <c r="AY70" s="3"/>
      <c r="AZ70" s="3"/>
      <c r="BA70" s="3"/>
      <c r="BB70" s="3">
        <v>430</v>
      </c>
      <c r="BC70" s="3">
        <f t="shared" si="160"/>
        <v>15</v>
      </c>
      <c r="BD70" s="3"/>
      <c r="BE70" s="3">
        <f t="shared" si="150"/>
        <v>0.1</v>
      </c>
      <c r="BF70" s="3">
        <f t="shared" si="154"/>
        <v>1</v>
      </c>
      <c r="BG70" s="3">
        <f t="shared" si="119"/>
        <v>0.1</v>
      </c>
      <c r="BH70" s="3">
        <f t="shared" si="128"/>
        <v>1</v>
      </c>
      <c r="BI70" s="3">
        <v>0.9</v>
      </c>
      <c r="BJ70" s="3">
        <v>33</v>
      </c>
      <c r="BK70" s="3">
        <v>3</v>
      </c>
      <c r="BL70" s="3">
        <v>4</v>
      </c>
      <c r="BM70" s="3">
        <v>3</v>
      </c>
      <c r="BN70" s="3">
        <v>4</v>
      </c>
      <c r="BO70" s="3">
        <f t="shared" si="162"/>
        <v>0.1</v>
      </c>
      <c r="BP70" s="3">
        <f t="shared" si="162"/>
        <v>0.1</v>
      </c>
      <c r="BQ70" s="3">
        <f t="shared" si="162"/>
        <v>0.1</v>
      </c>
      <c r="BR70" s="3">
        <f t="shared" si="123"/>
        <v>0.02</v>
      </c>
      <c r="BS70" s="3">
        <v>191</v>
      </c>
      <c r="BT70" s="3">
        <v>1521</v>
      </c>
      <c r="BU70" s="3">
        <v>5</v>
      </c>
      <c r="BV70" s="3">
        <v>9</v>
      </c>
      <c r="BW70" s="3">
        <v>135</v>
      </c>
      <c r="BX70" s="3">
        <f t="shared" si="163"/>
        <v>10</v>
      </c>
      <c r="BY70" s="3">
        <f t="shared" si="163"/>
        <v>10</v>
      </c>
      <c r="BZ70" s="3">
        <f t="shared" si="163"/>
        <v>10</v>
      </c>
      <c r="CA70" s="3">
        <f t="shared" si="163"/>
        <v>10</v>
      </c>
      <c r="CB70" s="3">
        <f t="shared" si="140"/>
        <v>1</v>
      </c>
      <c r="CC70" s="3">
        <f t="shared" si="140"/>
        <v>1</v>
      </c>
      <c r="CD70" s="3">
        <f t="shared" si="140"/>
        <v>1</v>
      </c>
      <c r="CE70" s="3">
        <v>0.28299999999999997</v>
      </c>
      <c r="CF70" s="3">
        <v>4538</v>
      </c>
      <c r="CG70" s="3">
        <v>2056</v>
      </c>
      <c r="CH70" s="3">
        <f t="shared" si="144"/>
        <v>10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>
        <v>1783.33</v>
      </c>
      <c r="CT70" s="3"/>
      <c r="CU70" s="3"/>
      <c r="CV70" s="3">
        <v>27</v>
      </c>
      <c r="CW70" s="3">
        <v>14490</v>
      </c>
      <c r="CX70" s="3">
        <v>340</v>
      </c>
      <c r="CY70" s="3">
        <v>0.93</v>
      </c>
      <c r="CZ70" s="3"/>
      <c r="DA70" s="3"/>
    </row>
    <row r="71" spans="1:105" ht="12.5" x14ac:dyDescent="0.25">
      <c r="A71" s="3" t="s">
        <v>418</v>
      </c>
      <c r="B71" s="3" t="s">
        <v>419</v>
      </c>
      <c r="C71" s="4" t="s">
        <v>412</v>
      </c>
      <c r="D71" s="4" t="s">
        <v>176</v>
      </c>
      <c r="E71" s="4" t="s">
        <v>395</v>
      </c>
      <c r="F71" s="3" t="s">
        <v>107</v>
      </c>
      <c r="G71" s="3" t="s">
        <v>108</v>
      </c>
      <c r="H71" s="3" t="s">
        <v>171</v>
      </c>
      <c r="J71" s="3" t="s">
        <v>420</v>
      </c>
      <c r="K71" s="3" t="s">
        <v>421</v>
      </c>
      <c r="L71" s="3">
        <v>-25.148700000000002</v>
      </c>
      <c r="M71" s="3">
        <v>-59.679400000000001</v>
      </c>
      <c r="N71" s="3"/>
      <c r="O71" s="3"/>
      <c r="P71" s="3">
        <v>35.5</v>
      </c>
      <c r="Q71" s="3">
        <v>185.8</v>
      </c>
      <c r="R71" s="3">
        <v>8.6129999999999995</v>
      </c>
      <c r="S71" s="3">
        <v>-98</v>
      </c>
      <c r="T71" s="3">
        <v>28200</v>
      </c>
      <c r="U71" s="3">
        <v>17.2</v>
      </c>
      <c r="V71" s="3">
        <v>19.899999999999999</v>
      </c>
      <c r="W71" s="3">
        <v>8.15</v>
      </c>
      <c r="X71" s="3">
        <v>89.7</v>
      </c>
      <c r="Y71" s="3">
        <v>216</v>
      </c>
      <c r="Z71" s="3">
        <v>24790</v>
      </c>
      <c r="AA71" s="3">
        <v>2980</v>
      </c>
      <c r="AB71" s="3">
        <v>21700</v>
      </c>
      <c r="AC71" s="3">
        <v>39</v>
      </c>
      <c r="AD71" s="3">
        <v>3017</v>
      </c>
      <c r="AE71" s="3"/>
      <c r="AF71" s="3">
        <v>493</v>
      </c>
      <c r="AG71" s="3">
        <v>4899</v>
      </c>
      <c r="AH71" s="3">
        <v>8636</v>
      </c>
      <c r="AI71" s="3">
        <v>332</v>
      </c>
      <c r="AJ71" s="3">
        <v>532</v>
      </c>
      <c r="AK71" s="3">
        <v>6303</v>
      </c>
      <c r="AL71" s="3">
        <v>70</v>
      </c>
      <c r="AM71" s="3"/>
      <c r="AN71" s="3"/>
      <c r="AO71" s="3"/>
      <c r="AP71" s="3"/>
      <c r="AQ71" s="3"/>
      <c r="AR71" s="3">
        <v>3.1</v>
      </c>
      <c r="AS71" s="3">
        <v>0.21</v>
      </c>
      <c r="AT71" s="3">
        <f t="shared" si="159"/>
        <v>1.4999999999999999E-2</v>
      </c>
      <c r="AU71" s="3"/>
      <c r="AV71" s="3"/>
      <c r="AW71" s="3">
        <v>5</v>
      </c>
      <c r="AX71" s="3">
        <v>187</v>
      </c>
      <c r="AY71" s="3"/>
      <c r="AZ71" s="3"/>
      <c r="BA71" s="3"/>
      <c r="BB71" s="3">
        <v>930</v>
      </c>
      <c r="BC71" s="3">
        <v>210</v>
      </c>
      <c r="BD71" s="3"/>
      <c r="BE71" s="3">
        <f t="shared" si="150"/>
        <v>0.1</v>
      </c>
      <c r="BF71" s="3">
        <f t="shared" si="154"/>
        <v>1</v>
      </c>
      <c r="BG71" s="3">
        <f t="shared" si="119"/>
        <v>0.1</v>
      </c>
      <c r="BH71" s="3">
        <f t="shared" si="128"/>
        <v>1</v>
      </c>
      <c r="BI71" s="3">
        <v>1</v>
      </c>
      <c r="BJ71" s="3">
        <v>2075</v>
      </c>
      <c r="BK71" s="3">
        <v>9</v>
      </c>
      <c r="BL71" s="3">
        <v>39</v>
      </c>
      <c r="BM71" s="3">
        <v>9</v>
      </c>
      <c r="BN71" s="3">
        <v>31</v>
      </c>
      <c r="BO71" s="3">
        <f t="shared" si="162"/>
        <v>0.1</v>
      </c>
      <c r="BP71" s="3">
        <f t="shared" si="162"/>
        <v>0.1</v>
      </c>
      <c r="BQ71" s="3">
        <f t="shared" si="162"/>
        <v>0.1</v>
      </c>
      <c r="BR71" s="3">
        <f t="shared" si="123"/>
        <v>0.02</v>
      </c>
      <c r="BS71" s="3">
        <v>583</v>
      </c>
      <c r="BT71" s="3">
        <v>3652</v>
      </c>
      <c r="BU71" s="3">
        <v>18</v>
      </c>
      <c r="BV71" s="3">
        <v>10</v>
      </c>
      <c r="BW71" s="3">
        <v>2498</v>
      </c>
      <c r="BX71" s="3">
        <v>25</v>
      </c>
      <c r="BY71" s="3">
        <v>53</v>
      </c>
      <c r="BZ71" s="3">
        <v>48</v>
      </c>
      <c r="CA71" s="3">
        <v>38</v>
      </c>
      <c r="CB71" s="3">
        <f t="shared" ref="CB71:CD90" si="164">0.5*2</f>
        <v>1</v>
      </c>
      <c r="CC71" s="3">
        <v>3</v>
      </c>
      <c r="CD71" s="3">
        <f>0.5*2</f>
        <v>1</v>
      </c>
      <c r="CE71" s="3">
        <f t="shared" ref="CE71:CE86" si="165">0.5*0.1</f>
        <v>0.05</v>
      </c>
      <c r="CF71" s="3">
        <v>6405</v>
      </c>
      <c r="CG71" s="3">
        <v>8581</v>
      </c>
      <c r="CH71" s="3">
        <v>55</v>
      </c>
      <c r="CI71" s="3"/>
      <c r="CJ71" s="3"/>
      <c r="CK71" s="3"/>
      <c r="CL71" s="3"/>
      <c r="CM71" s="3"/>
      <c r="CN71" s="3">
        <v>1.71</v>
      </c>
      <c r="CO71" s="3">
        <v>1.8</v>
      </c>
      <c r="CP71" s="3"/>
      <c r="CQ71" s="3">
        <v>0.32</v>
      </c>
      <c r="CR71" s="3"/>
      <c r="CS71" s="3">
        <v>227.14</v>
      </c>
      <c r="CT71" s="3"/>
      <c r="CU71" s="3">
        <v>0.65</v>
      </c>
      <c r="CV71" s="3">
        <v>0.41</v>
      </c>
      <c r="CW71" s="3">
        <v>268.29000000000002</v>
      </c>
      <c r="CX71" s="3">
        <v>19.489999999999998</v>
      </c>
      <c r="CY71" s="3"/>
      <c r="CZ71" s="3">
        <v>0.74</v>
      </c>
      <c r="DA71" s="3"/>
    </row>
    <row r="72" spans="1:105" ht="12.5" x14ac:dyDescent="0.25">
      <c r="A72" s="3" t="s">
        <v>251</v>
      </c>
      <c r="B72" s="3" t="s">
        <v>252</v>
      </c>
      <c r="C72" s="4" t="s">
        <v>422</v>
      </c>
      <c r="D72" s="4" t="s">
        <v>247</v>
      </c>
      <c r="E72" s="4" t="s">
        <v>395</v>
      </c>
      <c r="F72" s="3" t="s">
        <v>107</v>
      </c>
      <c r="G72" s="3" t="s">
        <v>108</v>
      </c>
      <c r="H72" s="3" t="s">
        <v>255</v>
      </c>
      <c r="J72" s="3" t="s">
        <v>423</v>
      </c>
      <c r="K72" s="3" t="s">
        <v>424</v>
      </c>
      <c r="L72" s="3">
        <v>-22.527899999999999</v>
      </c>
      <c r="M72" s="3">
        <v>-66.350200000000001</v>
      </c>
      <c r="N72" s="3">
        <v>0.17699999999999999</v>
      </c>
      <c r="O72" s="3">
        <v>0</v>
      </c>
      <c r="P72" s="3">
        <v>827</v>
      </c>
      <c r="Q72" s="3">
        <v>142.5</v>
      </c>
      <c r="R72" s="3">
        <v>8.3450000000000006</v>
      </c>
      <c r="S72" s="3">
        <v>-79.8</v>
      </c>
      <c r="T72" s="3">
        <v>1209</v>
      </c>
      <c r="U72" s="3">
        <v>0.5</v>
      </c>
      <c r="V72" s="3">
        <v>9.6</v>
      </c>
      <c r="W72" s="3">
        <v>7.72</v>
      </c>
      <c r="X72" s="3">
        <v>108</v>
      </c>
      <c r="Y72" s="3">
        <v>7.12</v>
      </c>
      <c r="Z72" s="3">
        <v>708</v>
      </c>
      <c r="AA72" s="3">
        <v>708</v>
      </c>
      <c r="AB72" s="3">
        <f>0.5*1</f>
        <v>0.5</v>
      </c>
      <c r="AC72" s="3">
        <v>8</v>
      </c>
      <c r="AD72" s="3">
        <v>85.9</v>
      </c>
      <c r="AE72" s="3">
        <v>15</v>
      </c>
      <c r="AF72" s="3">
        <v>110</v>
      </c>
      <c r="AG72" s="3">
        <v>16.899999999999999</v>
      </c>
      <c r="AH72" s="3">
        <v>72.7</v>
      </c>
      <c r="AI72" s="3">
        <v>12.96</v>
      </c>
      <c r="AJ72" s="3">
        <v>13</v>
      </c>
      <c r="AK72" s="3">
        <v>155</v>
      </c>
      <c r="AL72" s="3">
        <v>16.3</v>
      </c>
      <c r="AM72" s="3">
        <v>15.49</v>
      </c>
      <c r="AN72" s="3">
        <v>13.22</v>
      </c>
      <c r="AO72" s="3">
        <v>156.30000000000001</v>
      </c>
      <c r="AP72" s="3">
        <v>16.5</v>
      </c>
      <c r="AQ72" s="3">
        <v>0.34</v>
      </c>
      <c r="AR72" s="3">
        <v>0.31</v>
      </c>
      <c r="AS72" s="3">
        <v>0.17</v>
      </c>
      <c r="AT72" s="3">
        <f>0.5*0.02</f>
        <v>0.01</v>
      </c>
      <c r="AU72" s="3">
        <v>3.38</v>
      </c>
      <c r="AV72" s="3">
        <v>2.9</v>
      </c>
      <c r="AW72" s="3">
        <v>8</v>
      </c>
      <c r="AX72" s="3">
        <v>10</v>
      </c>
      <c r="AY72" s="3">
        <v>59</v>
      </c>
      <c r="AZ72" s="3">
        <v>44</v>
      </c>
      <c r="BA72" s="3">
        <v>0</v>
      </c>
      <c r="BB72" s="3"/>
      <c r="BC72" s="3"/>
      <c r="BD72" s="3"/>
      <c r="BE72" s="3">
        <f t="shared" si="150"/>
        <v>0.1</v>
      </c>
      <c r="BF72" s="3">
        <f t="shared" si="154"/>
        <v>1</v>
      </c>
      <c r="BG72" s="3">
        <v>0.2</v>
      </c>
      <c r="BH72" s="3">
        <f t="shared" si="128"/>
        <v>1</v>
      </c>
      <c r="BI72" s="3">
        <v>0.3</v>
      </c>
      <c r="BJ72" s="3">
        <v>3</v>
      </c>
      <c r="BK72" s="3">
        <f t="shared" ref="BK72:BL72" si="166">0.5*2</f>
        <v>1</v>
      </c>
      <c r="BL72" s="3">
        <f t="shared" si="166"/>
        <v>1</v>
      </c>
      <c r="BM72" s="3">
        <v>5</v>
      </c>
      <c r="BN72" s="3">
        <v>12</v>
      </c>
      <c r="BO72" s="3">
        <f t="shared" si="162"/>
        <v>0.1</v>
      </c>
      <c r="BP72" s="3">
        <f t="shared" si="162"/>
        <v>0.1</v>
      </c>
      <c r="BQ72" s="3">
        <f t="shared" si="162"/>
        <v>0.1</v>
      </c>
      <c r="BR72" s="3">
        <f t="shared" si="123"/>
        <v>0.02</v>
      </c>
      <c r="BS72" s="3">
        <v>86</v>
      </c>
      <c r="BT72" s="3">
        <v>2892</v>
      </c>
      <c r="BU72" s="3">
        <v>2</v>
      </c>
      <c r="BV72" s="3">
        <f>0.5*2</f>
        <v>1</v>
      </c>
      <c r="BW72" s="3">
        <f t="shared" ref="BW72:CA75" si="167">0.5*20</f>
        <v>10</v>
      </c>
      <c r="BX72" s="3">
        <f t="shared" si="167"/>
        <v>10</v>
      </c>
      <c r="BY72" s="3">
        <f t="shared" si="167"/>
        <v>10</v>
      </c>
      <c r="BZ72" s="3">
        <f t="shared" si="167"/>
        <v>10</v>
      </c>
      <c r="CA72" s="3">
        <f t="shared" si="167"/>
        <v>10</v>
      </c>
      <c r="CB72" s="3">
        <f t="shared" si="164"/>
        <v>1</v>
      </c>
      <c r="CC72" s="3">
        <f t="shared" si="164"/>
        <v>1</v>
      </c>
      <c r="CD72" s="3">
        <f t="shared" si="164"/>
        <v>1</v>
      </c>
      <c r="CE72" s="3">
        <f t="shared" si="165"/>
        <v>0.05</v>
      </c>
      <c r="CF72" s="3">
        <v>500</v>
      </c>
      <c r="CG72" s="3">
        <v>12748</v>
      </c>
      <c r="CH72" s="3">
        <f t="shared" ref="CH72:CH103" si="168">0.5*20</f>
        <v>10</v>
      </c>
      <c r="CI72" s="3">
        <f>0.5*0.002</f>
        <v>1E-3</v>
      </c>
      <c r="CJ72" s="3">
        <v>2E-3</v>
      </c>
      <c r="CK72" s="3">
        <f t="shared" ref="CK72:CK79" si="169">0.5*0.001</f>
        <v>5.0000000000000001E-4</v>
      </c>
      <c r="CL72" s="3">
        <f>0.5*0.038</f>
        <v>1.9E-2</v>
      </c>
      <c r="CM72" s="3"/>
      <c r="CN72" s="3"/>
      <c r="CO72" s="3"/>
      <c r="CP72" s="3"/>
      <c r="CQ72" s="3"/>
      <c r="CR72" s="3"/>
      <c r="CS72" s="3">
        <v>9856000</v>
      </c>
      <c r="CT72" s="3"/>
      <c r="CU72" s="3"/>
      <c r="CV72" s="3"/>
      <c r="CW72" s="3">
        <v>414000</v>
      </c>
      <c r="CX72" s="3"/>
      <c r="CY72" s="3"/>
      <c r="CZ72" s="3"/>
      <c r="DA72" s="3"/>
    </row>
    <row r="73" spans="1:105" ht="12.5" x14ac:dyDescent="0.25">
      <c r="A73" s="3" t="s">
        <v>258</v>
      </c>
      <c r="B73" s="3" t="s">
        <v>259</v>
      </c>
      <c r="C73" s="4" t="s">
        <v>425</v>
      </c>
      <c r="D73" s="4" t="s">
        <v>426</v>
      </c>
      <c r="E73" s="4" t="s">
        <v>395</v>
      </c>
      <c r="F73" s="3" t="s">
        <v>107</v>
      </c>
      <c r="G73" s="3" t="s">
        <v>108</v>
      </c>
      <c r="H73" s="3" t="s">
        <v>258</v>
      </c>
      <c r="I73" s="3" t="s">
        <v>125</v>
      </c>
      <c r="J73" s="3" t="s">
        <v>427</v>
      </c>
      <c r="K73" s="3" t="s">
        <v>428</v>
      </c>
      <c r="L73" s="3">
        <v>-22.0977</v>
      </c>
      <c r="M73" s="3">
        <v>-65.585999999999999</v>
      </c>
      <c r="N73" s="3">
        <v>0.32800000000000001</v>
      </c>
      <c r="O73" s="3">
        <v>0</v>
      </c>
      <c r="P73" s="3">
        <v>999</v>
      </c>
      <c r="Q73" s="3">
        <v>76.599999999999994</v>
      </c>
      <c r="R73" s="3">
        <v>8.4849999999999994</v>
      </c>
      <c r="S73" s="3">
        <v>-91.2</v>
      </c>
      <c r="T73" s="3">
        <v>1001</v>
      </c>
      <c r="U73" s="3">
        <v>0.4</v>
      </c>
      <c r="V73" s="3">
        <v>21.7</v>
      </c>
      <c r="W73" s="3">
        <v>3.21</v>
      </c>
      <c r="X73" s="3">
        <v>56</v>
      </c>
      <c r="Y73" s="3">
        <v>112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>
        <f t="shared" si="150"/>
        <v>0.1</v>
      </c>
      <c r="BF73" s="3">
        <f t="shared" si="154"/>
        <v>1</v>
      </c>
      <c r="BG73" s="3">
        <f t="shared" ref="BG73:BG86" si="170">0.5*0.2</f>
        <v>0.1</v>
      </c>
      <c r="BH73" s="3">
        <f t="shared" si="128"/>
        <v>1</v>
      </c>
      <c r="BI73" s="3">
        <v>1</v>
      </c>
      <c r="BJ73" s="3">
        <v>68</v>
      </c>
      <c r="BK73" s="3">
        <v>2</v>
      </c>
      <c r="BL73" s="3">
        <v>3</v>
      </c>
      <c r="BM73" s="3">
        <v>16</v>
      </c>
      <c r="BN73" s="3">
        <v>10</v>
      </c>
      <c r="BO73" s="3">
        <f t="shared" si="162"/>
        <v>0.1</v>
      </c>
      <c r="BP73" s="3">
        <v>0.6</v>
      </c>
      <c r="BQ73" s="3">
        <f>0.5*0.2</f>
        <v>0.1</v>
      </c>
      <c r="BR73" s="3">
        <f t="shared" si="123"/>
        <v>0.02</v>
      </c>
      <c r="BS73" s="3">
        <v>153</v>
      </c>
      <c r="BT73" s="3">
        <v>1046</v>
      </c>
      <c r="BU73" s="3">
        <f t="shared" ref="BU73:BV98" si="171">0.5*2</f>
        <v>1</v>
      </c>
      <c r="BV73" s="3">
        <v>5</v>
      </c>
      <c r="BW73" s="3">
        <v>91</v>
      </c>
      <c r="BX73" s="3">
        <f t="shared" si="167"/>
        <v>10</v>
      </c>
      <c r="BY73" s="3">
        <f t="shared" si="167"/>
        <v>10</v>
      </c>
      <c r="BZ73" s="3">
        <v>63</v>
      </c>
      <c r="CA73" s="3">
        <f>0.5*20</f>
        <v>10</v>
      </c>
      <c r="CB73" s="3">
        <f t="shared" si="164"/>
        <v>1</v>
      </c>
      <c r="CC73" s="3">
        <v>3</v>
      </c>
      <c r="CD73" s="3">
        <f>0.5*2</f>
        <v>1</v>
      </c>
      <c r="CE73" s="3">
        <f t="shared" si="165"/>
        <v>0.05</v>
      </c>
      <c r="CF73" s="3">
        <v>1916</v>
      </c>
      <c r="CG73" s="3">
        <v>980</v>
      </c>
      <c r="CH73" s="3">
        <f t="shared" si="168"/>
        <v>10</v>
      </c>
      <c r="CI73" s="3"/>
      <c r="CJ73" s="3"/>
      <c r="CK73" s="3">
        <f t="shared" si="169"/>
        <v>5.0000000000000001E-4</v>
      </c>
      <c r="CL73" s="3">
        <v>0.56999999999999995</v>
      </c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1:105" ht="12.5" x14ac:dyDescent="0.25">
      <c r="A74" s="3" t="s">
        <v>128</v>
      </c>
      <c r="B74" s="3" t="s">
        <v>129</v>
      </c>
      <c r="C74" s="4" t="s">
        <v>429</v>
      </c>
      <c r="D74" s="4" t="s">
        <v>430</v>
      </c>
      <c r="E74" s="4" t="s">
        <v>395</v>
      </c>
      <c r="F74" s="3" t="s">
        <v>107</v>
      </c>
      <c r="G74" s="3" t="s">
        <v>108</v>
      </c>
      <c r="H74" s="3" t="s">
        <v>131</v>
      </c>
      <c r="I74" s="3" t="s">
        <v>132</v>
      </c>
      <c r="J74" s="3" t="s">
        <v>431</v>
      </c>
      <c r="K74" s="3" t="s">
        <v>432</v>
      </c>
      <c r="L74" s="3">
        <v>-20.7423</v>
      </c>
      <c r="M74" s="3">
        <v>-65.241</v>
      </c>
      <c r="N74" s="3">
        <v>0.39800000000000002</v>
      </c>
      <c r="O74" s="3">
        <v>2</v>
      </c>
      <c r="P74" s="3">
        <v>767</v>
      </c>
      <c r="Q74" s="3">
        <v>161.4</v>
      </c>
      <c r="R74" s="3">
        <v>8.7110000000000003</v>
      </c>
      <c r="S74" s="3">
        <v>-105</v>
      </c>
      <c r="T74" s="3">
        <v>1303</v>
      </c>
      <c r="U74" s="3">
        <v>0.6</v>
      </c>
      <c r="V74" s="3">
        <v>23.7</v>
      </c>
      <c r="W74" s="3">
        <v>6.64</v>
      </c>
      <c r="X74" s="3">
        <v>104.4</v>
      </c>
      <c r="Y74" s="3">
        <v>13.3</v>
      </c>
      <c r="Z74" s="3">
        <v>1102</v>
      </c>
      <c r="AA74" s="3">
        <v>1100</v>
      </c>
      <c r="AB74" s="3">
        <v>2</v>
      </c>
      <c r="AC74" s="3">
        <v>4</v>
      </c>
      <c r="AD74" s="3">
        <v>491.8</v>
      </c>
      <c r="AE74" s="3">
        <v>15</v>
      </c>
      <c r="AF74" s="3">
        <v>150</v>
      </c>
      <c r="AG74" s="3">
        <v>50</v>
      </c>
      <c r="AH74" s="3">
        <v>353</v>
      </c>
      <c r="AI74" s="3">
        <v>56</v>
      </c>
      <c r="AJ74" s="3">
        <v>85</v>
      </c>
      <c r="AK74" s="3">
        <v>84</v>
      </c>
      <c r="AL74" s="3">
        <v>8.1</v>
      </c>
      <c r="AM74" s="3">
        <v>56.79</v>
      </c>
      <c r="AN74" s="3">
        <v>86.68</v>
      </c>
      <c r="AO74" s="3">
        <v>84.6</v>
      </c>
      <c r="AP74" s="3">
        <v>8.6</v>
      </c>
      <c r="AQ74" s="3">
        <v>0.34</v>
      </c>
      <c r="AR74" s="3">
        <v>0.28000000000000003</v>
      </c>
      <c r="AS74" s="3">
        <v>3.74</v>
      </c>
      <c r="AT74" s="3">
        <f>0.5*0.02</f>
        <v>0.01</v>
      </c>
      <c r="AU74" s="3">
        <f>0.5*0.01</f>
        <v>5.0000000000000001E-3</v>
      </c>
      <c r="AV74" s="3">
        <v>3.6</v>
      </c>
      <c r="AW74" s="3">
        <v>6</v>
      </c>
      <c r="AX74" s="3">
        <v>7</v>
      </c>
      <c r="AY74" s="3">
        <v>20</v>
      </c>
      <c r="AZ74" s="3">
        <v>0</v>
      </c>
      <c r="BA74" s="3">
        <v>0</v>
      </c>
      <c r="BB74" s="3"/>
      <c r="BC74" s="3"/>
      <c r="BD74" s="3"/>
      <c r="BE74" s="3">
        <f t="shared" si="150"/>
        <v>0.1</v>
      </c>
      <c r="BF74" s="3">
        <f t="shared" si="154"/>
        <v>1</v>
      </c>
      <c r="BG74" s="3">
        <f t="shared" si="170"/>
        <v>0.1</v>
      </c>
      <c r="BH74" s="3">
        <f t="shared" si="128"/>
        <v>1</v>
      </c>
      <c r="BI74" s="3">
        <v>0.4</v>
      </c>
      <c r="BJ74" s="3">
        <v>191</v>
      </c>
      <c r="BK74" s="3">
        <v>8</v>
      </c>
      <c r="BL74" s="3">
        <f t="shared" ref="BL74:BM76" si="172">0.5*2</f>
        <v>1</v>
      </c>
      <c r="BM74" s="3">
        <f t="shared" si="172"/>
        <v>1</v>
      </c>
      <c r="BN74" s="3">
        <v>2</v>
      </c>
      <c r="BO74" s="3">
        <f t="shared" si="162"/>
        <v>0.1</v>
      </c>
      <c r="BP74" s="3">
        <f t="shared" si="162"/>
        <v>0.1</v>
      </c>
      <c r="BQ74" s="3">
        <f t="shared" si="162"/>
        <v>0.1</v>
      </c>
      <c r="BR74" s="3">
        <f t="shared" si="123"/>
        <v>0.02</v>
      </c>
      <c r="BS74" s="3">
        <v>530</v>
      </c>
      <c r="BT74" s="3">
        <v>2376</v>
      </c>
      <c r="BU74" s="3">
        <f t="shared" si="171"/>
        <v>1</v>
      </c>
      <c r="BV74" s="3">
        <f t="shared" si="171"/>
        <v>1</v>
      </c>
      <c r="BW74" s="3">
        <v>131</v>
      </c>
      <c r="BX74" s="3">
        <f t="shared" si="167"/>
        <v>10</v>
      </c>
      <c r="BY74" s="3">
        <f t="shared" si="167"/>
        <v>10</v>
      </c>
      <c r="BZ74" s="3">
        <f t="shared" si="167"/>
        <v>10</v>
      </c>
      <c r="CA74" s="3">
        <f t="shared" si="167"/>
        <v>10</v>
      </c>
      <c r="CB74" s="3">
        <f t="shared" si="164"/>
        <v>1</v>
      </c>
      <c r="CC74" s="3">
        <f t="shared" si="164"/>
        <v>1</v>
      </c>
      <c r="CD74" s="3">
        <f t="shared" si="164"/>
        <v>1</v>
      </c>
      <c r="CE74" s="3">
        <f t="shared" si="165"/>
        <v>0.05</v>
      </c>
      <c r="CF74" s="3">
        <v>757</v>
      </c>
      <c r="CG74" s="3">
        <v>1326</v>
      </c>
      <c r="CH74" s="3">
        <f t="shared" si="168"/>
        <v>10</v>
      </c>
      <c r="CI74" s="3">
        <f t="shared" ref="CI74:CI86" si="173">0.5*0.002</f>
        <v>1E-3</v>
      </c>
      <c r="CJ74" s="3"/>
      <c r="CK74" s="3">
        <f t="shared" si="169"/>
        <v>5.0000000000000001E-4</v>
      </c>
      <c r="CL74" s="3">
        <f t="shared" ref="CL74:CL76" si="174">0.5*0.038</f>
        <v>1.9E-2</v>
      </c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>
        <v>113500</v>
      </c>
      <c r="CX74" s="3"/>
      <c r="CY74" s="3"/>
      <c r="CZ74" s="3"/>
      <c r="DA74" s="3"/>
    </row>
    <row r="75" spans="1:105" ht="12.5" x14ac:dyDescent="0.25">
      <c r="A75" s="3" t="s">
        <v>120</v>
      </c>
      <c r="B75" s="3" t="s">
        <v>121</v>
      </c>
      <c r="C75" s="4" t="s">
        <v>429</v>
      </c>
      <c r="D75" s="4" t="s">
        <v>242</v>
      </c>
      <c r="E75" s="4" t="s">
        <v>395</v>
      </c>
      <c r="F75" s="3" t="s">
        <v>107</v>
      </c>
      <c r="G75" s="3" t="s">
        <v>108</v>
      </c>
      <c r="H75" s="3" t="s">
        <v>124</v>
      </c>
      <c r="I75" s="3" t="s">
        <v>125</v>
      </c>
      <c r="J75" s="3" t="s">
        <v>433</v>
      </c>
      <c r="K75" s="3" t="s">
        <v>434</v>
      </c>
      <c r="L75" s="3">
        <v>-21.2394</v>
      </c>
      <c r="M75" s="3">
        <v>-65.2089</v>
      </c>
      <c r="N75" s="3">
        <v>0.13700000000000001</v>
      </c>
      <c r="O75" s="3">
        <v>0</v>
      </c>
      <c r="P75" s="3">
        <v>394</v>
      </c>
      <c r="Q75" s="3">
        <v>285</v>
      </c>
      <c r="R75" s="3">
        <v>7.7249999999999996</v>
      </c>
      <c r="S75" s="3">
        <v>-48.4</v>
      </c>
      <c r="T75" s="3">
        <v>2530</v>
      </c>
      <c r="U75" s="3">
        <v>1.3</v>
      </c>
      <c r="V75" s="3">
        <v>26.1</v>
      </c>
      <c r="W75" s="3">
        <v>11.21</v>
      </c>
      <c r="X75" s="3">
        <v>186.5</v>
      </c>
      <c r="Y75" s="3">
        <v>2.91</v>
      </c>
      <c r="Z75" s="3">
        <v>2423</v>
      </c>
      <c r="AA75" s="3">
        <v>2422</v>
      </c>
      <c r="AB75" s="3">
        <v>1</v>
      </c>
      <c r="AC75" s="3">
        <v>5</v>
      </c>
      <c r="AD75" s="3">
        <v>711.6</v>
      </c>
      <c r="AE75" s="3">
        <v>15</v>
      </c>
      <c r="AF75" s="3">
        <v>205</v>
      </c>
      <c r="AG75" s="3">
        <v>50</v>
      </c>
      <c r="AH75" s="3">
        <v>1737.5</v>
      </c>
      <c r="AI75" s="3">
        <v>125</v>
      </c>
      <c r="AJ75" s="3">
        <v>97</v>
      </c>
      <c r="AK75" s="3">
        <v>188.8</v>
      </c>
      <c r="AL75" s="3">
        <v>9.9</v>
      </c>
      <c r="AM75" s="3">
        <v>126.81</v>
      </c>
      <c r="AN75" s="3">
        <v>99.06</v>
      </c>
      <c r="AO75" s="3">
        <v>192.8</v>
      </c>
      <c r="AP75" s="3">
        <v>10</v>
      </c>
      <c r="AQ75" s="3">
        <v>0.52</v>
      </c>
      <c r="AR75" s="3">
        <v>0.43</v>
      </c>
      <c r="AS75" s="3">
        <v>4.0199999999999996</v>
      </c>
      <c r="AT75" s="3">
        <v>0.1</v>
      </c>
      <c r="AU75" s="3">
        <v>5.39</v>
      </c>
      <c r="AV75" s="3">
        <v>2.9</v>
      </c>
      <c r="AW75" s="3">
        <v>7</v>
      </c>
      <c r="AX75" s="3">
        <v>8</v>
      </c>
      <c r="AY75" s="3">
        <v>20</v>
      </c>
      <c r="AZ75" s="3">
        <v>12</v>
      </c>
      <c r="BA75" s="3">
        <v>12</v>
      </c>
      <c r="BB75" s="3"/>
      <c r="BC75" s="3"/>
      <c r="BD75" s="3"/>
      <c r="BE75" s="3">
        <f t="shared" si="150"/>
        <v>0.1</v>
      </c>
      <c r="BF75" s="3">
        <f t="shared" si="154"/>
        <v>1</v>
      </c>
      <c r="BG75" s="3">
        <f t="shared" si="170"/>
        <v>0.1</v>
      </c>
      <c r="BH75" s="3">
        <f t="shared" si="128"/>
        <v>1</v>
      </c>
      <c r="BI75" s="3">
        <v>0.6</v>
      </c>
      <c r="BJ75" s="3">
        <v>7</v>
      </c>
      <c r="BK75" s="3">
        <v>3</v>
      </c>
      <c r="BL75" s="3">
        <f t="shared" si="172"/>
        <v>1</v>
      </c>
      <c r="BM75" s="3">
        <f t="shared" si="172"/>
        <v>1</v>
      </c>
      <c r="BN75" s="3">
        <v>3</v>
      </c>
      <c r="BO75" s="3">
        <f t="shared" si="162"/>
        <v>0.1</v>
      </c>
      <c r="BP75" s="3">
        <f t="shared" si="162"/>
        <v>0.1</v>
      </c>
      <c r="BQ75" s="3">
        <f t="shared" si="162"/>
        <v>0.1</v>
      </c>
      <c r="BR75" s="3">
        <f t="shared" si="123"/>
        <v>0.02</v>
      </c>
      <c r="BS75" s="3">
        <v>179</v>
      </c>
      <c r="BT75" s="3">
        <v>898</v>
      </c>
      <c r="BU75" s="3">
        <f t="shared" si="171"/>
        <v>1</v>
      </c>
      <c r="BV75" s="3">
        <f t="shared" si="171"/>
        <v>1</v>
      </c>
      <c r="BW75" s="3">
        <v>218</v>
      </c>
      <c r="BX75" s="3">
        <v>20</v>
      </c>
      <c r="BY75" s="3">
        <f t="shared" si="167"/>
        <v>10</v>
      </c>
      <c r="BZ75" s="3">
        <f t="shared" si="167"/>
        <v>10</v>
      </c>
      <c r="CA75" s="3">
        <f t="shared" si="167"/>
        <v>10</v>
      </c>
      <c r="CB75" s="3">
        <f t="shared" si="164"/>
        <v>1</v>
      </c>
      <c r="CC75" s="3">
        <f t="shared" si="164"/>
        <v>1</v>
      </c>
      <c r="CD75" s="3">
        <f t="shared" si="164"/>
        <v>1</v>
      </c>
      <c r="CE75" s="3">
        <f t="shared" si="165"/>
        <v>0.05</v>
      </c>
      <c r="CF75" s="3">
        <v>1012</v>
      </c>
      <c r="CG75" s="3">
        <v>4494</v>
      </c>
      <c r="CH75" s="3">
        <f t="shared" si="168"/>
        <v>10</v>
      </c>
      <c r="CI75" s="3">
        <f t="shared" si="173"/>
        <v>1E-3</v>
      </c>
      <c r="CJ75" s="3"/>
      <c r="CK75" s="3">
        <f t="shared" si="169"/>
        <v>5.0000000000000001E-4</v>
      </c>
      <c r="CL75" s="3">
        <f t="shared" si="174"/>
        <v>1.9E-2</v>
      </c>
      <c r="CM75" s="3"/>
      <c r="CN75" s="3"/>
      <c r="CO75" s="3"/>
      <c r="CP75" s="3"/>
      <c r="CQ75" s="3"/>
      <c r="CR75" s="3"/>
      <c r="CS75" s="3">
        <v>3596000</v>
      </c>
      <c r="CT75" s="3"/>
      <c r="CU75" s="3"/>
      <c r="CV75" s="3"/>
      <c r="CW75" s="3">
        <v>833000</v>
      </c>
      <c r="CX75" s="3">
        <v>211000</v>
      </c>
      <c r="CY75" s="3"/>
      <c r="CZ75" s="3">
        <v>17000</v>
      </c>
      <c r="DA75" s="3"/>
    </row>
    <row r="76" spans="1:105" ht="12.5" x14ac:dyDescent="0.25">
      <c r="A76" s="3" t="s">
        <v>263</v>
      </c>
      <c r="B76" s="3" t="s">
        <v>264</v>
      </c>
      <c r="C76" s="4" t="s">
        <v>435</v>
      </c>
      <c r="D76" s="4" t="s">
        <v>436</v>
      </c>
      <c r="E76" s="4" t="s">
        <v>395</v>
      </c>
      <c r="F76" s="3" t="s">
        <v>107</v>
      </c>
      <c r="G76" s="3" t="s">
        <v>108</v>
      </c>
      <c r="H76" s="3" t="s">
        <v>124</v>
      </c>
      <c r="I76" s="3" t="s">
        <v>125</v>
      </c>
      <c r="J76" s="3" t="s">
        <v>437</v>
      </c>
      <c r="K76" s="3" t="s">
        <v>438</v>
      </c>
      <c r="L76" s="3">
        <v>-21.5611</v>
      </c>
      <c r="M76" s="3">
        <v>-65.647400000000005</v>
      </c>
      <c r="N76" s="3">
        <v>0.32800000000000001</v>
      </c>
      <c r="O76" s="3">
        <v>1</v>
      </c>
      <c r="P76" s="3">
        <v>728</v>
      </c>
      <c r="Q76" s="3">
        <v>195.4</v>
      </c>
      <c r="R76" s="3">
        <v>8.9</v>
      </c>
      <c r="S76" s="3">
        <v>-113.2</v>
      </c>
      <c r="T76" s="3">
        <v>1374</v>
      </c>
      <c r="U76" s="3">
        <v>0.6</v>
      </c>
      <c r="V76" s="3">
        <v>23.4</v>
      </c>
      <c r="W76" s="3">
        <v>8.0299999999999994</v>
      </c>
      <c r="X76" s="3">
        <v>135.30000000000001</v>
      </c>
      <c r="Y76" s="3">
        <v>11.6</v>
      </c>
      <c r="Z76" s="3">
        <v>1154</v>
      </c>
      <c r="AA76" s="3">
        <v>1152</v>
      </c>
      <c r="AB76" s="3">
        <v>2</v>
      </c>
      <c r="AC76" s="3">
        <v>8</v>
      </c>
      <c r="AD76" s="3">
        <v>550</v>
      </c>
      <c r="AE76" s="3">
        <v>15</v>
      </c>
      <c r="AF76" s="3">
        <v>165</v>
      </c>
      <c r="AG76" s="3">
        <v>90.7</v>
      </c>
      <c r="AH76" s="3">
        <v>615.1</v>
      </c>
      <c r="AI76" s="3">
        <v>105.33</v>
      </c>
      <c r="AJ76" s="3">
        <v>69.69</v>
      </c>
      <c r="AK76" s="3">
        <v>108</v>
      </c>
      <c r="AL76" s="3">
        <v>7</v>
      </c>
      <c r="AM76" s="3">
        <v>108.48</v>
      </c>
      <c r="AN76" s="3">
        <v>70.3</v>
      </c>
      <c r="AO76" s="3">
        <v>109.6</v>
      </c>
      <c r="AP76" s="3">
        <v>7.2</v>
      </c>
      <c r="AQ76" s="3">
        <v>1.99</v>
      </c>
      <c r="AR76" s="3">
        <v>0.21</v>
      </c>
      <c r="AS76" s="3">
        <v>2.74</v>
      </c>
      <c r="AT76" s="3">
        <f>0.5*0.02</f>
        <v>0.01</v>
      </c>
      <c r="AU76" s="3">
        <v>2.67</v>
      </c>
      <c r="AV76" s="3">
        <v>2.9</v>
      </c>
      <c r="AW76" s="3">
        <f t="shared" ref="AW76:AW80" si="175">0.5*5</f>
        <v>2.5</v>
      </c>
      <c r="AX76" s="3">
        <f>0.5*2</f>
        <v>1</v>
      </c>
      <c r="AY76" s="3">
        <v>6</v>
      </c>
      <c r="AZ76" s="3">
        <v>1</v>
      </c>
      <c r="BA76" s="3">
        <v>400</v>
      </c>
      <c r="BB76" s="3"/>
      <c r="BC76" s="3"/>
      <c r="BD76" s="3"/>
      <c r="BE76" s="3">
        <f t="shared" si="150"/>
        <v>0.1</v>
      </c>
      <c r="BF76" s="3">
        <f t="shared" si="154"/>
        <v>1</v>
      </c>
      <c r="BG76" s="3">
        <f t="shared" si="170"/>
        <v>0.1</v>
      </c>
      <c r="BH76" s="3">
        <f t="shared" si="128"/>
        <v>1</v>
      </c>
      <c r="BI76" s="3">
        <v>0.5</v>
      </c>
      <c r="BJ76" s="3">
        <v>16</v>
      </c>
      <c r="BK76" s="3">
        <v>4</v>
      </c>
      <c r="BL76" s="3">
        <f t="shared" si="172"/>
        <v>1</v>
      </c>
      <c r="BM76" s="3">
        <f t="shared" si="172"/>
        <v>1</v>
      </c>
      <c r="BN76" s="3">
        <v>2</v>
      </c>
      <c r="BO76" s="3">
        <f t="shared" si="162"/>
        <v>0.1</v>
      </c>
      <c r="BP76" s="3">
        <f t="shared" si="162"/>
        <v>0.1</v>
      </c>
      <c r="BQ76" s="3">
        <f t="shared" si="162"/>
        <v>0.1</v>
      </c>
      <c r="BR76" s="3">
        <f t="shared" si="123"/>
        <v>0.02</v>
      </c>
      <c r="BS76" s="3">
        <v>221</v>
      </c>
      <c r="BT76" s="3">
        <v>2220</v>
      </c>
      <c r="BU76" s="3">
        <f t="shared" si="171"/>
        <v>1</v>
      </c>
      <c r="BV76" s="3">
        <f t="shared" si="171"/>
        <v>1</v>
      </c>
      <c r="BW76" s="3">
        <v>47</v>
      </c>
      <c r="BX76" s="3">
        <f t="shared" ref="BX76:CA80" si="176">0.5*20</f>
        <v>10</v>
      </c>
      <c r="BY76" s="3">
        <f t="shared" si="176"/>
        <v>10</v>
      </c>
      <c r="BZ76" s="3">
        <f t="shared" si="176"/>
        <v>10</v>
      </c>
      <c r="CA76" s="3">
        <f t="shared" si="176"/>
        <v>10</v>
      </c>
      <c r="CB76" s="3">
        <f t="shared" si="164"/>
        <v>1</v>
      </c>
      <c r="CC76" s="3">
        <f t="shared" si="164"/>
        <v>1</v>
      </c>
      <c r="CD76" s="3">
        <f t="shared" si="164"/>
        <v>1</v>
      </c>
      <c r="CE76" s="3">
        <f t="shared" si="165"/>
        <v>0.05</v>
      </c>
      <c r="CF76" s="3">
        <v>1159</v>
      </c>
      <c r="CG76" s="3">
        <v>2535</v>
      </c>
      <c r="CH76" s="3">
        <f t="shared" si="168"/>
        <v>10</v>
      </c>
      <c r="CI76" s="3">
        <f t="shared" si="173"/>
        <v>1E-3</v>
      </c>
      <c r="CJ76" s="3">
        <v>4.0000000000000001E-3</v>
      </c>
      <c r="CK76" s="3">
        <f t="shared" si="169"/>
        <v>5.0000000000000001E-4</v>
      </c>
      <c r="CL76" s="3">
        <f t="shared" si="174"/>
        <v>1.9E-2</v>
      </c>
      <c r="CM76" s="3"/>
      <c r="CN76" s="3"/>
      <c r="CO76" s="3"/>
      <c r="CP76" s="3"/>
      <c r="CQ76" s="3"/>
      <c r="CR76" s="3"/>
      <c r="CS76" s="3">
        <v>157500</v>
      </c>
      <c r="CT76" s="3"/>
      <c r="CU76" s="3"/>
      <c r="CV76" s="3"/>
      <c r="CW76" s="3">
        <v>469000</v>
      </c>
      <c r="CX76" s="3">
        <v>15500</v>
      </c>
      <c r="CY76" s="3"/>
      <c r="CZ76" s="3"/>
      <c r="DA76" s="3"/>
    </row>
    <row r="77" spans="1:105" ht="12.5" x14ac:dyDescent="0.25">
      <c r="A77" s="3" t="s">
        <v>269</v>
      </c>
      <c r="B77" s="3" t="s">
        <v>270</v>
      </c>
      <c r="C77" s="4" t="s">
        <v>435</v>
      </c>
      <c r="D77" s="4" t="s">
        <v>439</v>
      </c>
      <c r="E77" s="4" t="s">
        <v>395</v>
      </c>
      <c r="F77" s="3" t="s">
        <v>107</v>
      </c>
      <c r="G77" s="3" t="s">
        <v>108</v>
      </c>
      <c r="H77" s="3" t="s">
        <v>272</v>
      </c>
      <c r="I77" s="3" t="s">
        <v>125</v>
      </c>
      <c r="J77" s="3" t="s">
        <v>440</v>
      </c>
      <c r="K77" s="3" t="s">
        <v>441</v>
      </c>
      <c r="L77" s="3">
        <v>-21.5047</v>
      </c>
      <c r="M77" s="3">
        <v>-65.705200000000005</v>
      </c>
      <c r="N77" s="3">
        <v>0.58099999999999996</v>
      </c>
      <c r="O77" s="3">
        <v>0</v>
      </c>
      <c r="P77" s="3">
        <v>590</v>
      </c>
      <c r="Q77" s="3">
        <v>219</v>
      </c>
      <c r="R77" s="3">
        <v>8.4779999999999998</v>
      </c>
      <c r="S77" s="3">
        <v>-88.5</v>
      </c>
      <c r="T77" s="3">
        <v>1695</v>
      </c>
      <c r="U77" s="3">
        <v>0.8</v>
      </c>
      <c r="V77" s="3">
        <v>28.2</v>
      </c>
      <c r="W77" s="3">
        <v>9.2100000000000009</v>
      </c>
      <c r="X77" s="3">
        <v>152.6</v>
      </c>
      <c r="Y77" s="3">
        <v>17.7</v>
      </c>
      <c r="Z77" s="3">
        <v>1503</v>
      </c>
      <c r="AA77" s="3">
        <v>1502</v>
      </c>
      <c r="AB77" s="3">
        <v>1</v>
      </c>
      <c r="AC77" s="3">
        <v>10</v>
      </c>
      <c r="AD77" s="3">
        <v>754.2</v>
      </c>
      <c r="AE77" s="3">
        <f>0.5*5</f>
        <v>2.5</v>
      </c>
      <c r="AF77" s="3">
        <v>175</v>
      </c>
      <c r="AG77" s="3">
        <v>64.900000000000006</v>
      </c>
      <c r="AH77" s="3">
        <v>774.5</v>
      </c>
      <c r="AI77" s="3">
        <v>122</v>
      </c>
      <c r="AJ77" s="3">
        <v>109.17</v>
      </c>
      <c r="AK77" s="3">
        <v>110.7</v>
      </c>
      <c r="AL77" s="3">
        <v>7</v>
      </c>
      <c r="AM77" s="3">
        <v>122.02</v>
      </c>
      <c r="AN77" s="3">
        <v>109.47</v>
      </c>
      <c r="AO77" s="3">
        <v>113.9</v>
      </c>
      <c r="AP77" s="3">
        <v>8.1</v>
      </c>
      <c r="AQ77" s="3">
        <v>1.66</v>
      </c>
      <c r="AR77" s="3">
        <v>1.17</v>
      </c>
      <c r="AS77" s="3">
        <v>3.04</v>
      </c>
      <c r="AT77" s="3">
        <v>11.25</v>
      </c>
      <c r="AU77" s="3">
        <v>11.67</v>
      </c>
      <c r="AV77" s="3">
        <v>4.3</v>
      </c>
      <c r="AW77" s="3">
        <f t="shared" si="175"/>
        <v>2.5</v>
      </c>
      <c r="AX77" s="3">
        <v>8</v>
      </c>
      <c r="AY77" s="3">
        <v>90</v>
      </c>
      <c r="AZ77" s="3">
        <v>48</v>
      </c>
      <c r="BA77" s="3">
        <v>30</v>
      </c>
      <c r="BB77" s="3"/>
      <c r="BC77" s="3"/>
      <c r="BD77" s="3"/>
      <c r="BE77" s="3">
        <f t="shared" si="150"/>
        <v>0.1</v>
      </c>
      <c r="BF77" s="3">
        <f t="shared" si="154"/>
        <v>1</v>
      </c>
      <c r="BG77" s="3">
        <f t="shared" si="170"/>
        <v>0.1</v>
      </c>
      <c r="BH77" s="3">
        <f t="shared" si="128"/>
        <v>1</v>
      </c>
      <c r="BI77" s="3">
        <v>0.5</v>
      </c>
      <c r="BJ77" s="3">
        <v>21</v>
      </c>
      <c r="BK77" s="3">
        <v>4</v>
      </c>
      <c r="BL77" s="3">
        <f>0.5*2</f>
        <v>1</v>
      </c>
      <c r="BM77" s="3">
        <v>3</v>
      </c>
      <c r="BN77" s="3">
        <f>0.5*2</f>
        <v>1</v>
      </c>
      <c r="BO77" s="3">
        <f t="shared" si="162"/>
        <v>0.1</v>
      </c>
      <c r="BP77" s="3">
        <v>0.3</v>
      </c>
      <c r="BQ77" s="3">
        <f>0.5*0.2</f>
        <v>0.1</v>
      </c>
      <c r="BR77" s="3">
        <f t="shared" si="123"/>
        <v>0.02</v>
      </c>
      <c r="BS77" s="3">
        <v>256</v>
      </c>
      <c r="BT77" s="3">
        <v>1651</v>
      </c>
      <c r="BU77" s="3">
        <f t="shared" si="171"/>
        <v>1</v>
      </c>
      <c r="BV77" s="3">
        <v>2</v>
      </c>
      <c r="BW77" s="3">
        <v>31</v>
      </c>
      <c r="BX77" s="3">
        <f t="shared" si="176"/>
        <v>10</v>
      </c>
      <c r="BY77" s="3">
        <f t="shared" si="176"/>
        <v>10</v>
      </c>
      <c r="BZ77" s="3">
        <f t="shared" si="176"/>
        <v>10</v>
      </c>
      <c r="CA77" s="3">
        <f t="shared" si="176"/>
        <v>10</v>
      </c>
      <c r="CB77" s="3">
        <f t="shared" si="164"/>
        <v>1</v>
      </c>
      <c r="CC77" s="3">
        <f t="shared" si="164"/>
        <v>1</v>
      </c>
      <c r="CD77" s="3">
        <f t="shared" si="164"/>
        <v>1</v>
      </c>
      <c r="CE77" s="3">
        <f t="shared" si="165"/>
        <v>0.05</v>
      </c>
      <c r="CF77" s="3">
        <v>882</v>
      </c>
      <c r="CG77" s="3">
        <v>1953</v>
      </c>
      <c r="CH77" s="3">
        <f t="shared" si="168"/>
        <v>10</v>
      </c>
      <c r="CI77" s="3">
        <f t="shared" si="173"/>
        <v>1E-3</v>
      </c>
      <c r="CJ77" s="3">
        <v>4.0000000000000001E-3</v>
      </c>
      <c r="CK77" s="3">
        <f t="shared" si="169"/>
        <v>5.0000000000000001E-4</v>
      </c>
      <c r="CL77" s="3">
        <v>4.2999999999999997E-2</v>
      </c>
      <c r="CM77" s="3"/>
      <c r="CN77" s="3"/>
      <c r="CO77" s="3"/>
      <c r="CP77" s="3"/>
      <c r="CQ77" s="3"/>
      <c r="CR77" s="3"/>
      <c r="CS77" s="3">
        <v>302000</v>
      </c>
      <c r="CT77" s="3"/>
      <c r="CU77" s="3"/>
      <c r="CV77" s="3">
        <v>1500</v>
      </c>
      <c r="CW77" s="3">
        <v>626000</v>
      </c>
      <c r="CX77" s="3">
        <v>10000</v>
      </c>
      <c r="CY77" s="3"/>
      <c r="CZ77" s="3"/>
      <c r="DA77" s="3"/>
    </row>
    <row r="78" spans="1:105" ht="12.5" x14ac:dyDescent="0.25">
      <c r="A78" s="3" t="s">
        <v>131</v>
      </c>
      <c r="B78" s="3" t="s">
        <v>279</v>
      </c>
      <c r="C78" s="4" t="s">
        <v>435</v>
      </c>
      <c r="D78" s="4" t="s">
        <v>236</v>
      </c>
      <c r="E78" s="4" t="s">
        <v>395</v>
      </c>
      <c r="F78" s="3" t="s">
        <v>107</v>
      </c>
      <c r="G78" s="3" t="s">
        <v>108</v>
      </c>
      <c r="H78" s="3" t="s">
        <v>131</v>
      </c>
      <c r="I78" s="3" t="s">
        <v>132</v>
      </c>
      <c r="J78" s="3" t="s">
        <v>442</v>
      </c>
      <c r="K78" s="3" t="s">
        <v>443</v>
      </c>
      <c r="L78" s="3">
        <v>-20.486499999999999</v>
      </c>
      <c r="M78" s="3">
        <v>-65.619699999999995</v>
      </c>
      <c r="N78" s="3">
        <v>0.53200000000000003</v>
      </c>
      <c r="O78" s="3">
        <v>2</v>
      </c>
      <c r="P78" s="3">
        <v>1343</v>
      </c>
      <c r="Q78" s="3">
        <v>163.1</v>
      </c>
      <c r="R78" s="3">
        <v>8.4339999999999993</v>
      </c>
      <c r="S78" s="3">
        <v>-84.4</v>
      </c>
      <c r="T78" s="3">
        <v>745</v>
      </c>
      <c r="U78" s="3">
        <v>0.3</v>
      </c>
      <c r="V78" s="3">
        <v>16.399999999999999</v>
      </c>
      <c r="W78" s="3">
        <v>7.64</v>
      </c>
      <c r="X78" s="3">
        <v>107.7</v>
      </c>
      <c r="Y78" s="3">
        <v>66.900000000000006</v>
      </c>
      <c r="Z78" s="3">
        <v>564</v>
      </c>
      <c r="AA78" s="3">
        <v>534</v>
      </c>
      <c r="AB78" s="3">
        <v>30</v>
      </c>
      <c r="AC78" s="3">
        <v>22</v>
      </c>
      <c r="AD78" s="3">
        <v>265.3</v>
      </c>
      <c r="AE78" s="3">
        <v>5</v>
      </c>
      <c r="AF78" s="3">
        <v>120</v>
      </c>
      <c r="AG78" s="3">
        <v>38.299999999999997</v>
      </c>
      <c r="AH78" s="3">
        <v>255.7</v>
      </c>
      <c r="AI78" s="3">
        <v>43.41</v>
      </c>
      <c r="AJ78" s="3">
        <v>38.1</v>
      </c>
      <c r="AK78" s="3">
        <v>68</v>
      </c>
      <c r="AL78" s="3">
        <v>5.3</v>
      </c>
      <c r="AM78" s="3">
        <v>43.91</v>
      </c>
      <c r="AN78" s="3">
        <v>38.840000000000003</v>
      </c>
      <c r="AO78" s="3">
        <v>68.3</v>
      </c>
      <c r="AP78" s="3">
        <v>5.3</v>
      </c>
      <c r="AQ78" s="3">
        <v>0.92</v>
      </c>
      <c r="AR78" s="3">
        <v>0.49</v>
      </c>
      <c r="AS78" s="3">
        <v>1.88</v>
      </c>
      <c r="AT78" s="3">
        <f t="shared" ref="AT78:AT83" si="177">0.5*0.02</f>
        <v>0.01</v>
      </c>
      <c r="AU78" s="3">
        <v>1.49</v>
      </c>
      <c r="AV78" s="3">
        <v>3.6</v>
      </c>
      <c r="AW78" s="3">
        <f t="shared" si="175"/>
        <v>2.5</v>
      </c>
      <c r="AX78" s="3">
        <f t="shared" ref="AX78:AX80" si="178">0.5*2</f>
        <v>1</v>
      </c>
      <c r="AY78" s="3">
        <v>26</v>
      </c>
      <c r="AZ78" s="3">
        <v>5</v>
      </c>
      <c r="BA78" s="3">
        <v>3</v>
      </c>
      <c r="BB78" s="3"/>
      <c r="BC78" s="3"/>
      <c r="BD78" s="3"/>
      <c r="BE78" s="3">
        <f t="shared" si="150"/>
        <v>0.1</v>
      </c>
      <c r="BF78" s="3">
        <f t="shared" si="154"/>
        <v>1</v>
      </c>
      <c r="BG78" s="3">
        <f t="shared" si="170"/>
        <v>0.1</v>
      </c>
      <c r="BH78" s="3">
        <f t="shared" si="128"/>
        <v>1</v>
      </c>
      <c r="BI78" s="3">
        <v>0.2</v>
      </c>
      <c r="BJ78" s="3">
        <v>42</v>
      </c>
      <c r="BK78" s="3">
        <f t="shared" ref="BK78:BM78" si="179">0.5*2</f>
        <v>1</v>
      </c>
      <c r="BL78" s="3">
        <f t="shared" si="179"/>
        <v>1</v>
      </c>
      <c r="BM78" s="3">
        <f t="shared" si="179"/>
        <v>1</v>
      </c>
      <c r="BN78" s="3">
        <v>3</v>
      </c>
      <c r="BO78" s="3">
        <f t="shared" si="162"/>
        <v>0.1</v>
      </c>
      <c r="BP78" s="3">
        <f t="shared" si="162"/>
        <v>0.1</v>
      </c>
      <c r="BQ78" s="3">
        <f t="shared" si="162"/>
        <v>0.1</v>
      </c>
      <c r="BR78" s="3">
        <f t="shared" si="123"/>
        <v>0.02</v>
      </c>
      <c r="BS78" s="3">
        <v>109</v>
      </c>
      <c r="BT78" s="3">
        <v>792</v>
      </c>
      <c r="BU78" s="3">
        <f t="shared" si="171"/>
        <v>1</v>
      </c>
      <c r="BV78" s="3">
        <v>3</v>
      </c>
      <c r="BW78" s="3">
        <v>142</v>
      </c>
      <c r="BX78" s="3">
        <f t="shared" si="176"/>
        <v>10</v>
      </c>
      <c r="BY78" s="3">
        <f t="shared" si="176"/>
        <v>10</v>
      </c>
      <c r="BZ78" s="3">
        <f t="shared" si="176"/>
        <v>10</v>
      </c>
      <c r="CA78" s="3">
        <f t="shared" si="176"/>
        <v>10</v>
      </c>
      <c r="CB78" s="3">
        <f t="shared" si="164"/>
        <v>1</v>
      </c>
      <c r="CC78" s="3">
        <f t="shared" si="164"/>
        <v>1</v>
      </c>
      <c r="CD78" s="3">
        <f t="shared" si="164"/>
        <v>1</v>
      </c>
      <c r="CE78" s="3">
        <f t="shared" si="165"/>
        <v>0.05</v>
      </c>
      <c r="CF78" s="3">
        <v>2658</v>
      </c>
      <c r="CG78" s="3">
        <v>929</v>
      </c>
      <c r="CH78" s="3">
        <f t="shared" si="168"/>
        <v>10</v>
      </c>
      <c r="CI78" s="3">
        <f t="shared" si="173"/>
        <v>1E-3</v>
      </c>
      <c r="CJ78" s="3">
        <v>3.0000000000000001E-3</v>
      </c>
      <c r="CK78" s="3">
        <f t="shared" si="169"/>
        <v>5.0000000000000001E-4</v>
      </c>
      <c r="CL78" s="3">
        <f t="shared" ref="CL78:CL80" si="180">0.5*0.038</f>
        <v>1.9E-2</v>
      </c>
      <c r="CM78" s="3"/>
      <c r="CN78" s="3"/>
      <c r="CO78" s="3"/>
      <c r="CP78" s="3"/>
      <c r="CQ78" s="3"/>
      <c r="CR78" s="3"/>
      <c r="CS78" s="3">
        <v>4566.67</v>
      </c>
      <c r="CT78" s="3"/>
      <c r="CU78" s="3"/>
      <c r="CV78" s="3">
        <v>93.33</v>
      </c>
      <c r="CW78" s="3">
        <v>84966.67</v>
      </c>
      <c r="CX78" s="3">
        <v>3333.33</v>
      </c>
      <c r="CY78" s="3"/>
      <c r="CZ78" s="3"/>
      <c r="DA78" s="3"/>
    </row>
    <row r="79" spans="1:105" ht="12.5" x14ac:dyDescent="0.25">
      <c r="A79" s="3" t="s">
        <v>275</v>
      </c>
      <c r="B79" s="3" t="s">
        <v>276</v>
      </c>
      <c r="C79" s="4" t="s">
        <v>435</v>
      </c>
      <c r="D79" s="4" t="s">
        <v>444</v>
      </c>
      <c r="E79" s="4" t="s">
        <v>395</v>
      </c>
      <c r="F79" s="3" t="s">
        <v>107</v>
      </c>
      <c r="G79" s="3" t="s">
        <v>108</v>
      </c>
      <c r="H79" s="3" t="s">
        <v>275</v>
      </c>
      <c r="I79" s="3" t="s">
        <v>132</v>
      </c>
      <c r="J79" s="3" t="s">
        <v>445</v>
      </c>
      <c r="K79" s="3" t="s">
        <v>446</v>
      </c>
      <c r="L79" s="3">
        <v>-20.8247</v>
      </c>
      <c r="M79" s="3">
        <v>-65.671700000000001</v>
      </c>
      <c r="N79" s="3">
        <v>0.376</v>
      </c>
      <c r="O79" s="3">
        <v>1</v>
      </c>
      <c r="P79" s="3">
        <v>531</v>
      </c>
      <c r="Q79" s="3">
        <v>163.30000000000001</v>
      </c>
      <c r="R79" s="3">
        <v>8.2240000000000002</v>
      </c>
      <c r="S79" s="3">
        <v>-71.599999999999994</v>
      </c>
      <c r="T79" s="3">
        <v>1883</v>
      </c>
      <c r="U79" s="3">
        <v>0.9</v>
      </c>
      <c r="V79" s="3">
        <v>12.1</v>
      </c>
      <c r="W79" s="3">
        <v>8.3000000000000007</v>
      </c>
      <c r="X79" s="3">
        <v>107.1</v>
      </c>
      <c r="Y79" s="3">
        <v>43.5</v>
      </c>
      <c r="Z79" s="3">
        <v>1918</v>
      </c>
      <c r="AA79" s="3">
        <v>1872</v>
      </c>
      <c r="AB79" s="3">
        <v>46</v>
      </c>
      <c r="AC79" s="3">
        <v>9</v>
      </c>
      <c r="AD79" s="3">
        <v>1058.4000000000001</v>
      </c>
      <c r="AE79" s="3">
        <v>5</v>
      </c>
      <c r="AF79" s="3">
        <v>90</v>
      </c>
      <c r="AG79" s="3">
        <v>43.1</v>
      </c>
      <c r="AH79" s="3">
        <v>1030.0999999999999</v>
      </c>
      <c r="AI79" s="3">
        <v>191</v>
      </c>
      <c r="AJ79" s="3">
        <v>141.19999999999999</v>
      </c>
      <c r="AK79" s="3">
        <v>90.3</v>
      </c>
      <c r="AL79" s="3">
        <v>6.9</v>
      </c>
      <c r="AM79" s="3">
        <v>192.18</v>
      </c>
      <c r="AN79" s="3">
        <v>141.19999999999999</v>
      </c>
      <c r="AO79" s="3">
        <v>90.3</v>
      </c>
      <c r="AP79" s="3">
        <v>6.9</v>
      </c>
      <c r="AQ79" s="3">
        <v>0.57999999999999996</v>
      </c>
      <c r="AR79" s="3">
        <v>0.18</v>
      </c>
      <c r="AS79" s="3">
        <v>2.81</v>
      </c>
      <c r="AT79" s="3">
        <f t="shared" si="177"/>
        <v>0.01</v>
      </c>
      <c r="AU79" s="3">
        <v>1.37</v>
      </c>
      <c r="AV79" s="3">
        <v>2.9</v>
      </c>
      <c r="AW79" s="3">
        <f t="shared" si="175"/>
        <v>2.5</v>
      </c>
      <c r="AX79" s="3">
        <f t="shared" si="178"/>
        <v>1</v>
      </c>
      <c r="AY79" s="3">
        <v>109</v>
      </c>
      <c r="AZ79" s="3">
        <v>86</v>
      </c>
      <c r="BA79" s="3">
        <v>10</v>
      </c>
      <c r="BB79" s="3"/>
      <c r="BC79" s="3"/>
      <c r="BD79" s="3"/>
      <c r="BE79" s="3">
        <f t="shared" si="150"/>
        <v>0.1</v>
      </c>
      <c r="BF79" s="3">
        <f t="shared" si="154"/>
        <v>1</v>
      </c>
      <c r="BG79" s="3">
        <f t="shared" si="170"/>
        <v>0.1</v>
      </c>
      <c r="BH79" s="3">
        <f t="shared" si="128"/>
        <v>1</v>
      </c>
      <c r="BI79" s="3">
        <f t="shared" ref="BI79:BI80" si="181">0.5*0.1</f>
        <v>0.05</v>
      </c>
      <c r="BJ79" s="3">
        <v>206</v>
      </c>
      <c r="BK79" s="3">
        <v>12</v>
      </c>
      <c r="BL79" s="3">
        <f>0.5*2</f>
        <v>1</v>
      </c>
      <c r="BM79" s="3">
        <v>6</v>
      </c>
      <c r="BN79" s="3">
        <v>2</v>
      </c>
      <c r="BO79" s="3">
        <f t="shared" si="162"/>
        <v>0.1</v>
      </c>
      <c r="BP79" s="3">
        <f t="shared" si="162"/>
        <v>0.1</v>
      </c>
      <c r="BQ79" s="3">
        <f t="shared" si="162"/>
        <v>0.1</v>
      </c>
      <c r="BR79" s="3">
        <f t="shared" si="123"/>
        <v>0.02</v>
      </c>
      <c r="BS79" s="3">
        <v>240</v>
      </c>
      <c r="BT79" s="3">
        <v>1406</v>
      </c>
      <c r="BU79" s="3">
        <f t="shared" si="171"/>
        <v>1</v>
      </c>
      <c r="BV79" s="3">
        <v>5</v>
      </c>
      <c r="BW79" s="3">
        <v>340</v>
      </c>
      <c r="BX79" s="3">
        <v>24</v>
      </c>
      <c r="BY79" s="3">
        <f>0.5*20</f>
        <v>10</v>
      </c>
      <c r="BZ79" s="3">
        <v>56</v>
      </c>
      <c r="CA79" s="3">
        <f t="shared" si="176"/>
        <v>10</v>
      </c>
      <c r="CB79" s="3">
        <f t="shared" si="164"/>
        <v>1</v>
      </c>
      <c r="CC79" s="3">
        <v>3</v>
      </c>
      <c r="CD79" s="3">
        <f>0.5*2</f>
        <v>1</v>
      </c>
      <c r="CE79" s="3">
        <f t="shared" si="165"/>
        <v>0.05</v>
      </c>
      <c r="CF79" s="3">
        <v>3179</v>
      </c>
      <c r="CG79" s="3">
        <v>1964</v>
      </c>
      <c r="CH79" s="3">
        <f t="shared" si="168"/>
        <v>10</v>
      </c>
      <c r="CI79" s="3">
        <f t="shared" si="173"/>
        <v>1E-3</v>
      </c>
      <c r="CJ79" s="3">
        <v>2E-3</v>
      </c>
      <c r="CK79" s="3">
        <f t="shared" si="169"/>
        <v>5.0000000000000001E-4</v>
      </c>
      <c r="CL79" s="3">
        <f t="shared" si="180"/>
        <v>1.9E-2</v>
      </c>
      <c r="CM79" s="3"/>
      <c r="CN79" s="3"/>
      <c r="CO79" s="3">
        <v>1086.96</v>
      </c>
      <c r="CP79" s="3"/>
      <c r="CQ79" s="3"/>
      <c r="CR79" s="3"/>
      <c r="CS79" s="3">
        <v>12130.43</v>
      </c>
      <c r="CT79" s="3"/>
      <c r="CU79" s="3"/>
      <c r="CV79" s="3">
        <v>108.7</v>
      </c>
      <c r="CW79" s="3">
        <v>63891.3</v>
      </c>
      <c r="CX79" s="3">
        <v>2913.04</v>
      </c>
      <c r="CY79" s="3"/>
      <c r="CZ79" s="3">
        <v>260.87</v>
      </c>
      <c r="DA79" s="3"/>
    </row>
    <row r="80" spans="1:105" ht="12.5" x14ac:dyDescent="0.25">
      <c r="A80" s="3" t="s">
        <v>298</v>
      </c>
      <c r="B80" s="3" t="s">
        <v>299</v>
      </c>
      <c r="C80" s="4" t="s">
        <v>447</v>
      </c>
      <c r="D80" s="4" t="s">
        <v>448</v>
      </c>
      <c r="E80" s="4" t="s">
        <v>395</v>
      </c>
      <c r="F80" s="3" t="s">
        <v>107</v>
      </c>
      <c r="G80" s="3" t="s">
        <v>108</v>
      </c>
      <c r="H80" s="3" t="s">
        <v>301</v>
      </c>
      <c r="I80" s="3" t="s">
        <v>150</v>
      </c>
      <c r="J80" s="3" t="s">
        <v>449</v>
      </c>
      <c r="K80" s="3" t="s">
        <v>450</v>
      </c>
      <c r="L80" s="3">
        <v>-19.601800000000001</v>
      </c>
      <c r="M80" s="3">
        <v>-65.7346</v>
      </c>
      <c r="N80" s="3"/>
      <c r="O80" s="3"/>
      <c r="P80" s="3">
        <v>4820</v>
      </c>
      <c r="Q80" s="3">
        <v>51.1</v>
      </c>
      <c r="R80" s="3">
        <v>6.7960000000000003</v>
      </c>
      <c r="S80" s="3">
        <v>7.9</v>
      </c>
      <c r="T80" s="3">
        <v>207</v>
      </c>
      <c r="U80" s="3">
        <v>0</v>
      </c>
      <c r="V80" s="3">
        <v>8.5</v>
      </c>
      <c r="W80" s="3">
        <v>2.84</v>
      </c>
      <c r="X80" s="3">
        <v>40.6</v>
      </c>
      <c r="Y80" s="3">
        <v>0.55000000000000004</v>
      </c>
      <c r="Z80" s="3">
        <v>120</v>
      </c>
      <c r="AA80" s="3">
        <v>120</v>
      </c>
      <c r="AB80" s="3">
        <f>0.5*1</f>
        <v>0.5</v>
      </c>
      <c r="AC80" s="3">
        <v>7</v>
      </c>
      <c r="AD80" s="3">
        <v>43.8</v>
      </c>
      <c r="AE80" s="3">
        <f t="shared" ref="AE80:AE82" si="182">0.5*5</f>
        <v>2.5</v>
      </c>
      <c r="AF80" s="3">
        <v>55</v>
      </c>
      <c r="AG80" s="3">
        <v>8.6999999999999993</v>
      </c>
      <c r="AH80" s="3">
        <v>30.2</v>
      </c>
      <c r="AI80" s="3">
        <v>13</v>
      </c>
      <c r="AJ80" s="3">
        <v>2.76</v>
      </c>
      <c r="AK80" s="3">
        <v>10</v>
      </c>
      <c r="AL80" s="3">
        <v>2</v>
      </c>
      <c r="AM80" s="3">
        <v>14.01</v>
      </c>
      <c r="AN80" s="3">
        <v>2.81</v>
      </c>
      <c r="AO80" s="3">
        <v>10.4</v>
      </c>
      <c r="AP80" s="3">
        <v>2.2999999999999998</v>
      </c>
      <c r="AQ80" s="3">
        <v>0.67</v>
      </c>
      <c r="AR80" s="3">
        <v>0.15</v>
      </c>
      <c r="AS80" s="3">
        <v>0.1</v>
      </c>
      <c r="AT80" s="3">
        <f t="shared" si="177"/>
        <v>0.01</v>
      </c>
      <c r="AU80" s="3">
        <v>2.2000000000000002</v>
      </c>
      <c r="AV80" s="3">
        <v>2.9</v>
      </c>
      <c r="AW80" s="3">
        <f t="shared" si="175"/>
        <v>2.5</v>
      </c>
      <c r="AX80" s="3">
        <f t="shared" si="178"/>
        <v>1</v>
      </c>
      <c r="AY80" s="3">
        <v>0</v>
      </c>
      <c r="AZ80" s="3">
        <v>0</v>
      </c>
      <c r="BA80" s="3">
        <v>200</v>
      </c>
      <c r="BB80" s="3"/>
      <c r="BC80" s="3"/>
      <c r="BD80" s="3"/>
      <c r="BE80" s="3">
        <f t="shared" si="150"/>
        <v>0.1</v>
      </c>
      <c r="BF80" s="3">
        <f t="shared" si="154"/>
        <v>1</v>
      </c>
      <c r="BG80" s="3">
        <f t="shared" si="170"/>
        <v>0.1</v>
      </c>
      <c r="BH80" s="3">
        <f t="shared" si="128"/>
        <v>1</v>
      </c>
      <c r="BI80" s="3">
        <f t="shared" si="181"/>
        <v>0.05</v>
      </c>
      <c r="BJ80" s="3">
        <v>12</v>
      </c>
      <c r="BK80" s="3">
        <f t="shared" ref="BK80:BL80" si="183">0.5*2</f>
        <v>1</v>
      </c>
      <c r="BL80" s="3">
        <f t="shared" si="183"/>
        <v>1</v>
      </c>
      <c r="BM80" s="3">
        <v>54</v>
      </c>
      <c r="BN80" s="3">
        <v>7</v>
      </c>
      <c r="BO80" s="3">
        <v>1</v>
      </c>
      <c r="BP80" s="3">
        <f t="shared" si="162"/>
        <v>0.1</v>
      </c>
      <c r="BQ80" s="3">
        <f t="shared" si="162"/>
        <v>0.1</v>
      </c>
      <c r="BR80" s="3">
        <f t="shared" si="123"/>
        <v>0.02</v>
      </c>
      <c r="BS80" s="3">
        <v>54</v>
      </c>
      <c r="BT80" s="3">
        <v>177</v>
      </c>
      <c r="BU80" s="3">
        <f t="shared" si="171"/>
        <v>1</v>
      </c>
      <c r="BV80" s="3">
        <v>2</v>
      </c>
      <c r="BW80" s="3">
        <f t="shared" ref="BW80:BY80" si="184">0.5*20</f>
        <v>10</v>
      </c>
      <c r="BX80" s="3">
        <f t="shared" si="184"/>
        <v>10</v>
      </c>
      <c r="BY80" s="3">
        <f t="shared" si="184"/>
        <v>10</v>
      </c>
      <c r="BZ80" s="3">
        <v>66</v>
      </c>
      <c r="CA80" s="3">
        <f t="shared" si="176"/>
        <v>10</v>
      </c>
      <c r="CB80" s="3">
        <f t="shared" si="164"/>
        <v>1</v>
      </c>
      <c r="CC80" s="3">
        <f t="shared" si="164"/>
        <v>1</v>
      </c>
      <c r="CD80" s="3">
        <f t="shared" si="164"/>
        <v>1</v>
      </c>
      <c r="CE80" s="3">
        <f t="shared" si="165"/>
        <v>0.05</v>
      </c>
      <c r="CF80" s="3">
        <v>183</v>
      </c>
      <c r="CG80" s="3">
        <v>145</v>
      </c>
      <c r="CH80" s="3">
        <f t="shared" si="168"/>
        <v>10</v>
      </c>
      <c r="CI80" s="3">
        <f t="shared" si="173"/>
        <v>1E-3</v>
      </c>
      <c r="CJ80" s="3">
        <f t="shared" ref="CJ80:CK80" si="185">0.5*0.001</f>
        <v>5.0000000000000001E-4</v>
      </c>
      <c r="CK80" s="3">
        <f t="shared" si="185"/>
        <v>5.0000000000000001E-4</v>
      </c>
      <c r="CL80" s="3">
        <f t="shared" si="180"/>
        <v>1.9E-2</v>
      </c>
      <c r="CM80" s="3"/>
      <c r="CN80" s="3"/>
      <c r="CO80" s="3">
        <v>12000</v>
      </c>
      <c r="CP80" s="3"/>
      <c r="CQ80" s="3"/>
      <c r="CR80" s="3"/>
      <c r="CS80" s="3"/>
      <c r="CT80" s="3"/>
      <c r="CU80" s="3"/>
      <c r="CV80" s="3">
        <v>2000</v>
      </c>
      <c r="CW80" s="3">
        <v>129000</v>
      </c>
      <c r="CX80" s="3"/>
      <c r="CY80" s="3"/>
      <c r="CZ80" s="3"/>
      <c r="DA80" s="3"/>
    </row>
    <row r="81" spans="1:105" ht="12.5" x14ac:dyDescent="0.25">
      <c r="A81" s="3" t="s">
        <v>146</v>
      </c>
      <c r="B81" s="3" t="s">
        <v>147</v>
      </c>
      <c r="C81" s="4" t="s">
        <v>447</v>
      </c>
      <c r="D81" s="4" t="s">
        <v>451</v>
      </c>
      <c r="E81" s="4" t="s">
        <v>395</v>
      </c>
      <c r="F81" s="3" t="s">
        <v>107</v>
      </c>
      <c r="G81" s="3" t="s">
        <v>108</v>
      </c>
      <c r="H81" s="3" t="s">
        <v>146</v>
      </c>
      <c r="I81" s="3" t="s">
        <v>150</v>
      </c>
      <c r="J81" s="3" t="s">
        <v>452</v>
      </c>
      <c r="K81" s="3" t="s">
        <v>453</v>
      </c>
      <c r="L81" s="3">
        <v>-19.471699999999998</v>
      </c>
      <c r="M81" s="3">
        <v>-65.794399999999996</v>
      </c>
      <c r="N81" s="3">
        <v>0.4</v>
      </c>
      <c r="O81" s="3">
        <v>0</v>
      </c>
      <c r="P81" s="3">
        <v>748</v>
      </c>
      <c r="Q81" s="3">
        <v>118.2</v>
      </c>
      <c r="R81" s="3">
        <v>7.8360000000000003</v>
      </c>
      <c r="S81" s="3">
        <v>-49.7</v>
      </c>
      <c r="T81" s="3">
        <v>1337</v>
      </c>
      <c r="U81" s="3">
        <v>0.6</v>
      </c>
      <c r="V81" s="3">
        <v>11.6</v>
      </c>
      <c r="W81" s="3">
        <v>6.1</v>
      </c>
      <c r="X81" s="3">
        <v>84</v>
      </c>
      <c r="Y81" s="3">
        <v>317</v>
      </c>
      <c r="Z81" s="3">
        <v>1143</v>
      </c>
      <c r="AA81" s="3">
        <v>898</v>
      </c>
      <c r="AB81" s="3">
        <v>245</v>
      </c>
      <c r="AC81" s="3">
        <v>34</v>
      </c>
      <c r="AD81" s="3">
        <v>332.1</v>
      </c>
      <c r="AE81" s="3">
        <f t="shared" si="182"/>
        <v>2.5</v>
      </c>
      <c r="AF81" s="3">
        <v>180</v>
      </c>
      <c r="AG81" s="3">
        <v>113.6</v>
      </c>
      <c r="AH81" s="3">
        <v>404.5</v>
      </c>
      <c r="AI81" s="3">
        <v>107</v>
      </c>
      <c r="AJ81" s="3">
        <v>15.77</v>
      </c>
      <c r="AK81" s="3">
        <v>112.6</v>
      </c>
      <c r="AL81" s="3">
        <v>17.399999999999999</v>
      </c>
      <c r="AM81" s="3">
        <v>109.21</v>
      </c>
      <c r="AN81" s="3">
        <v>16.03</v>
      </c>
      <c r="AO81" s="3">
        <v>113.9</v>
      </c>
      <c r="AP81" s="3">
        <v>17.399999999999999</v>
      </c>
      <c r="AQ81" s="3">
        <v>2.2400000000000002</v>
      </c>
      <c r="AR81" s="3">
        <v>1.17</v>
      </c>
      <c r="AS81" s="3">
        <v>37.020000000000003</v>
      </c>
      <c r="AT81" s="3">
        <f t="shared" si="177"/>
        <v>0.01</v>
      </c>
      <c r="AU81" s="3">
        <v>3.85</v>
      </c>
      <c r="AV81" s="3">
        <v>53.5</v>
      </c>
      <c r="AW81" s="3">
        <v>49</v>
      </c>
      <c r="AX81" s="3">
        <v>60</v>
      </c>
      <c r="AY81" s="3">
        <v>6300</v>
      </c>
      <c r="AZ81" s="3">
        <v>4500</v>
      </c>
      <c r="BA81" s="3">
        <v>20400</v>
      </c>
      <c r="BB81" s="3"/>
      <c r="BC81" s="3"/>
      <c r="BD81" s="3"/>
      <c r="BE81" s="3">
        <f t="shared" si="150"/>
        <v>0.1</v>
      </c>
      <c r="BF81" s="3">
        <v>3</v>
      </c>
      <c r="BG81" s="3">
        <f t="shared" si="170"/>
        <v>0.1</v>
      </c>
      <c r="BH81" s="3">
        <f t="shared" si="128"/>
        <v>1</v>
      </c>
      <c r="BI81" s="3">
        <v>0.5</v>
      </c>
      <c r="BJ81" s="3">
        <v>749</v>
      </c>
      <c r="BK81" s="3">
        <v>10</v>
      </c>
      <c r="BL81" s="3">
        <v>18</v>
      </c>
      <c r="BM81" s="3">
        <v>616</v>
      </c>
      <c r="BN81" s="3">
        <v>28</v>
      </c>
      <c r="BO81" s="3">
        <v>2</v>
      </c>
      <c r="BP81" s="3">
        <v>0.3</v>
      </c>
      <c r="BQ81" s="3">
        <f t="shared" si="162"/>
        <v>0.1</v>
      </c>
      <c r="BR81" s="3">
        <f t="shared" si="123"/>
        <v>0.02</v>
      </c>
      <c r="BS81" s="3">
        <v>378</v>
      </c>
      <c r="BT81" s="3">
        <v>397</v>
      </c>
      <c r="BU81" s="3">
        <f t="shared" si="171"/>
        <v>1</v>
      </c>
      <c r="BV81" s="3">
        <v>28</v>
      </c>
      <c r="BW81" s="3">
        <v>1385</v>
      </c>
      <c r="BX81" s="3">
        <v>32</v>
      </c>
      <c r="BY81" s="3">
        <v>226</v>
      </c>
      <c r="BZ81" s="3">
        <v>5318</v>
      </c>
      <c r="CA81" s="3">
        <v>240</v>
      </c>
      <c r="CB81" s="3">
        <v>20</v>
      </c>
      <c r="CC81" s="3">
        <v>331</v>
      </c>
      <c r="CD81" s="3">
        <v>17</v>
      </c>
      <c r="CE81" s="3">
        <f t="shared" si="165"/>
        <v>0.05</v>
      </c>
      <c r="CF81" s="3">
        <v>39302</v>
      </c>
      <c r="CG81" s="3">
        <v>425</v>
      </c>
      <c r="CH81" s="3">
        <f t="shared" si="168"/>
        <v>10</v>
      </c>
      <c r="CI81" s="3">
        <f t="shared" si="173"/>
        <v>1E-3</v>
      </c>
      <c r="CJ81" s="3">
        <v>5.0000000000000001E-3</v>
      </c>
      <c r="CK81" s="3">
        <f>0.5*0.001</f>
        <v>5.0000000000000001E-4</v>
      </c>
      <c r="CL81" s="3">
        <v>1.2</v>
      </c>
      <c r="CM81" s="3"/>
      <c r="CN81" s="3"/>
      <c r="CO81" s="3">
        <v>19191.84</v>
      </c>
      <c r="CP81" s="3">
        <v>1280</v>
      </c>
      <c r="CQ81" s="3">
        <v>865.31</v>
      </c>
      <c r="CR81" s="3">
        <v>12.24</v>
      </c>
      <c r="CS81" s="3">
        <v>114.29</v>
      </c>
      <c r="CT81" s="3">
        <v>73.47</v>
      </c>
      <c r="CU81" s="3">
        <v>848.98</v>
      </c>
      <c r="CV81" s="3">
        <v>112.24</v>
      </c>
      <c r="CW81" s="3">
        <v>158873.47</v>
      </c>
      <c r="CX81" s="3">
        <v>2595.92</v>
      </c>
      <c r="CY81" s="3"/>
      <c r="CZ81" s="3">
        <v>89.8</v>
      </c>
      <c r="DA81" s="3">
        <v>69.39</v>
      </c>
    </row>
    <row r="82" spans="1:105" ht="12.5" x14ac:dyDescent="0.25">
      <c r="A82" s="3" t="s">
        <v>287</v>
      </c>
      <c r="B82" s="3" t="s">
        <v>288</v>
      </c>
      <c r="C82" s="4" t="s">
        <v>447</v>
      </c>
      <c r="D82" s="4" t="s">
        <v>359</v>
      </c>
      <c r="E82" s="4" t="s">
        <v>395</v>
      </c>
      <c r="F82" s="3" t="s">
        <v>107</v>
      </c>
      <c r="G82" s="3" t="s">
        <v>108</v>
      </c>
      <c r="H82" s="3" t="s">
        <v>289</v>
      </c>
      <c r="I82" s="3" t="s">
        <v>150</v>
      </c>
      <c r="J82" s="3" t="s">
        <v>454</v>
      </c>
      <c r="K82" s="3" t="s">
        <v>455</v>
      </c>
      <c r="L82" s="3">
        <v>-19.578199999999999</v>
      </c>
      <c r="M82" s="3">
        <v>-65.803399999999996</v>
      </c>
      <c r="N82" s="3">
        <v>0.52600000000000002</v>
      </c>
      <c r="O82" s="3">
        <v>0</v>
      </c>
      <c r="P82" s="3">
        <v>712</v>
      </c>
      <c r="Q82" s="3">
        <v>128.80000000000001</v>
      </c>
      <c r="R82" s="3">
        <v>8.4700000000000006</v>
      </c>
      <c r="S82" s="3">
        <v>-60.9</v>
      </c>
      <c r="T82" s="3">
        <v>1393</v>
      </c>
      <c r="U82" s="3">
        <v>0.6</v>
      </c>
      <c r="V82" s="3">
        <v>7.7</v>
      </c>
      <c r="W82" s="3">
        <v>7.12</v>
      </c>
      <c r="X82" s="3">
        <v>93.8</v>
      </c>
      <c r="Y82" s="3">
        <v>188</v>
      </c>
      <c r="Z82" s="3">
        <v>958</v>
      </c>
      <c r="AA82" s="3">
        <v>730</v>
      </c>
      <c r="AB82" s="3">
        <v>228</v>
      </c>
      <c r="AC82" s="3">
        <v>67</v>
      </c>
      <c r="AD82" s="3">
        <v>294.7</v>
      </c>
      <c r="AE82" s="3">
        <f t="shared" si="182"/>
        <v>2.5</v>
      </c>
      <c r="AF82" s="3">
        <v>280</v>
      </c>
      <c r="AG82" s="3">
        <v>154.69999999999999</v>
      </c>
      <c r="AH82" s="3">
        <v>241.2</v>
      </c>
      <c r="AI82" s="3">
        <v>76</v>
      </c>
      <c r="AJ82" s="3">
        <v>25.47</v>
      </c>
      <c r="AK82" s="3">
        <v>125.6</v>
      </c>
      <c r="AL82" s="3">
        <v>25.8</v>
      </c>
      <c r="AM82" s="3">
        <v>77.349999999999994</v>
      </c>
      <c r="AN82" s="3">
        <v>25.89</v>
      </c>
      <c r="AO82" s="3">
        <v>125.6</v>
      </c>
      <c r="AP82" s="3">
        <v>26.3</v>
      </c>
      <c r="AQ82" s="3">
        <v>7.94</v>
      </c>
      <c r="AR82" s="3">
        <v>6.1</v>
      </c>
      <c r="AS82" s="3">
        <v>57.47</v>
      </c>
      <c r="AT82" s="3">
        <f t="shared" si="177"/>
        <v>0.01</v>
      </c>
      <c r="AU82" s="3">
        <v>4.21</v>
      </c>
      <c r="AV82" s="3">
        <v>113.4</v>
      </c>
      <c r="AW82" s="3">
        <v>94</v>
      </c>
      <c r="AX82" s="3">
        <v>119</v>
      </c>
      <c r="AY82" s="3">
        <v>8100</v>
      </c>
      <c r="AZ82" s="3">
        <v>7200</v>
      </c>
      <c r="BA82" s="3">
        <v>11400</v>
      </c>
      <c r="BB82" s="3"/>
      <c r="BC82" s="3"/>
      <c r="BD82" s="3"/>
      <c r="BE82" s="3">
        <f t="shared" si="150"/>
        <v>0.1</v>
      </c>
      <c r="BF82" s="3">
        <f t="shared" ref="BF82:BF94" si="186">0.5*2</f>
        <v>1</v>
      </c>
      <c r="BG82" s="3">
        <f t="shared" si="170"/>
        <v>0.1</v>
      </c>
      <c r="BH82" s="3">
        <f t="shared" si="128"/>
        <v>1</v>
      </c>
      <c r="BI82" s="3">
        <v>0.7</v>
      </c>
      <c r="BJ82" s="3">
        <v>845</v>
      </c>
      <c r="BK82" s="3">
        <v>10</v>
      </c>
      <c r="BL82" s="3">
        <v>42</v>
      </c>
      <c r="BM82" s="3">
        <v>630</v>
      </c>
      <c r="BN82" s="3">
        <v>25</v>
      </c>
      <c r="BO82" s="3">
        <v>2</v>
      </c>
      <c r="BP82" s="3">
        <v>0.2</v>
      </c>
      <c r="BQ82" s="3">
        <f t="shared" si="162"/>
        <v>0.1</v>
      </c>
      <c r="BR82" s="3">
        <f t="shared" si="123"/>
        <v>0.02</v>
      </c>
      <c r="BS82" s="3">
        <v>457</v>
      </c>
      <c r="BT82" s="3">
        <v>397</v>
      </c>
      <c r="BU82" s="3">
        <f t="shared" si="171"/>
        <v>1</v>
      </c>
      <c r="BV82" s="3">
        <v>6</v>
      </c>
      <c r="BW82" s="3">
        <v>1536</v>
      </c>
      <c r="BX82" s="3">
        <f t="shared" ref="BX82:CA86" si="187">0.5*20</f>
        <v>10</v>
      </c>
      <c r="BY82" s="3">
        <v>159</v>
      </c>
      <c r="BZ82" s="3">
        <v>4396</v>
      </c>
      <c r="CA82" s="3">
        <v>145</v>
      </c>
      <c r="CB82" s="3">
        <v>18</v>
      </c>
      <c r="CC82" s="3">
        <v>57</v>
      </c>
      <c r="CD82" s="3">
        <v>3</v>
      </c>
      <c r="CE82" s="3">
        <f t="shared" si="165"/>
        <v>0.05</v>
      </c>
      <c r="CF82" s="3">
        <v>13248</v>
      </c>
      <c r="CG82" s="3">
        <v>372</v>
      </c>
      <c r="CH82" s="3">
        <f t="shared" si="168"/>
        <v>10</v>
      </c>
      <c r="CI82" s="3">
        <f t="shared" si="173"/>
        <v>1E-3</v>
      </c>
      <c r="CJ82" s="3">
        <v>0.01</v>
      </c>
      <c r="CK82" s="3">
        <v>2E-3</v>
      </c>
      <c r="CL82" s="3">
        <v>1.8</v>
      </c>
      <c r="CM82" s="3"/>
      <c r="CN82" s="3"/>
      <c r="CO82" s="3">
        <v>16517.54</v>
      </c>
      <c r="CP82" s="3">
        <v>136.84</v>
      </c>
      <c r="CQ82" s="3">
        <v>526.32000000000005</v>
      </c>
      <c r="CR82" s="3"/>
      <c r="CS82" s="3"/>
      <c r="CT82" s="3">
        <v>70.180000000000007</v>
      </c>
      <c r="CU82" s="3">
        <v>513.16</v>
      </c>
      <c r="CV82" s="3">
        <v>23.25</v>
      </c>
      <c r="CW82" s="3">
        <v>56100.88</v>
      </c>
      <c r="CX82" s="3">
        <v>3030.7</v>
      </c>
      <c r="CY82" s="3"/>
      <c r="CZ82" s="3"/>
      <c r="DA82" s="3">
        <v>13.16</v>
      </c>
    </row>
    <row r="83" spans="1:105" ht="12.5" x14ac:dyDescent="0.25">
      <c r="A83" s="3" t="s">
        <v>135</v>
      </c>
      <c r="B83" s="3" t="s">
        <v>136</v>
      </c>
      <c r="C83" s="4" t="s">
        <v>456</v>
      </c>
      <c r="D83" s="4" t="s">
        <v>457</v>
      </c>
      <c r="E83" s="4" t="s">
        <v>395</v>
      </c>
      <c r="F83" s="3" t="s">
        <v>107</v>
      </c>
      <c r="G83" s="3" t="s">
        <v>108</v>
      </c>
      <c r="H83" s="3" t="s">
        <v>139</v>
      </c>
      <c r="J83" s="3" t="s">
        <v>458</v>
      </c>
      <c r="K83" s="3" t="s">
        <v>459</v>
      </c>
      <c r="L83" s="3">
        <v>-19.144100000000002</v>
      </c>
      <c r="M83" s="3">
        <v>-65.565799999999996</v>
      </c>
      <c r="N83" s="3"/>
      <c r="O83" s="3"/>
      <c r="P83" s="3">
        <v>1320</v>
      </c>
      <c r="Q83" s="3">
        <v>146</v>
      </c>
      <c r="R83" s="3">
        <v>8.4939999999999998</v>
      </c>
      <c r="S83" s="3">
        <v>-89.6</v>
      </c>
      <c r="T83" s="3">
        <v>757</v>
      </c>
      <c r="U83" s="3">
        <v>0.3</v>
      </c>
      <c r="V83" s="3">
        <v>23.7</v>
      </c>
      <c r="W83" s="3">
        <v>5.99</v>
      </c>
      <c r="X83" s="3">
        <v>100.3</v>
      </c>
      <c r="Y83" s="3">
        <v>10.3</v>
      </c>
      <c r="Z83" s="3">
        <v>543</v>
      </c>
      <c r="AA83" s="3">
        <v>542</v>
      </c>
      <c r="AB83" s="3">
        <v>1</v>
      </c>
      <c r="AC83" s="3">
        <v>2</v>
      </c>
      <c r="AD83" s="3">
        <v>348.4</v>
      </c>
      <c r="AE83" s="3">
        <v>5</v>
      </c>
      <c r="AF83" s="3">
        <v>150</v>
      </c>
      <c r="AG83" s="3">
        <v>15.7</v>
      </c>
      <c r="AH83" s="3">
        <v>416.8</v>
      </c>
      <c r="AI83" s="3">
        <v>48.94</v>
      </c>
      <c r="AJ83" s="3">
        <v>54.94</v>
      </c>
      <c r="AK83" s="3">
        <v>26.3</v>
      </c>
      <c r="AL83" s="3">
        <v>6.6</v>
      </c>
      <c r="AM83" s="3">
        <v>49.05</v>
      </c>
      <c r="AN83" s="3">
        <v>55.29</v>
      </c>
      <c r="AO83" s="3">
        <v>26.3</v>
      </c>
      <c r="AP83" s="3">
        <v>6.8</v>
      </c>
      <c r="AQ83" s="3">
        <v>0.18</v>
      </c>
      <c r="AR83" s="3">
        <v>0.09</v>
      </c>
      <c r="AS83" s="3">
        <v>0.31</v>
      </c>
      <c r="AT83" s="3">
        <f t="shared" si="177"/>
        <v>0.01</v>
      </c>
      <c r="AU83" s="3">
        <v>1.01</v>
      </c>
      <c r="AV83" s="3">
        <v>1.5</v>
      </c>
      <c r="AW83" s="3">
        <f t="shared" ref="AW83:AW86" si="188">0.5*5</f>
        <v>2.5</v>
      </c>
      <c r="AX83" s="3">
        <f t="shared" ref="AX83:AX86" si="189">0.5*2</f>
        <v>1</v>
      </c>
      <c r="AY83" s="3">
        <v>22</v>
      </c>
      <c r="AZ83" s="3">
        <v>15</v>
      </c>
      <c r="BA83" s="3">
        <v>0</v>
      </c>
      <c r="BB83" s="3"/>
      <c r="BC83" s="3"/>
      <c r="BD83" s="3"/>
      <c r="BE83" s="3">
        <f t="shared" si="150"/>
        <v>0.1</v>
      </c>
      <c r="BF83" s="3">
        <f t="shared" si="186"/>
        <v>1</v>
      </c>
      <c r="BG83" s="3">
        <f t="shared" si="170"/>
        <v>0.1</v>
      </c>
      <c r="BH83" s="3">
        <f t="shared" si="128"/>
        <v>1</v>
      </c>
      <c r="BI83" s="3">
        <v>0.5</v>
      </c>
      <c r="BJ83" s="3">
        <v>21</v>
      </c>
      <c r="BK83" s="3">
        <v>2</v>
      </c>
      <c r="BL83" s="3">
        <f t="shared" ref="BL83:BN83" si="190">0.5*2</f>
        <v>1</v>
      </c>
      <c r="BM83" s="3">
        <f t="shared" si="190"/>
        <v>1</v>
      </c>
      <c r="BN83" s="3">
        <f t="shared" si="190"/>
        <v>1</v>
      </c>
      <c r="BO83" s="3">
        <f t="shared" ref="BO83:BQ83" si="191">0.5*0.2</f>
        <v>0.1</v>
      </c>
      <c r="BP83" s="3">
        <f t="shared" si="191"/>
        <v>0.1</v>
      </c>
      <c r="BQ83" s="3">
        <f t="shared" si="191"/>
        <v>0.1</v>
      </c>
      <c r="BR83" s="3">
        <f t="shared" si="123"/>
        <v>0.02</v>
      </c>
      <c r="BS83" s="3">
        <v>128</v>
      </c>
      <c r="BT83" s="3">
        <v>204</v>
      </c>
      <c r="BU83" s="3">
        <f t="shared" si="171"/>
        <v>1</v>
      </c>
      <c r="BV83" s="3">
        <v>2</v>
      </c>
      <c r="BW83" s="3">
        <v>39</v>
      </c>
      <c r="BX83" s="3">
        <f t="shared" si="187"/>
        <v>10</v>
      </c>
      <c r="BY83" s="3">
        <f t="shared" si="187"/>
        <v>10</v>
      </c>
      <c r="BZ83" s="3">
        <f t="shared" si="187"/>
        <v>10</v>
      </c>
      <c r="CA83" s="3">
        <f t="shared" si="187"/>
        <v>10</v>
      </c>
      <c r="CB83" s="3">
        <f t="shared" ref="CB83:CD83" si="192">0.5*2</f>
        <v>1</v>
      </c>
      <c r="CC83" s="3">
        <f t="shared" si="192"/>
        <v>1</v>
      </c>
      <c r="CD83" s="3">
        <f t="shared" si="192"/>
        <v>1</v>
      </c>
      <c r="CE83" s="3">
        <f t="shared" si="165"/>
        <v>0.05</v>
      </c>
      <c r="CF83" s="3">
        <v>786</v>
      </c>
      <c r="CG83" s="3">
        <v>175</v>
      </c>
      <c r="CH83" s="3">
        <f t="shared" si="168"/>
        <v>10</v>
      </c>
      <c r="CI83" s="3">
        <f t="shared" si="173"/>
        <v>1E-3</v>
      </c>
      <c r="CJ83" s="3">
        <f t="shared" ref="CJ83:CK83" si="193">0.5*0.001</f>
        <v>5.0000000000000001E-4</v>
      </c>
      <c r="CK83" s="3">
        <f t="shared" si="193"/>
        <v>5.0000000000000001E-4</v>
      </c>
      <c r="CL83" s="3">
        <f>0.5*0.038</f>
        <v>1.9E-2</v>
      </c>
      <c r="CM83" s="3"/>
      <c r="CN83" s="3"/>
      <c r="CO83" s="3"/>
      <c r="CP83" s="3"/>
      <c r="CQ83" s="3"/>
      <c r="CR83" s="3"/>
      <c r="CS83" s="3"/>
      <c r="CT83" s="3"/>
      <c r="CU83" s="3"/>
      <c r="CV83" s="3">
        <v>1500</v>
      </c>
      <c r="CW83" s="3">
        <v>658000</v>
      </c>
      <c r="CX83" s="3">
        <v>18000</v>
      </c>
      <c r="CY83" s="3"/>
      <c r="CZ83" s="3"/>
      <c r="DA83" s="3"/>
    </row>
    <row r="84" spans="1:105" ht="12.5" x14ac:dyDescent="0.25">
      <c r="A84" s="3" t="s">
        <v>142</v>
      </c>
      <c r="B84" s="3" t="s">
        <v>143</v>
      </c>
      <c r="C84" s="4" t="s">
        <v>456</v>
      </c>
      <c r="D84" s="4" t="s">
        <v>460</v>
      </c>
      <c r="E84" s="4" t="s">
        <v>395</v>
      </c>
      <c r="F84" s="3" t="s">
        <v>107</v>
      </c>
      <c r="G84" s="3" t="s">
        <v>108</v>
      </c>
      <c r="H84" s="3" t="s">
        <v>109</v>
      </c>
      <c r="J84" s="3" t="s">
        <v>461</v>
      </c>
      <c r="K84" s="3" t="s">
        <v>462</v>
      </c>
      <c r="L84" s="3">
        <v>-19.132200000000001</v>
      </c>
      <c r="M84" s="3">
        <v>-65.571700000000007</v>
      </c>
      <c r="N84" s="3"/>
      <c r="O84" s="3"/>
      <c r="P84" s="3">
        <v>825</v>
      </c>
      <c r="Q84" s="3">
        <v>163.69999999999999</v>
      </c>
      <c r="R84" s="3">
        <v>8.5030000000000001</v>
      </c>
      <c r="S84" s="3">
        <v>-87.8</v>
      </c>
      <c r="T84" s="3">
        <v>1212</v>
      </c>
      <c r="U84" s="3">
        <v>0.5</v>
      </c>
      <c r="V84" s="3">
        <v>15.2</v>
      </c>
      <c r="W84" s="3">
        <v>7.85</v>
      </c>
      <c r="X84" s="3">
        <v>109.6</v>
      </c>
      <c r="Y84" s="3">
        <v>173</v>
      </c>
      <c r="Z84" s="3">
        <v>876</v>
      </c>
      <c r="AA84" s="3">
        <v>746</v>
      </c>
      <c r="AB84" s="3">
        <v>130</v>
      </c>
      <c r="AC84" s="3">
        <v>21</v>
      </c>
      <c r="AD84" s="3">
        <v>322.5</v>
      </c>
      <c r="AE84" s="3">
        <v>5</v>
      </c>
      <c r="AF84" s="3">
        <v>140</v>
      </c>
      <c r="AG84" s="3">
        <v>201.2</v>
      </c>
      <c r="AH84" s="3">
        <v>401.1</v>
      </c>
      <c r="AI84" s="3">
        <v>62.69</v>
      </c>
      <c r="AJ84" s="3">
        <v>40.29</v>
      </c>
      <c r="AK84" s="3">
        <v>167.6</v>
      </c>
      <c r="AL84" s="3">
        <v>11.6</v>
      </c>
      <c r="AM84" s="3">
        <v>63.57</v>
      </c>
      <c r="AN84" s="3">
        <v>41.06</v>
      </c>
      <c r="AO84" s="3">
        <v>169.2</v>
      </c>
      <c r="AP84" s="3">
        <v>11.9</v>
      </c>
      <c r="AQ84" s="3">
        <v>0.34</v>
      </c>
      <c r="AR84" s="3">
        <v>0.34</v>
      </c>
      <c r="AS84" s="3">
        <v>1.2</v>
      </c>
      <c r="AT84" s="3">
        <v>0.44</v>
      </c>
      <c r="AU84" s="3">
        <v>13.3</v>
      </c>
      <c r="AV84" s="3">
        <v>3.6</v>
      </c>
      <c r="AW84" s="3">
        <f t="shared" si="188"/>
        <v>2.5</v>
      </c>
      <c r="AX84" s="3">
        <f t="shared" si="189"/>
        <v>1</v>
      </c>
      <c r="AY84" s="3">
        <v>27</v>
      </c>
      <c r="AZ84" s="3">
        <v>5</v>
      </c>
      <c r="BA84" s="3">
        <v>3</v>
      </c>
      <c r="BB84" s="3"/>
      <c r="BC84" s="3"/>
      <c r="BD84" s="3"/>
      <c r="BE84" s="3">
        <f t="shared" si="150"/>
        <v>0.1</v>
      </c>
      <c r="BF84" s="3">
        <f t="shared" si="186"/>
        <v>1</v>
      </c>
      <c r="BG84" s="3">
        <f t="shared" si="170"/>
        <v>0.1</v>
      </c>
      <c r="BH84" s="3">
        <f t="shared" si="128"/>
        <v>1</v>
      </c>
      <c r="BI84" s="3">
        <v>0.2</v>
      </c>
      <c r="BJ84" s="3">
        <v>140</v>
      </c>
      <c r="BK84" s="3">
        <v>2</v>
      </c>
      <c r="BL84" s="3">
        <v>6</v>
      </c>
      <c r="BM84" s="3">
        <v>28</v>
      </c>
      <c r="BN84" s="3">
        <v>16</v>
      </c>
      <c r="BO84" s="3">
        <f>0.5*0.2</f>
        <v>0.1</v>
      </c>
      <c r="BP84" s="3">
        <v>0.4</v>
      </c>
      <c r="BQ84" s="3">
        <f>0.5*0.2</f>
        <v>0.1</v>
      </c>
      <c r="BR84" s="3">
        <f t="shared" si="123"/>
        <v>0.02</v>
      </c>
      <c r="BS84" s="3">
        <v>116</v>
      </c>
      <c r="BT84" s="3">
        <v>996</v>
      </c>
      <c r="BU84" s="3">
        <f t="shared" si="171"/>
        <v>1</v>
      </c>
      <c r="BV84" s="3">
        <v>8</v>
      </c>
      <c r="BW84" s="3">
        <v>362</v>
      </c>
      <c r="BX84" s="3">
        <f t="shared" si="187"/>
        <v>10</v>
      </c>
      <c r="BY84" s="3">
        <v>98</v>
      </c>
      <c r="BZ84" s="3">
        <v>1399</v>
      </c>
      <c r="CA84" s="3">
        <v>81</v>
      </c>
      <c r="CB84" s="3">
        <v>4</v>
      </c>
      <c r="CC84" s="3">
        <v>142</v>
      </c>
      <c r="CD84" s="3">
        <v>2</v>
      </c>
      <c r="CE84" s="3">
        <f t="shared" si="165"/>
        <v>0.05</v>
      </c>
      <c r="CF84" s="3">
        <v>6910</v>
      </c>
      <c r="CG84" s="3">
        <v>1961</v>
      </c>
      <c r="CH84" s="3">
        <f t="shared" si="168"/>
        <v>10</v>
      </c>
      <c r="CI84" s="3">
        <f t="shared" si="173"/>
        <v>1E-3</v>
      </c>
      <c r="CJ84" s="3">
        <v>4.0000000000000001E-3</v>
      </c>
      <c r="CK84" s="3">
        <f>0.5*0.001</f>
        <v>5.0000000000000001E-4</v>
      </c>
      <c r="CL84" s="3">
        <v>4.3999999999999997E-2</v>
      </c>
      <c r="CM84" s="3"/>
      <c r="CN84" s="3"/>
      <c r="CO84" s="3">
        <v>10546.15</v>
      </c>
      <c r="CP84" s="3">
        <v>1003.08</v>
      </c>
      <c r="CQ84" s="3">
        <v>500</v>
      </c>
      <c r="CR84" s="3"/>
      <c r="CS84" s="3">
        <v>7423.08</v>
      </c>
      <c r="CT84" s="3">
        <v>30.77</v>
      </c>
      <c r="CU84" s="3">
        <v>707.69</v>
      </c>
      <c r="CV84" s="3">
        <v>60</v>
      </c>
      <c r="CW84" s="3">
        <v>52261.54</v>
      </c>
      <c r="CX84" s="3">
        <v>1707.69</v>
      </c>
      <c r="CY84" s="3"/>
      <c r="CZ84" s="3"/>
      <c r="DA84" s="3">
        <v>15.38</v>
      </c>
    </row>
    <row r="85" spans="1:105" ht="12.5" x14ac:dyDescent="0.25">
      <c r="A85" s="3" t="s">
        <v>153</v>
      </c>
      <c r="B85" s="3" t="s">
        <v>154</v>
      </c>
      <c r="C85" s="4" t="s">
        <v>463</v>
      </c>
      <c r="D85" s="4" t="s">
        <v>194</v>
      </c>
      <c r="E85" s="4" t="s">
        <v>395</v>
      </c>
      <c r="F85" s="3" t="s">
        <v>107</v>
      </c>
      <c r="G85" s="3" t="s">
        <v>108</v>
      </c>
      <c r="H85" s="3" t="s">
        <v>156</v>
      </c>
      <c r="I85" s="3" t="s">
        <v>150</v>
      </c>
      <c r="J85" s="3" t="s">
        <v>340</v>
      </c>
      <c r="K85" s="3" t="s">
        <v>464</v>
      </c>
      <c r="L85" s="3">
        <v>-19.321400000000001</v>
      </c>
      <c r="M85" s="3">
        <v>-65.551900000000003</v>
      </c>
      <c r="N85" s="3">
        <v>0.26100000000000001</v>
      </c>
      <c r="O85" s="3">
        <v>0</v>
      </c>
      <c r="P85" s="3">
        <v>3270</v>
      </c>
      <c r="Q85" s="3">
        <v>132.9</v>
      </c>
      <c r="R85" s="3">
        <v>6.4889999999999999</v>
      </c>
      <c r="S85" s="3">
        <v>25.2</v>
      </c>
      <c r="T85" s="3">
        <v>306</v>
      </c>
      <c r="U85" s="3">
        <v>0.1</v>
      </c>
      <c r="V85" s="3">
        <v>16.3</v>
      </c>
      <c r="W85" s="3">
        <v>6.25</v>
      </c>
      <c r="X85" s="3">
        <v>99.6</v>
      </c>
      <c r="Y85" s="3">
        <v>120</v>
      </c>
      <c r="Z85" s="3">
        <v>256</v>
      </c>
      <c r="AA85" s="3">
        <v>196</v>
      </c>
      <c r="AB85" s="3">
        <v>60</v>
      </c>
      <c r="AC85" s="3">
        <f>0.5*0.05</f>
        <v>2.5000000000000001E-2</v>
      </c>
      <c r="AD85" s="3">
        <v>57.4</v>
      </c>
      <c r="AE85" s="3">
        <f t="shared" ref="AE85:AF85" si="194">0.5*5</f>
        <v>2.5</v>
      </c>
      <c r="AF85" s="3">
        <f t="shared" si="194"/>
        <v>2.5</v>
      </c>
      <c r="AG85" s="3">
        <v>5.3</v>
      </c>
      <c r="AH85" s="3">
        <v>10.8</v>
      </c>
      <c r="AI85" s="3">
        <v>11</v>
      </c>
      <c r="AJ85" s="3">
        <v>7.27</v>
      </c>
      <c r="AK85" s="3">
        <v>1.6</v>
      </c>
      <c r="AL85" s="3">
        <v>1.2</v>
      </c>
      <c r="AM85" s="3">
        <v>11.83</v>
      </c>
      <c r="AN85" s="3">
        <v>8.31</v>
      </c>
      <c r="AO85" s="3">
        <v>2.2999999999999998</v>
      </c>
      <c r="AP85" s="3">
        <v>1.3</v>
      </c>
      <c r="AQ85" s="3">
        <v>0.18</v>
      </c>
      <c r="AR85" s="3">
        <v>0.09</v>
      </c>
      <c r="AS85" s="3">
        <v>1.75</v>
      </c>
      <c r="AT85" s="3">
        <f>0.5*0.02</f>
        <v>0.01</v>
      </c>
      <c r="AU85" s="3">
        <f>0.5*0.01</f>
        <v>5.0000000000000001E-3</v>
      </c>
      <c r="AV85" s="3">
        <v>2.9</v>
      </c>
      <c r="AW85" s="3">
        <f t="shared" si="188"/>
        <v>2.5</v>
      </c>
      <c r="AX85" s="3">
        <f t="shared" si="189"/>
        <v>1</v>
      </c>
      <c r="AY85" s="3">
        <v>0</v>
      </c>
      <c r="AZ85" s="3">
        <v>0</v>
      </c>
      <c r="BA85" s="3">
        <v>0</v>
      </c>
      <c r="BB85" s="3"/>
      <c r="BC85" s="3"/>
      <c r="BD85" s="3"/>
      <c r="BE85" s="3">
        <f t="shared" si="150"/>
        <v>0.1</v>
      </c>
      <c r="BF85" s="3">
        <f t="shared" si="186"/>
        <v>1</v>
      </c>
      <c r="BG85" s="3">
        <f t="shared" si="170"/>
        <v>0.1</v>
      </c>
      <c r="BH85" s="3">
        <f t="shared" si="128"/>
        <v>1</v>
      </c>
      <c r="BI85" s="3">
        <v>0.1</v>
      </c>
      <c r="BJ85" s="3">
        <v>2933</v>
      </c>
      <c r="BK85" s="3">
        <v>16</v>
      </c>
      <c r="BL85" s="3">
        <v>8</v>
      </c>
      <c r="BM85" s="3">
        <v>675</v>
      </c>
      <c r="BN85" s="3">
        <f>0.5*2</f>
        <v>1</v>
      </c>
      <c r="BO85" s="3">
        <v>3</v>
      </c>
      <c r="BP85" s="3">
        <f t="shared" ref="BP85:BQ85" si="195">0.5*0.2</f>
        <v>0.1</v>
      </c>
      <c r="BQ85" s="3">
        <f t="shared" si="195"/>
        <v>0.1</v>
      </c>
      <c r="BR85" s="3">
        <f t="shared" si="123"/>
        <v>0.02</v>
      </c>
      <c r="BS85" s="3">
        <v>1477</v>
      </c>
      <c r="BT85" s="3">
        <v>58</v>
      </c>
      <c r="BU85" s="3">
        <f t="shared" si="171"/>
        <v>1</v>
      </c>
      <c r="BV85" s="3">
        <f>0.5*2</f>
        <v>1</v>
      </c>
      <c r="BW85" s="3">
        <v>1992</v>
      </c>
      <c r="BX85" s="3">
        <f t="shared" si="187"/>
        <v>10</v>
      </c>
      <c r="BY85" s="3">
        <v>143</v>
      </c>
      <c r="BZ85" s="3">
        <v>390</v>
      </c>
      <c r="CA85" s="3">
        <f>0.5*20</f>
        <v>10</v>
      </c>
      <c r="CB85" s="3">
        <f t="shared" ref="CB85:CD85" si="196">0.5*2</f>
        <v>1</v>
      </c>
      <c r="CC85" s="3">
        <f t="shared" si="196"/>
        <v>1</v>
      </c>
      <c r="CD85" s="3">
        <f t="shared" si="196"/>
        <v>1</v>
      </c>
      <c r="CE85" s="3">
        <f t="shared" si="165"/>
        <v>0.05</v>
      </c>
      <c r="CF85" s="3">
        <v>10643</v>
      </c>
      <c r="CG85" s="3">
        <v>4</v>
      </c>
      <c r="CH85" s="3">
        <f t="shared" si="168"/>
        <v>10</v>
      </c>
      <c r="CI85" s="3">
        <f t="shared" si="173"/>
        <v>1E-3</v>
      </c>
      <c r="CJ85" s="3">
        <f t="shared" ref="CJ85:CK85" si="197">0.5*0.001</f>
        <v>5.0000000000000001E-4</v>
      </c>
      <c r="CK85" s="3">
        <f t="shared" si="197"/>
        <v>5.0000000000000001E-4</v>
      </c>
      <c r="CL85" s="3">
        <f t="shared" ref="CL85:CL86" si="198">0.5*0.038</f>
        <v>1.9E-2</v>
      </c>
      <c r="CM85" s="3"/>
      <c r="CN85" s="3"/>
      <c r="CO85" s="3"/>
      <c r="CP85" s="3"/>
      <c r="CQ85" s="3"/>
      <c r="CR85" s="3"/>
      <c r="CS85" s="3"/>
      <c r="CT85" s="3"/>
      <c r="CU85" s="3">
        <v>2250</v>
      </c>
      <c r="CV85" s="3"/>
      <c r="CW85" s="3">
        <v>152766.67000000001</v>
      </c>
      <c r="CX85" s="3"/>
      <c r="CY85" s="3"/>
      <c r="CZ85" s="3"/>
      <c r="DA85" s="3"/>
    </row>
    <row r="86" spans="1:105" ht="12.5" x14ac:dyDescent="0.25">
      <c r="A86" s="3" t="s">
        <v>307</v>
      </c>
      <c r="B86" s="3" t="s">
        <v>308</v>
      </c>
      <c r="C86" s="4" t="s">
        <v>463</v>
      </c>
      <c r="D86" s="4" t="s">
        <v>465</v>
      </c>
      <c r="E86" s="4" t="s">
        <v>395</v>
      </c>
      <c r="F86" s="3" t="s">
        <v>107</v>
      </c>
      <c r="G86" s="3" t="s">
        <v>108</v>
      </c>
      <c r="H86" s="3" t="s">
        <v>109</v>
      </c>
      <c r="I86" s="3" t="s">
        <v>309</v>
      </c>
      <c r="J86" s="3" t="s">
        <v>466</v>
      </c>
      <c r="K86" s="3" t="s">
        <v>467</v>
      </c>
      <c r="L86" s="3">
        <v>-19.357399999999998</v>
      </c>
      <c r="M86" s="3">
        <v>-65.173100000000005</v>
      </c>
      <c r="N86" s="3">
        <v>0.68600000000000005</v>
      </c>
      <c r="O86" s="3">
        <v>4</v>
      </c>
      <c r="P86" s="3">
        <v>701</v>
      </c>
      <c r="Q86" s="3">
        <v>169.3</v>
      </c>
      <c r="R86" s="3">
        <v>8.5939999999999994</v>
      </c>
      <c r="S86" s="3">
        <v>-92.4</v>
      </c>
      <c r="T86" s="3">
        <v>1428</v>
      </c>
      <c r="U86" s="3">
        <v>0.7</v>
      </c>
      <c r="V86" s="3">
        <v>14</v>
      </c>
      <c r="W86" s="3">
        <v>8.32</v>
      </c>
      <c r="X86" s="3">
        <v>106.1</v>
      </c>
      <c r="Y86" s="3">
        <v>133</v>
      </c>
      <c r="Z86" s="3">
        <v>954</v>
      </c>
      <c r="AA86" s="3">
        <v>852</v>
      </c>
      <c r="AB86" s="3">
        <v>102</v>
      </c>
      <c r="AC86" s="3">
        <v>15</v>
      </c>
      <c r="AD86" s="3">
        <v>236.9</v>
      </c>
      <c r="AE86" s="3">
        <v>10</v>
      </c>
      <c r="AF86" s="3">
        <v>150</v>
      </c>
      <c r="AG86" s="3">
        <v>251.2</v>
      </c>
      <c r="AH86" s="3">
        <v>12</v>
      </c>
      <c r="AI86" s="3">
        <v>50</v>
      </c>
      <c r="AJ86" s="3">
        <v>27.22</v>
      </c>
      <c r="AK86" s="3">
        <v>183.3</v>
      </c>
      <c r="AL86" s="3">
        <v>10</v>
      </c>
      <c r="AM86" s="3">
        <v>51.32</v>
      </c>
      <c r="AN86" s="3">
        <v>27.82</v>
      </c>
      <c r="AO86" s="3">
        <v>186.4</v>
      </c>
      <c r="AP86" s="3">
        <v>10.199999999999999</v>
      </c>
      <c r="AQ86" s="3">
        <v>0.43</v>
      </c>
      <c r="AR86" s="3">
        <v>0.4</v>
      </c>
      <c r="AS86" s="3">
        <v>1.26</v>
      </c>
      <c r="AT86" s="3">
        <v>0.13</v>
      </c>
      <c r="AU86" s="3">
        <v>6.45</v>
      </c>
      <c r="AV86" s="3">
        <v>2.2000000000000002</v>
      </c>
      <c r="AW86" s="3">
        <f t="shared" si="188"/>
        <v>2.5</v>
      </c>
      <c r="AX86" s="3">
        <f t="shared" si="189"/>
        <v>1</v>
      </c>
      <c r="AY86" s="3">
        <v>50</v>
      </c>
      <c r="AZ86" s="3">
        <v>20</v>
      </c>
      <c r="BA86" s="3">
        <v>10</v>
      </c>
      <c r="BB86" s="3"/>
      <c r="BC86" s="3"/>
      <c r="BD86" s="3"/>
      <c r="BE86" s="3">
        <f t="shared" si="150"/>
        <v>0.1</v>
      </c>
      <c r="BF86" s="3">
        <f t="shared" si="186"/>
        <v>1</v>
      </c>
      <c r="BG86" s="3">
        <f t="shared" si="170"/>
        <v>0.1</v>
      </c>
      <c r="BH86" s="3">
        <f t="shared" si="128"/>
        <v>1</v>
      </c>
      <c r="BI86" s="3">
        <v>0.4</v>
      </c>
      <c r="BJ86" s="3">
        <v>47</v>
      </c>
      <c r="BK86" s="3">
        <v>2</v>
      </c>
      <c r="BL86" s="3">
        <v>3</v>
      </c>
      <c r="BM86" s="3">
        <v>2</v>
      </c>
      <c r="BN86" s="3">
        <v>11</v>
      </c>
      <c r="BO86" s="3">
        <f t="shared" ref="BO86:BQ97" si="199">0.5*0.2</f>
        <v>0.1</v>
      </c>
      <c r="BP86" s="3">
        <f t="shared" si="199"/>
        <v>0.1</v>
      </c>
      <c r="BQ86" s="3">
        <f t="shared" si="199"/>
        <v>0.1</v>
      </c>
      <c r="BR86" s="3">
        <f t="shared" si="123"/>
        <v>0.02</v>
      </c>
      <c r="BS86" s="3">
        <v>136</v>
      </c>
      <c r="BT86" s="3">
        <v>782</v>
      </c>
      <c r="BU86" s="3">
        <f t="shared" si="171"/>
        <v>1</v>
      </c>
      <c r="BV86" s="3">
        <v>12</v>
      </c>
      <c r="BW86" s="3">
        <v>252</v>
      </c>
      <c r="BX86" s="3">
        <f t="shared" si="187"/>
        <v>10</v>
      </c>
      <c r="BY86" s="3">
        <f>0.5*20</f>
        <v>10</v>
      </c>
      <c r="BZ86" s="3">
        <v>99</v>
      </c>
      <c r="CA86" s="3">
        <v>22</v>
      </c>
      <c r="CB86" s="3">
        <f>0.5*2</f>
        <v>1</v>
      </c>
      <c r="CC86" s="3">
        <v>5</v>
      </c>
      <c r="CD86" s="3">
        <f>0.5*2</f>
        <v>1</v>
      </c>
      <c r="CE86" s="3">
        <f t="shared" si="165"/>
        <v>0.05</v>
      </c>
      <c r="CF86" s="3">
        <v>5658</v>
      </c>
      <c r="CG86" s="3">
        <v>1417</v>
      </c>
      <c r="CH86" s="3">
        <f t="shared" si="168"/>
        <v>10</v>
      </c>
      <c r="CI86" s="3">
        <f t="shared" si="173"/>
        <v>1E-3</v>
      </c>
      <c r="CJ86" s="3">
        <v>3.0000000000000001E-3</v>
      </c>
      <c r="CK86" s="3">
        <f>0.5*0.001</f>
        <v>5.0000000000000001E-4</v>
      </c>
      <c r="CL86" s="3">
        <f t="shared" si="198"/>
        <v>1.9E-2</v>
      </c>
      <c r="CM86" s="3"/>
      <c r="CN86" s="3"/>
      <c r="CO86" s="3">
        <v>950.98</v>
      </c>
      <c r="CP86" s="3"/>
      <c r="CQ86" s="3">
        <v>107.84</v>
      </c>
      <c r="CR86" s="3"/>
      <c r="CS86" s="3">
        <v>6225.49</v>
      </c>
      <c r="CT86" s="3"/>
      <c r="CU86" s="3"/>
      <c r="CV86" s="3">
        <v>113.73</v>
      </c>
      <c r="CW86" s="3">
        <v>54137.25</v>
      </c>
      <c r="CX86" s="3">
        <v>2009.8</v>
      </c>
      <c r="CY86" s="3"/>
      <c r="CZ86" s="3"/>
      <c r="DA86" s="3"/>
    </row>
    <row r="87" spans="1:105" ht="12.5" x14ac:dyDescent="0.25">
      <c r="A87" s="3" t="s">
        <v>113</v>
      </c>
      <c r="B87" s="3" t="s">
        <v>114</v>
      </c>
      <c r="C87" s="4" t="s">
        <v>468</v>
      </c>
      <c r="D87" s="4" t="s">
        <v>469</v>
      </c>
      <c r="E87" s="4" t="s">
        <v>470</v>
      </c>
      <c r="F87" s="3" t="s">
        <v>107</v>
      </c>
      <c r="G87" s="3" t="s">
        <v>108</v>
      </c>
      <c r="H87" s="3" t="s">
        <v>109</v>
      </c>
      <c r="I87" s="3" t="s">
        <v>117</v>
      </c>
      <c r="J87" s="3" t="s">
        <v>471</v>
      </c>
      <c r="K87" s="3" t="s">
        <v>472</v>
      </c>
      <c r="L87" s="3">
        <v>-22.377700000000001</v>
      </c>
      <c r="M87" s="3">
        <v>-62.518500000000003</v>
      </c>
      <c r="N87" s="3">
        <v>0.55900000000000005</v>
      </c>
      <c r="O87" s="3">
        <v>11</v>
      </c>
      <c r="P87" s="3">
        <v>626</v>
      </c>
      <c r="Q87" s="3">
        <v>197.8</v>
      </c>
      <c r="R87" s="3">
        <v>8.3469999999999995</v>
      </c>
      <c r="S87" s="3">
        <v>-81.099999999999994</v>
      </c>
      <c r="T87" s="3">
        <v>1596</v>
      </c>
      <c r="U87" s="3">
        <v>0.8</v>
      </c>
      <c r="V87" s="3">
        <v>24.1</v>
      </c>
      <c r="W87" s="3">
        <v>8.02</v>
      </c>
      <c r="X87" s="3">
        <v>99.8</v>
      </c>
      <c r="Y87" s="3">
        <v>244</v>
      </c>
      <c r="Z87" s="3">
        <v>1190</v>
      </c>
      <c r="AA87" s="3">
        <v>917</v>
      </c>
      <c r="AB87" s="3">
        <v>224</v>
      </c>
      <c r="AC87" s="3">
        <f>0.5*1</f>
        <v>0.5</v>
      </c>
      <c r="AD87" s="3">
        <v>551</v>
      </c>
      <c r="AE87" s="3"/>
      <c r="AF87" s="3">
        <v>154</v>
      </c>
      <c r="AG87" s="3">
        <v>241</v>
      </c>
      <c r="AH87" s="3">
        <v>257</v>
      </c>
      <c r="AI87" s="3">
        <v>70</v>
      </c>
      <c r="AJ87" s="3">
        <v>91</v>
      </c>
      <c r="AK87" s="3">
        <v>96</v>
      </c>
      <c r="AL87" s="3">
        <v>3.8</v>
      </c>
      <c r="AM87" s="3"/>
      <c r="AN87" s="3"/>
      <c r="AO87" s="3"/>
      <c r="AP87" s="3"/>
      <c r="AQ87" s="3"/>
      <c r="AR87" s="3"/>
      <c r="AS87" s="3">
        <f>0.5*0.05</f>
        <v>2.5000000000000001E-2</v>
      </c>
      <c r="AT87" s="3">
        <f>0.5*0.03</f>
        <v>1.4999999999999999E-2</v>
      </c>
      <c r="AU87" s="3"/>
      <c r="AV87" s="3"/>
      <c r="AW87" s="3">
        <f>0.5*2</f>
        <v>1</v>
      </c>
      <c r="AX87" s="3">
        <v>3</v>
      </c>
      <c r="AY87" s="3"/>
      <c r="AZ87" s="3"/>
      <c r="BA87" s="3"/>
      <c r="BB87" s="3"/>
      <c r="BC87" s="3"/>
      <c r="BD87" s="3"/>
      <c r="BE87" s="3">
        <f t="shared" si="150"/>
        <v>0.1</v>
      </c>
      <c r="BF87" s="3">
        <f t="shared" si="186"/>
        <v>1</v>
      </c>
      <c r="BG87" s="3">
        <f t="shared" ref="BG87:BG92" si="200">0.5*0.1</f>
        <v>0.05</v>
      </c>
      <c r="BH87" s="3">
        <f t="shared" ref="BH87:BH94" si="201">0.5*1</f>
        <v>0.5</v>
      </c>
      <c r="BI87" s="3">
        <v>1</v>
      </c>
      <c r="BJ87" s="3">
        <v>8</v>
      </c>
      <c r="BK87" s="3">
        <v>3</v>
      </c>
      <c r="BL87" s="3">
        <v>2</v>
      </c>
      <c r="BM87" s="3">
        <v>2</v>
      </c>
      <c r="BN87" s="3">
        <v>3</v>
      </c>
      <c r="BO87" s="3">
        <f t="shared" ref="BO87:BO91" si="202">0.5*0.1</f>
        <v>0.05</v>
      </c>
      <c r="BP87" s="3">
        <f t="shared" si="199"/>
        <v>0.1</v>
      </c>
      <c r="BQ87" s="3">
        <f t="shared" ref="BQ87:BQ99" si="203">0.5*0.1</f>
        <v>0.05</v>
      </c>
      <c r="BR87" s="3">
        <f t="shared" si="123"/>
        <v>0.02</v>
      </c>
      <c r="BS87" s="3">
        <v>227</v>
      </c>
      <c r="BT87" s="3">
        <v>871</v>
      </c>
      <c r="BU87" s="3">
        <f t="shared" si="171"/>
        <v>1</v>
      </c>
      <c r="BV87" s="3">
        <v>4</v>
      </c>
      <c r="BW87" s="3">
        <v>187</v>
      </c>
      <c r="BX87" s="3">
        <v>12</v>
      </c>
      <c r="BY87" s="3">
        <v>12</v>
      </c>
      <c r="BZ87" s="3">
        <v>40</v>
      </c>
      <c r="CA87" s="3">
        <f t="shared" ref="CA87:CA91" si="204">0.5*20</f>
        <v>10</v>
      </c>
      <c r="CB87" s="3">
        <f t="shared" ref="CB87:CB91" si="205">0.5*1</f>
        <v>0.5</v>
      </c>
      <c r="CC87" s="3">
        <v>9</v>
      </c>
      <c r="CD87" s="3">
        <f t="shared" ref="CD87:CD92" si="206">0.5*1</f>
        <v>0.5</v>
      </c>
      <c r="CE87" s="3">
        <v>0.27800000000000002</v>
      </c>
      <c r="CF87" s="3">
        <v>11112</v>
      </c>
      <c r="CG87" s="3">
        <v>911</v>
      </c>
      <c r="CH87" s="3">
        <f t="shared" si="168"/>
        <v>10</v>
      </c>
      <c r="CI87" s="3"/>
      <c r="CJ87" s="3"/>
      <c r="CK87" s="3"/>
      <c r="CL87" s="3"/>
      <c r="CM87" s="3"/>
      <c r="CN87" s="3"/>
      <c r="CO87" s="3">
        <v>169.64</v>
      </c>
      <c r="CP87" s="3">
        <v>23.21</v>
      </c>
      <c r="CQ87" s="3"/>
      <c r="CR87" s="3"/>
      <c r="CS87" s="3">
        <v>178.57</v>
      </c>
      <c r="CT87" s="3"/>
      <c r="CU87" s="3">
        <v>44.64</v>
      </c>
      <c r="CV87" s="3">
        <v>13.39</v>
      </c>
      <c r="CW87" s="3">
        <v>48593.75</v>
      </c>
      <c r="CX87" s="3">
        <v>799.11</v>
      </c>
      <c r="CY87" s="3">
        <v>1.25</v>
      </c>
      <c r="CZ87" s="3">
        <v>40.18</v>
      </c>
      <c r="DA87" s="3"/>
    </row>
    <row r="88" spans="1:105" ht="12.5" x14ac:dyDescent="0.25">
      <c r="A88" s="3" t="s">
        <v>102</v>
      </c>
      <c r="B88" s="3" t="s">
        <v>103</v>
      </c>
      <c r="C88" s="4" t="s">
        <v>473</v>
      </c>
      <c r="D88" s="4" t="s">
        <v>474</v>
      </c>
      <c r="E88" s="4" t="s">
        <v>470</v>
      </c>
      <c r="F88" s="3" t="s">
        <v>107</v>
      </c>
      <c r="G88" s="3" t="s">
        <v>108</v>
      </c>
      <c r="H88" s="3" t="s">
        <v>109</v>
      </c>
      <c r="I88" s="3" t="s">
        <v>110</v>
      </c>
      <c r="J88" s="3" t="s">
        <v>475</v>
      </c>
      <c r="K88" s="3" t="s">
        <v>476</v>
      </c>
      <c r="L88" s="3">
        <v>-21.259</v>
      </c>
      <c r="M88" s="3">
        <v>-63.511699999999998</v>
      </c>
      <c r="N88" s="3">
        <v>0.217</v>
      </c>
      <c r="O88" s="3">
        <v>22</v>
      </c>
      <c r="P88" s="3">
        <v>661</v>
      </c>
      <c r="Q88" s="3">
        <v>191.3</v>
      </c>
      <c r="R88" s="3">
        <v>8.4450000000000003</v>
      </c>
      <c r="S88" s="3">
        <v>-86.4</v>
      </c>
      <c r="T88" s="3">
        <v>1514</v>
      </c>
      <c r="U88" s="3">
        <v>0.7</v>
      </c>
      <c r="V88" s="3">
        <v>23</v>
      </c>
      <c r="W88" s="3">
        <v>7.93</v>
      </c>
      <c r="X88" s="3">
        <v>97.8</v>
      </c>
      <c r="Y88" s="3">
        <v>18.899999999999999</v>
      </c>
      <c r="Z88" s="3">
        <v>956</v>
      </c>
      <c r="AA88" s="3">
        <v>934</v>
      </c>
      <c r="AB88" s="3">
        <v>13</v>
      </c>
      <c r="AC88" s="3"/>
      <c r="AD88" s="3">
        <v>339.08</v>
      </c>
      <c r="AE88" s="3">
        <v>29.815000000000001</v>
      </c>
      <c r="AF88" s="3">
        <v>140.97</v>
      </c>
      <c r="AG88" s="3">
        <v>242.7</v>
      </c>
      <c r="AH88" s="3">
        <v>301.92</v>
      </c>
      <c r="AI88" s="3">
        <v>67.3</v>
      </c>
      <c r="AJ88" s="3">
        <v>41</v>
      </c>
      <c r="AK88" s="3">
        <v>181</v>
      </c>
      <c r="AL88" s="3">
        <v>8.57</v>
      </c>
      <c r="AM88" s="3">
        <v>70.099999999999994</v>
      </c>
      <c r="AN88" s="3">
        <v>52.1</v>
      </c>
      <c r="AO88" s="3">
        <v>194</v>
      </c>
      <c r="AP88" s="3">
        <v>11.1</v>
      </c>
      <c r="AQ88" s="3"/>
      <c r="AR88" s="3"/>
      <c r="AS88" s="3"/>
      <c r="AT88" s="3"/>
      <c r="AU88" s="3"/>
      <c r="AV88" s="3"/>
      <c r="AW88" s="3">
        <f>0.5*1</f>
        <v>0.5</v>
      </c>
      <c r="AX88" s="3">
        <v>6</v>
      </c>
      <c r="AY88" s="3"/>
      <c r="AZ88" s="3"/>
      <c r="BA88" s="3"/>
      <c r="BB88" s="3"/>
      <c r="BC88" s="3"/>
      <c r="BD88" s="3"/>
      <c r="BE88" s="3">
        <f t="shared" si="150"/>
        <v>0.1</v>
      </c>
      <c r="BF88" s="3">
        <f t="shared" si="186"/>
        <v>1</v>
      </c>
      <c r="BG88" s="3">
        <f t="shared" si="200"/>
        <v>0.05</v>
      </c>
      <c r="BH88" s="3">
        <f t="shared" si="201"/>
        <v>0.5</v>
      </c>
      <c r="BI88" s="3">
        <v>1</v>
      </c>
      <c r="BJ88" s="3">
        <v>4</v>
      </c>
      <c r="BK88" s="3">
        <v>2</v>
      </c>
      <c r="BL88" s="3">
        <v>2</v>
      </c>
      <c r="BM88" s="3">
        <v>2</v>
      </c>
      <c r="BN88" s="3">
        <v>4</v>
      </c>
      <c r="BO88" s="3">
        <f t="shared" si="202"/>
        <v>0.05</v>
      </c>
      <c r="BP88" s="3">
        <f t="shared" si="199"/>
        <v>0.1</v>
      </c>
      <c r="BQ88" s="3">
        <f t="shared" si="203"/>
        <v>0.05</v>
      </c>
      <c r="BR88" s="3">
        <f t="shared" si="123"/>
        <v>0.02</v>
      </c>
      <c r="BS88" s="3">
        <v>201</v>
      </c>
      <c r="BT88" s="3">
        <v>799</v>
      </c>
      <c r="BU88" s="3">
        <f t="shared" si="171"/>
        <v>1</v>
      </c>
      <c r="BV88" s="3">
        <f t="shared" si="171"/>
        <v>1</v>
      </c>
      <c r="BW88" s="3">
        <v>55</v>
      </c>
      <c r="BX88" s="3">
        <v>3</v>
      </c>
      <c r="BY88" s="3">
        <v>3</v>
      </c>
      <c r="BZ88" s="3">
        <v>10</v>
      </c>
      <c r="CA88" s="3">
        <f t="shared" si="204"/>
        <v>10</v>
      </c>
      <c r="CB88" s="3">
        <f t="shared" si="205"/>
        <v>0.5</v>
      </c>
      <c r="CC88" s="3">
        <f>0.5*2</f>
        <v>1</v>
      </c>
      <c r="CD88" s="3">
        <f t="shared" si="206"/>
        <v>0.5</v>
      </c>
      <c r="CE88" s="3">
        <f t="shared" ref="CE88:CE92" si="207">0.5*0.1</f>
        <v>0.05</v>
      </c>
      <c r="CF88" s="3">
        <v>741</v>
      </c>
      <c r="CG88" s="3">
        <v>827</v>
      </c>
      <c r="CH88" s="3">
        <f t="shared" si="168"/>
        <v>10</v>
      </c>
      <c r="CI88" s="3"/>
      <c r="CJ88" s="3">
        <f>0.5*1</f>
        <v>0.5</v>
      </c>
      <c r="CK88" s="3"/>
      <c r="CL88" s="3"/>
      <c r="CM88" s="3"/>
      <c r="CN88" s="3"/>
      <c r="CO88" s="3">
        <v>615.38</v>
      </c>
      <c r="CP88" s="3"/>
      <c r="CQ88" s="3"/>
      <c r="CR88" s="3"/>
      <c r="CS88" s="3">
        <v>2153.85</v>
      </c>
      <c r="CT88" s="3"/>
      <c r="CU88" s="3">
        <v>76.92</v>
      </c>
      <c r="CV88" s="3"/>
      <c r="CW88" s="3">
        <v>41538.46</v>
      </c>
      <c r="CX88" s="3">
        <v>3923.08</v>
      </c>
      <c r="CY88" s="3"/>
      <c r="CZ88" s="3">
        <v>76.92</v>
      </c>
      <c r="DA88" s="3"/>
    </row>
    <row r="89" spans="1:105" ht="12.5" x14ac:dyDescent="0.25">
      <c r="A89" s="3" t="s">
        <v>120</v>
      </c>
      <c r="B89" s="3" t="s">
        <v>121</v>
      </c>
      <c r="C89" s="4" t="s">
        <v>477</v>
      </c>
      <c r="D89" s="4" t="s">
        <v>439</v>
      </c>
      <c r="E89" s="4" t="s">
        <v>470</v>
      </c>
      <c r="F89" s="3" t="s">
        <v>107</v>
      </c>
      <c r="G89" s="3" t="s">
        <v>108</v>
      </c>
      <c r="H89" s="3" t="s">
        <v>124</v>
      </c>
      <c r="I89" s="3" t="s">
        <v>125</v>
      </c>
      <c r="J89" s="3" t="s">
        <v>478</v>
      </c>
      <c r="K89" s="3" t="s">
        <v>479</v>
      </c>
      <c r="L89" s="3">
        <v>-21.238600000000002</v>
      </c>
      <c r="M89" s="3">
        <v>-65.210800000000006</v>
      </c>
      <c r="N89" s="3">
        <v>0.33200000000000002</v>
      </c>
      <c r="O89" s="3">
        <v>2</v>
      </c>
      <c r="P89" s="3">
        <v>682</v>
      </c>
      <c r="Q89" s="3">
        <v>185.9</v>
      </c>
      <c r="R89" s="3">
        <v>8.4760000000000009</v>
      </c>
      <c r="S89" s="3">
        <v>-86.2</v>
      </c>
      <c r="T89" s="3">
        <v>1464</v>
      </c>
      <c r="U89" s="3">
        <v>0.7</v>
      </c>
      <c r="V89" s="3">
        <v>18.5</v>
      </c>
      <c r="W89" s="3">
        <v>8.35</v>
      </c>
      <c r="X89" s="3">
        <v>119</v>
      </c>
      <c r="Y89" s="3">
        <v>7.87</v>
      </c>
      <c r="Z89" s="3">
        <v>169</v>
      </c>
      <c r="AA89" s="3">
        <v>158</v>
      </c>
      <c r="AB89" s="3">
        <v>11</v>
      </c>
      <c r="AC89" s="3"/>
      <c r="AD89" s="3">
        <v>420.9</v>
      </c>
      <c r="AE89" s="3">
        <v>5</v>
      </c>
      <c r="AF89" s="3">
        <v>155</v>
      </c>
      <c r="AG89" s="3">
        <v>91.1</v>
      </c>
      <c r="AH89" s="3">
        <v>453.8</v>
      </c>
      <c r="AI89" s="3">
        <v>77.010000000000005</v>
      </c>
      <c r="AJ89" s="3">
        <v>52.45</v>
      </c>
      <c r="AK89" s="3">
        <v>102.9</v>
      </c>
      <c r="AL89" s="3">
        <v>8.1999999999999993</v>
      </c>
      <c r="AM89" s="3">
        <v>78.55</v>
      </c>
      <c r="AN89" s="3">
        <v>54.59</v>
      </c>
      <c r="AO89" s="3">
        <v>99.6</v>
      </c>
      <c r="AP89" s="3">
        <v>8</v>
      </c>
      <c r="AQ89" s="3"/>
      <c r="AR89" s="3"/>
      <c r="AS89" s="3"/>
      <c r="AT89" s="3"/>
      <c r="AU89" s="3"/>
      <c r="AV89" s="3"/>
      <c r="AW89" s="3">
        <f t="shared" ref="AW89:AW91" si="208">0.5*5</f>
        <v>2.5</v>
      </c>
      <c r="AX89" s="3">
        <f t="shared" ref="AX89:AX90" si="209">0.5*2</f>
        <v>1</v>
      </c>
      <c r="AY89" s="3"/>
      <c r="AZ89" s="3"/>
      <c r="BA89" s="3"/>
      <c r="BB89" s="3"/>
      <c r="BC89" s="3"/>
      <c r="BD89" s="3"/>
      <c r="BE89" s="3">
        <f t="shared" si="150"/>
        <v>0.1</v>
      </c>
      <c r="BF89" s="3">
        <f t="shared" si="186"/>
        <v>1</v>
      </c>
      <c r="BG89" s="3">
        <f t="shared" si="200"/>
        <v>0.05</v>
      </c>
      <c r="BH89" s="3">
        <f t="shared" si="201"/>
        <v>0.5</v>
      </c>
      <c r="BI89" s="3">
        <f t="shared" ref="BI89:BI90" si="210">0.5*0.2</f>
        <v>0.1</v>
      </c>
      <c r="BJ89" s="3">
        <v>33</v>
      </c>
      <c r="BK89" s="3">
        <v>4</v>
      </c>
      <c r="BL89" s="3">
        <v>1</v>
      </c>
      <c r="BM89" s="3">
        <v>2</v>
      </c>
      <c r="BN89" s="3">
        <v>4</v>
      </c>
      <c r="BO89" s="3">
        <f t="shared" si="202"/>
        <v>0.05</v>
      </c>
      <c r="BP89" s="3">
        <f t="shared" si="199"/>
        <v>0.1</v>
      </c>
      <c r="BQ89" s="3">
        <f t="shared" si="203"/>
        <v>0.05</v>
      </c>
      <c r="BR89" s="3">
        <f t="shared" si="123"/>
        <v>0.02</v>
      </c>
      <c r="BS89" s="3">
        <v>364</v>
      </c>
      <c r="BT89" s="3">
        <v>2888</v>
      </c>
      <c r="BU89" s="3">
        <f t="shared" si="171"/>
        <v>1</v>
      </c>
      <c r="BV89" s="3">
        <f t="shared" si="171"/>
        <v>1</v>
      </c>
      <c r="BW89" s="3">
        <v>39</v>
      </c>
      <c r="BX89" s="3">
        <v>7</v>
      </c>
      <c r="BY89" s="3">
        <v>8</v>
      </c>
      <c r="BZ89" s="3">
        <v>43</v>
      </c>
      <c r="CA89" s="3">
        <f t="shared" si="204"/>
        <v>10</v>
      </c>
      <c r="CB89" s="3">
        <f t="shared" si="205"/>
        <v>0.5</v>
      </c>
      <c r="CC89" s="3">
        <v>3</v>
      </c>
      <c r="CD89" s="3">
        <f t="shared" si="206"/>
        <v>0.5</v>
      </c>
      <c r="CE89" s="3">
        <f t="shared" si="207"/>
        <v>0.05</v>
      </c>
      <c r="CF89" s="3">
        <v>808</v>
      </c>
      <c r="CG89" s="3">
        <v>3003</v>
      </c>
      <c r="CH89" s="3">
        <f t="shared" si="168"/>
        <v>10</v>
      </c>
      <c r="CI89" s="3"/>
      <c r="CJ89" s="3">
        <v>3.0000000000000001E-3</v>
      </c>
      <c r="CK89" s="3"/>
      <c r="CL89" s="3"/>
      <c r="CM89" s="3"/>
      <c r="CN89" s="3"/>
      <c r="CO89" s="3">
        <v>3727.27</v>
      </c>
      <c r="CP89" s="3"/>
      <c r="CQ89" s="3"/>
      <c r="CR89" s="3"/>
      <c r="CS89" s="3">
        <v>10454.549999999999</v>
      </c>
      <c r="CT89" s="3"/>
      <c r="CU89" s="3">
        <v>636.36</v>
      </c>
      <c r="CV89" s="3"/>
      <c r="CW89" s="3">
        <v>40363.64</v>
      </c>
      <c r="CX89" s="3">
        <v>545.45000000000005</v>
      </c>
      <c r="CY89" s="3"/>
      <c r="CZ89" s="3">
        <v>272.73</v>
      </c>
      <c r="DA89" s="3"/>
    </row>
    <row r="90" spans="1:105" ht="12.5" x14ac:dyDescent="0.25">
      <c r="A90" s="3" t="s">
        <v>128</v>
      </c>
      <c r="B90" s="3" t="s">
        <v>129</v>
      </c>
      <c r="C90" s="4" t="s">
        <v>477</v>
      </c>
      <c r="D90" s="4" t="s">
        <v>155</v>
      </c>
      <c r="E90" s="4" t="s">
        <v>470</v>
      </c>
      <c r="F90" s="3" t="s">
        <v>107</v>
      </c>
      <c r="G90" s="3" t="s">
        <v>108</v>
      </c>
      <c r="H90" s="3" t="s">
        <v>131</v>
      </c>
      <c r="I90" s="3" t="s">
        <v>132</v>
      </c>
      <c r="J90" s="3" t="s">
        <v>480</v>
      </c>
      <c r="K90" s="3" t="s">
        <v>481</v>
      </c>
      <c r="L90" s="3">
        <v>-20.7423</v>
      </c>
      <c r="M90" s="3">
        <v>-65.240899999999996</v>
      </c>
      <c r="N90" s="3">
        <v>0.48499999999999999</v>
      </c>
      <c r="O90" s="3">
        <v>4</v>
      </c>
      <c r="P90" s="3">
        <v>866</v>
      </c>
      <c r="Q90" s="3">
        <v>166.8</v>
      </c>
      <c r="R90" s="3">
        <v>8.4499999999999993</v>
      </c>
      <c r="S90" s="3">
        <v>-83.1</v>
      </c>
      <c r="T90" s="3">
        <v>1154</v>
      </c>
      <c r="U90" s="3">
        <v>0.5</v>
      </c>
      <c r="V90" s="3">
        <v>13.4</v>
      </c>
      <c r="W90" s="3">
        <v>8.2899999999999991</v>
      </c>
      <c r="X90" s="3">
        <v>105.3</v>
      </c>
      <c r="Y90" s="3">
        <v>100</v>
      </c>
      <c r="Z90" s="3">
        <v>1183</v>
      </c>
      <c r="AA90" s="3">
        <v>1152</v>
      </c>
      <c r="AB90" s="3">
        <v>31</v>
      </c>
      <c r="AC90" s="3"/>
      <c r="AD90" s="3">
        <v>331.3</v>
      </c>
      <c r="AE90" s="3">
        <v>5</v>
      </c>
      <c r="AF90" s="3">
        <v>120</v>
      </c>
      <c r="AG90" s="3">
        <v>48.8</v>
      </c>
      <c r="AH90" s="3">
        <v>390.9</v>
      </c>
      <c r="AI90" s="3">
        <v>59.2</v>
      </c>
      <c r="AJ90" s="3">
        <v>42.99</v>
      </c>
      <c r="AK90" s="3">
        <v>70.599999999999994</v>
      </c>
      <c r="AL90" s="3">
        <v>7.9</v>
      </c>
      <c r="AM90" s="3">
        <v>60.92</v>
      </c>
      <c r="AN90" s="3">
        <v>43.52</v>
      </c>
      <c r="AO90" s="3">
        <v>68.7</v>
      </c>
      <c r="AP90" s="3">
        <v>7.7</v>
      </c>
      <c r="AQ90" s="3"/>
      <c r="AR90" s="3"/>
      <c r="AS90" s="3"/>
      <c r="AT90" s="3"/>
      <c r="AU90" s="3"/>
      <c r="AV90" s="3"/>
      <c r="AW90" s="3">
        <f t="shared" si="208"/>
        <v>2.5</v>
      </c>
      <c r="AX90" s="3">
        <f t="shared" si="209"/>
        <v>1</v>
      </c>
      <c r="AY90" s="3"/>
      <c r="AZ90" s="3"/>
      <c r="BA90" s="3"/>
      <c r="BB90" s="3"/>
      <c r="BC90" s="3"/>
      <c r="BD90" s="3"/>
      <c r="BE90" s="3">
        <f t="shared" si="150"/>
        <v>0.1</v>
      </c>
      <c r="BF90" s="3">
        <f t="shared" si="186"/>
        <v>1</v>
      </c>
      <c r="BG90" s="3">
        <f t="shared" si="200"/>
        <v>0.05</v>
      </c>
      <c r="BH90" s="3">
        <f t="shared" si="201"/>
        <v>0.5</v>
      </c>
      <c r="BI90" s="3">
        <f t="shared" si="210"/>
        <v>0.1</v>
      </c>
      <c r="BJ90" s="3">
        <v>56</v>
      </c>
      <c r="BK90" s="3">
        <v>4</v>
      </c>
      <c r="BL90" s="3">
        <v>1</v>
      </c>
      <c r="BM90" s="3">
        <v>2</v>
      </c>
      <c r="BN90" s="3">
        <v>4</v>
      </c>
      <c r="BO90" s="3">
        <f t="shared" si="202"/>
        <v>0.05</v>
      </c>
      <c r="BP90" s="3">
        <f t="shared" si="199"/>
        <v>0.1</v>
      </c>
      <c r="BQ90" s="3">
        <f t="shared" si="203"/>
        <v>0.05</v>
      </c>
      <c r="BR90" s="3">
        <f t="shared" si="123"/>
        <v>0.02</v>
      </c>
      <c r="BS90" s="3">
        <v>193</v>
      </c>
      <c r="BT90" s="3">
        <v>1288</v>
      </c>
      <c r="BU90" s="3">
        <f t="shared" si="171"/>
        <v>1</v>
      </c>
      <c r="BV90" s="3">
        <v>8</v>
      </c>
      <c r="BW90" s="3">
        <v>194</v>
      </c>
      <c r="BX90" s="3">
        <v>14</v>
      </c>
      <c r="BY90" s="3">
        <v>5</v>
      </c>
      <c r="BZ90" s="3">
        <v>25</v>
      </c>
      <c r="CA90" s="3">
        <f t="shared" si="204"/>
        <v>10</v>
      </c>
      <c r="CB90" s="3">
        <f t="shared" si="205"/>
        <v>0.5</v>
      </c>
      <c r="CC90" s="3">
        <v>3</v>
      </c>
      <c r="CD90" s="3">
        <f t="shared" si="206"/>
        <v>0.5</v>
      </c>
      <c r="CE90" s="3">
        <f t="shared" si="207"/>
        <v>0.05</v>
      </c>
      <c r="CF90" s="3">
        <v>2990</v>
      </c>
      <c r="CG90" s="3">
        <v>1378</v>
      </c>
      <c r="CH90" s="3">
        <f t="shared" si="168"/>
        <v>10</v>
      </c>
      <c r="CI90" s="3"/>
      <c r="CJ90" s="3">
        <f t="shared" ref="CJ90:CJ92" si="211">0.5*0.001</f>
        <v>5.0000000000000001E-4</v>
      </c>
      <c r="CK90" s="3"/>
      <c r="CL90" s="3"/>
      <c r="CM90" s="3"/>
      <c r="CN90" s="3"/>
      <c r="CO90" s="3">
        <v>741.94</v>
      </c>
      <c r="CP90" s="3"/>
      <c r="CQ90" s="3"/>
      <c r="CR90" s="3"/>
      <c r="CS90" s="3">
        <v>2903.23</v>
      </c>
      <c r="CT90" s="3"/>
      <c r="CU90" s="3">
        <v>129.03</v>
      </c>
      <c r="CV90" s="3">
        <v>258.06</v>
      </c>
      <c r="CW90" s="3">
        <v>90225.81</v>
      </c>
      <c r="CX90" s="3">
        <v>4451.6099999999997</v>
      </c>
      <c r="CY90" s="3"/>
      <c r="CZ90" s="3">
        <v>322.58</v>
      </c>
      <c r="DA90" s="3"/>
    </row>
    <row r="91" spans="1:105" ht="12.5" x14ac:dyDescent="0.25">
      <c r="A91" s="3" t="s">
        <v>135</v>
      </c>
      <c r="B91" s="3" t="s">
        <v>136</v>
      </c>
      <c r="C91" s="4" t="s">
        <v>482</v>
      </c>
      <c r="D91" s="4" t="s">
        <v>483</v>
      </c>
      <c r="E91" s="4" t="s">
        <v>470</v>
      </c>
      <c r="F91" s="3" t="s">
        <v>107</v>
      </c>
      <c r="G91" s="3" t="s">
        <v>108</v>
      </c>
      <c r="H91" s="3" t="s">
        <v>139</v>
      </c>
      <c r="J91" s="3" t="s">
        <v>484</v>
      </c>
      <c r="K91" s="3" t="s">
        <v>485</v>
      </c>
      <c r="L91" s="3">
        <v>-19.132200000000001</v>
      </c>
      <c r="M91" s="3">
        <v>-65.572000000000003</v>
      </c>
      <c r="N91" s="3">
        <v>0.72799999999999998</v>
      </c>
      <c r="O91" s="3">
        <v>0</v>
      </c>
      <c r="P91" s="3">
        <v>1540</v>
      </c>
      <c r="Q91" s="3">
        <v>147.69999999999999</v>
      </c>
      <c r="R91" s="3">
        <v>8.5820000000000007</v>
      </c>
      <c r="S91" s="3">
        <v>-92.2</v>
      </c>
      <c r="T91" s="3">
        <v>649</v>
      </c>
      <c r="U91" s="3">
        <v>0.2</v>
      </c>
      <c r="V91" s="3">
        <v>20.2</v>
      </c>
      <c r="W91" s="3">
        <v>6.44</v>
      </c>
      <c r="X91" s="3">
        <v>100.3</v>
      </c>
      <c r="Y91" s="3">
        <v>14.6</v>
      </c>
      <c r="Z91" s="3">
        <v>500</v>
      </c>
      <c r="AA91" s="3">
        <v>494</v>
      </c>
      <c r="AB91" s="3">
        <v>4</v>
      </c>
      <c r="AC91" s="3"/>
      <c r="AD91" s="3">
        <v>265.8</v>
      </c>
      <c r="AE91" s="3">
        <v>15</v>
      </c>
      <c r="AF91" s="3">
        <v>185</v>
      </c>
      <c r="AG91" s="3">
        <v>5.5</v>
      </c>
      <c r="AH91" s="3">
        <v>139.4</v>
      </c>
      <c r="AI91" s="3">
        <v>39.99</v>
      </c>
      <c r="AJ91" s="3">
        <v>39.299999999999997</v>
      </c>
      <c r="AK91" s="3">
        <v>19.100000000000001</v>
      </c>
      <c r="AL91" s="3">
        <v>5.5</v>
      </c>
      <c r="AM91" s="3">
        <v>40.57</v>
      </c>
      <c r="AN91" s="3">
        <v>39.94</v>
      </c>
      <c r="AO91" s="3">
        <v>19.399999999999999</v>
      </c>
      <c r="AP91" s="3">
        <v>5.5</v>
      </c>
      <c r="AQ91" s="3"/>
      <c r="AR91" s="3"/>
      <c r="AS91" s="3"/>
      <c r="AT91" s="3"/>
      <c r="AU91" s="3"/>
      <c r="AV91" s="3"/>
      <c r="AW91" s="3">
        <f t="shared" si="208"/>
        <v>2.5</v>
      </c>
      <c r="AX91" s="3">
        <v>5</v>
      </c>
      <c r="AY91" s="3"/>
      <c r="AZ91" s="3"/>
      <c r="BA91" s="3"/>
      <c r="BB91" s="3"/>
      <c r="BC91" s="3"/>
      <c r="BD91" s="3"/>
      <c r="BE91" s="3">
        <f t="shared" si="150"/>
        <v>0.1</v>
      </c>
      <c r="BF91" s="3">
        <f t="shared" si="186"/>
        <v>1</v>
      </c>
      <c r="BG91" s="3">
        <f t="shared" si="200"/>
        <v>0.05</v>
      </c>
      <c r="BH91" s="3">
        <f t="shared" si="201"/>
        <v>0.5</v>
      </c>
      <c r="BI91" s="3">
        <v>1</v>
      </c>
      <c r="BJ91" s="3">
        <v>233</v>
      </c>
      <c r="BK91" s="3">
        <v>3</v>
      </c>
      <c r="BL91" s="3">
        <v>1</v>
      </c>
      <c r="BM91" s="3">
        <v>4</v>
      </c>
      <c r="BN91" s="3">
        <f>0.5*2</f>
        <v>1</v>
      </c>
      <c r="BO91" s="3">
        <f t="shared" si="202"/>
        <v>0.05</v>
      </c>
      <c r="BP91" s="3">
        <f t="shared" si="199"/>
        <v>0.1</v>
      </c>
      <c r="BQ91" s="3">
        <f t="shared" si="203"/>
        <v>0.05</v>
      </c>
      <c r="BR91" s="3">
        <f t="shared" si="123"/>
        <v>0.02</v>
      </c>
      <c r="BS91" s="3">
        <v>165</v>
      </c>
      <c r="BT91" s="3">
        <v>179</v>
      </c>
      <c r="BU91" s="3">
        <f t="shared" si="171"/>
        <v>1</v>
      </c>
      <c r="BV91" s="3">
        <f t="shared" si="171"/>
        <v>1</v>
      </c>
      <c r="BW91" s="3">
        <v>276</v>
      </c>
      <c r="BX91" s="3">
        <v>4</v>
      </c>
      <c r="BY91" s="3">
        <v>9</v>
      </c>
      <c r="BZ91" s="3">
        <v>41</v>
      </c>
      <c r="CA91" s="3">
        <f t="shared" si="204"/>
        <v>10</v>
      </c>
      <c r="CB91" s="3">
        <f t="shared" si="205"/>
        <v>0.5</v>
      </c>
      <c r="CC91" s="3">
        <f>0.5*2</f>
        <v>1</v>
      </c>
      <c r="CD91" s="3">
        <f t="shared" si="206"/>
        <v>0.5</v>
      </c>
      <c r="CE91" s="3">
        <f t="shared" si="207"/>
        <v>0.05</v>
      </c>
      <c r="CF91" s="3">
        <v>1402</v>
      </c>
      <c r="CG91" s="3">
        <v>137</v>
      </c>
      <c r="CH91" s="3">
        <f t="shared" si="168"/>
        <v>10</v>
      </c>
      <c r="CI91" s="3"/>
      <c r="CJ91" s="3">
        <f t="shared" si="211"/>
        <v>5.0000000000000001E-4</v>
      </c>
      <c r="CK91" s="3"/>
      <c r="CL91" s="3"/>
      <c r="CM91" s="3"/>
      <c r="CN91" s="3"/>
      <c r="CO91" s="3">
        <v>9250</v>
      </c>
      <c r="CP91" s="3"/>
      <c r="CQ91" s="3"/>
      <c r="CR91" s="3"/>
      <c r="CS91" s="3"/>
      <c r="CT91" s="3"/>
      <c r="CU91" s="3">
        <v>2000</v>
      </c>
      <c r="CV91" s="3"/>
      <c r="CW91" s="3">
        <v>309250</v>
      </c>
      <c r="CX91" s="3">
        <v>10750</v>
      </c>
      <c r="CY91" s="3"/>
      <c r="CZ91" s="3">
        <v>250</v>
      </c>
      <c r="DA91" s="3"/>
    </row>
    <row r="92" spans="1:105" ht="12.5" x14ac:dyDescent="0.25">
      <c r="A92" s="3" t="s">
        <v>142</v>
      </c>
      <c r="B92" s="3" t="s">
        <v>143</v>
      </c>
      <c r="C92" s="4" t="s">
        <v>482</v>
      </c>
      <c r="D92" s="4" t="s">
        <v>254</v>
      </c>
      <c r="E92" s="4" t="s">
        <v>470</v>
      </c>
      <c r="F92" s="3" t="s">
        <v>107</v>
      </c>
      <c r="G92" s="3" t="s">
        <v>108</v>
      </c>
      <c r="H92" s="3" t="s">
        <v>109</v>
      </c>
      <c r="J92" s="3" t="s">
        <v>486</v>
      </c>
      <c r="K92" s="3" t="s">
        <v>487</v>
      </c>
      <c r="L92" s="3">
        <v>-19.132999999999999</v>
      </c>
      <c r="M92" s="3">
        <v>-65.569199999999995</v>
      </c>
      <c r="N92" s="3">
        <v>0.89800000000000002</v>
      </c>
      <c r="O92" s="3">
        <v>3</v>
      </c>
      <c r="P92" s="3">
        <v>908</v>
      </c>
      <c r="Q92" s="3">
        <v>157.69999999999999</v>
      </c>
      <c r="R92" s="3">
        <v>8.5180000000000007</v>
      </c>
      <c r="S92" s="3">
        <v>-86.1</v>
      </c>
      <c r="T92" s="3">
        <v>1107</v>
      </c>
      <c r="U92" s="3">
        <v>0.5</v>
      </c>
      <c r="V92" s="3">
        <v>11.8</v>
      </c>
      <c r="W92" s="3">
        <v>8.17</v>
      </c>
      <c r="X92" s="3">
        <v>105</v>
      </c>
      <c r="Y92" s="3">
        <v>94.1</v>
      </c>
      <c r="Z92" s="3">
        <v>877</v>
      </c>
      <c r="AA92" s="3">
        <v>736</v>
      </c>
      <c r="AB92" s="3">
        <v>139</v>
      </c>
      <c r="AC92" s="3"/>
      <c r="AD92" s="3">
        <v>148.19999999999999</v>
      </c>
      <c r="AE92" s="3">
        <f t="shared" ref="AE92:AE94" si="212">0.5*5</f>
        <v>2.5</v>
      </c>
      <c r="AF92" s="3">
        <v>140</v>
      </c>
      <c r="AG92" s="3">
        <v>181.1</v>
      </c>
      <c r="AH92" s="3">
        <v>98</v>
      </c>
      <c r="AI92" s="3">
        <v>30.32</v>
      </c>
      <c r="AJ92" s="3">
        <v>16.47</v>
      </c>
      <c r="AK92" s="3">
        <v>142.1</v>
      </c>
      <c r="AL92" s="3">
        <v>10.4</v>
      </c>
      <c r="AM92" s="3">
        <v>31.14</v>
      </c>
      <c r="AN92" s="3">
        <v>17.12</v>
      </c>
      <c r="AO92" s="3">
        <v>153.30000000000001</v>
      </c>
      <c r="AP92" s="3">
        <v>10.7</v>
      </c>
      <c r="AQ92" s="3"/>
      <c r="AR92" s="3"/>
      <c r="AS92" s="3"/>
      <c r="AT92" s="3"/>
      <c r="AU92" s="3"/>
      <c r="AV92" s="3"/>
      <c r="AW92" s="3">
        <v>9</v>
      </c>
      <c r="AX92" s="3">
        <v>13</v>
      </c>
      <c r="AY92" s="3"/>
      <c r="AZ92" s="3"/>
      <c r="BA92" s="3"/>
      <c r="BB92" s="3"/>
      <c r="BC92" s="3"/>
      <c r="BD92" s="3"/>
      <c r="BE92" s="3">
        <f t="shared" si="150"/>
        <v>0.1</v>
      </c>
      <c r="BF92" s="3">
        <f t="shared" si="186"/>
        <v>1</v>
      </c>
      <c r="BG92" s="3">
        <f t="shared" si="200"/>
        <v>0.05</v>
      </c>
      <c r="BH92" s="3">
        <f t="shared" si="201"/>
        <v>0.5</v>
      </c>
      <c r="BI92" s="3">
        <v>0.6</v>
      </c>
      <c r="BJ92" s="3">
        <v>216</v>
      </c>
      <c r="BK92" s="3">
        <v>3</v>
      </c>
      <c r="BL92" s="3">
        <v>4</v>
      </c>
      <c r="BM92" s="3">
        <v>51</v>
      </c>
      <c r="BN92" s="3">
        <v>19</v>
      </c>
      <c r="BO92" s="3">
        <v>0.1</v>
      </c>
      <c r="BP92" s="3">
        <f t="shared" si="199"/>
        <v>0.1</v>
      </c>
      <c r="BQ92" s="3">
        <f t="shared" si="203"/>
        <v>0.05</v>
      </c>
      <c r="BR92" s="3">
        <f t="shared" si="123"/>
        <v>0.02</v>
      </c>
      <c r="BS92" s="3">
        <v>162</v>
      </c>
      <c r="BT92" s="3">
        <v>1695</v>
      </c>
      <c r="BU92" s="3">
        <f t="shared" si="171"/>
        <v>1</v>
      </c>
      <c r="BV92" s="3">
        <f t="shared" si="171"/>
        <v>1</v>
      </c>
      <c r="BW92" s="3">
        <v>426</v>
      </c>
      <c r="BX92" s="3">
        <v>5</v>
      </c>
      <c r="BY92" s="3">
        <v>74</v>
      </c>
      <c r="BZ92" s="3">
        <v>447</v>
      </c>
      <c r="CA92" s="3">
        <v>43</v>
      </c>
      <c r="CB92" s="3">
        <v>2</v>
      </c>
      <c r="CC92" s="3">
        <v>11</v>
      </c>
      <c r="CD92" s="3">
        <f t="shared" si="206"/>
        <v>0.5</v>
      </c>
      <c r="CE92" s="3">
        <f t="shared" si="207"/>
        <v>0.05</v>
      </c>
      <c r="CF92" s="3">
        <v>4119</v>
      </c>
      <c r="CG92" s="3">
        <v>2015</v>
      </c>
      <c r="CH92" s="3">
        <f t="shared" si="168"/>
        <v>10</v>
      </c>
      <c r="CI92" s="3"/>
      <c r="CJ92" s="3">
        <f t="shared" si="211"/>
        <v>5.0000000000000001E-4</v>
      </c>
      <c r="CK92" s="3"/>
      <c r="CL92" s="3"/>
      <c r="CM92" s="3"/>
      <c r="CN92" s="3"/>
      <c r="CO92" s="3">
        <v>2848.92</v>
      </c>
      <c r="CP92" s="3">
        <v>4.32</v>
      </c>
      <c r="CQ92" s="3">
        <v>172.66</v>
      </c>
      <c r="CR92" s="3"/>
      <c r="CS92" s="3">
        <v>2302.16</v>
      </c>
      <c r="CT92" s="3">
        <v>13.67</v>
      </c>
      <c r="CU92" s="3">
        <v>503.6</v>
      </c>
      <c r="CV92" s="3"/>
      <c r="CW92" s="3">
        <v>28467.63</v>
      </c>
      <c r="CX92" s="3">
        <v>1510.79</v>
      </c>
      <c r="CY92" s="3"/>
      <c r="CZ92" s="3">
        <v>14.39</v>
      </c>
      <c r="DA92" s="3"/>
    </row>
    <row r="93" spans="1:105" ht="12.5" x14ac:dyDescent="0.25">
      <c r="A93" s="3" t="s">
        <v>146</v>
      </c>
      <c r="B93" s="3" t="s">
        <v>147</v>
      </c>
      <c r="C93" s="4" t="s">
        <v>488</v>
      </c>
      <c r="D93" s="4" t="s">
        <v>489</v>
      </c>
      <c r="E93" s="4" t="s">
        <v>470</v>
      </c>
      <c r="F93" s="3" t="s">
        <v>107</v>
      </c>
      <c r="G93" s="3" t="s">
        <v>108</v>
      </c>
      <c r="H93" s="3" t="s">
        <v>146</v>
      </c>
      <c r="I93" s="3" t="s">
        <v>150</v>
      </c>
      <c r="J93" s="3" t="s">
        <v>490</v>
      </c>
      <c r="K93" s="3" t="s">
        <v>453</v>
      </c>
      <c r="L93" s="3">
        <v>-19.471800000000002</v>
      </c>
      <c r="M93" s="3">
        <v>-65.794399999999996</v>
      </c>
      <c r="N93" s="3">
        <v>0.41699999999999998</v>
      </c>
      <c r="O93" s="3">
        <v>1</v>
      </c>
      <c r="P93" s="3">
        <v>872</v>
      </c>
      <c r="Q93" s="3">
        <v>99.6</v>
      </c>
      <c r="R93" s="3">
        <v>7.7629999999999999</v>
      </c>
      <c r="S93" s="3">
        <v>-44.5</v>
      </c>
      <c r="T93" s="3">
        <v>1147</v>
      </c>
      <c r="U93" s="3">
        <v>0.5</v>
      </c>
      <c r="V93" s="3">
        <v>15</v>
      </c>
      <c r="W93" s="3">
        <v>4.8</v>
      </c>
      <c r="X93" s="3">
        <v>71.5</v>
      </c>
      <c r="Y93" s="3">
        <v>210</v>
      </c>
      <c r="Z93" s="3">
        <v>948</v>
      </c>
      <c r="AA93" s="3">
        <v>738</v>
      </c>
      <c r="AB93" s="3">
        <v>209</v>
      </c>
      <c r="AC93" s="3"/>
      <c r="AD93" s="3">
        <v>309.39999999999998</v>
      </c>
      <c r="AE93" s="3">
        <f t="shared" si="212"/>
        <v>2.5</v>
      </c>
      <c r="AF93" s="3">
        <v>140</v>
      </c>
      <c r="AG93" s="3">
        <v>82.7</v>
      </c>
      <c r="AH93" s="3">
        <v>278</v>
      </c>
      <c r="AI93" s="3">
        <v>101.3</v>
      </c>
      <c r="AJ93" s="3">
        <v>13.11</v>
      </c>
      <c r="AK93" s="3">
        <v>80.3</v>
      </c>
      <c r="AL93" s="3">
        <v>20</v>
      </c>
      <c r="AM93" s="3">
        <v>102.28</v>
      </c>
      <c r="AN93" s="3">
        <v>13.11</v>
      </c>
      <c r="AO93" s="3">
        <v>82.6</v>
      </c>
      <c r="AP93" s="3">
        <v>20.100000000000001</v>
      </c>
      <c r="AQ93" s="3"/>
      <c r="AR93" s="3"/>
      <c r="AS93" s="3"/>
      <c r="AT93" s="3"/>
      <c r="AU93" s="3"/>
      <c r="AV93" s="3"/>
      <c r="AW93" s="3">
        <v>44</v>
      </c>
      <c r="AX93" s="3">
        <v>52</v>
      </c>
      <c r="AY93" s="3"/>
      <c r="AZ93" s="3"/>
      <c r="BA93" s="3"/>
      <c r="BB93" s="3"/>
      <c r="BC93" s="3"/>
      <c r="BD93" s="3"/>
      <c r="BE93" s="3">
        <f t="shared" si="150"/>
        <v>0.1</v>
      </c>
      <c r="BF93" s="3">
        <f t="shared" si="186"/>
        <v>1</v>
      </c>
      <c r="BG93" s="3">
        <v>0.1</v>
      </c>
      <c r="BH93" s="3">
        <f t="shared" si="201"/>
        <v>0.5</v>
      </c>
      <c r="BI93" s="3">
        <v>0.5</v>
      </c>
      <c r="BJ93" s="3">
        <v>761</v>
      </c>
      <c r="BK93" s="3">
        <v>11</v>
      </c>
      <c r="BL93" s="3">
        <v>18</v>
      </c>
      <c r="BM93" s="3">
        <v>645</v>
      </c>
      <c r="BN93" s="3">
        <v>37</v>
      </c>
      <c r="BO93" s="3">
        <v>1</v>
      </c>
      <c r="BP93" s="3">
        <f t="shared" si="199"/>
        <v>0.1</v>
      </c>
      <c r="BQ93" s="3">
        <f t="shared" si="203"/>
        <v>0.05</v>
      </c>
      <c r="BR93" s="3">
        <f t="shared" si="123"/>
        <v>0.02</v>
      </c>
      <c r="BS93" s="3">
        <v>410</v>
      </c>
      <c r="BT93" s="3">
        <v>360</v>
      </c>
      <c r="BU93" s="3">
        <f t="shared" si="171"/>
        <v>1</v>
      </c>
      <c r="BV93" s="3">
        <f t="shared" si="171"/>
        <v>1</v>
      </c>
      <c r="BW93" s="3">
        <v>1234</v>
      </c>
      <c r="BX93" s="3">
        <v>16</v>
      </c>
      <c r="BY93" s="3">
        <v>120</v>
      </c>
      <c r="BZ93" s="3">
        <v>3512</v>
      </c>
      <c r="CA93" s="3">
        <v>144</v>
      </c>
      <c r="CB93" s="3">
        <v>11</v>
      </c>
      <c r="CC93" s="3">
        <v>41</v>
      </c>
      <c r="CD93" s="3">
        <v>2</v>
      </c>
      <c r="CE93" s="3">
        <v>0.21299999999999999</v>
      </c>
      <c r="CF93" s="3">
        <v>16587</v>
      </c>
      <c r="CG93" s="3">
        <v>327</v>
      </c>
      <c r="CH93" s="3">
        <f t="shared" si="168"/>
        <v>10</v>
      </c>
      <c r="CI93" s="3"/>
      <c r="CJ93" s="3">
        <v>2E-3</v>
      </c>
      <c r="CK93" s="3"/>
      <c r="CL93" s="3"/>
      <c r="CM93" s="3"/>
      <c r="CN93" s="3"/>
      <c r="CO93" s="3">
        <v>13717.7</v>
      </c>
      <c r="CP93" s="3">
        <v>100.48</v>
      </c>
      <c r="CQ93" s="3">
        <v>511.96</v>
      </c>
      <c r="CR93" s="3"/>
      <c r="CS93" s="3"/>
      <c r="CT93" s="3">
        <v>47.85</v>
      </c>
      <c r="CU93" s="3">
        <v>488.04</v>
      </c>
      <c r="CV93" s="3"/>
      <c r="CW93" s="3">
        <v>77401.91</v>
      </c>
      <c r="CX93" s="3">
        <v>2263.16</v>
      </c>
      <c r="CY93" s="3">
        <v>1</v>
      </c>
      <c r="CZ93" s="3">
        <v>23.92</v>
      </c>
      <c r="DA93" s="3">
        <v>9.57</v>
      </c>
    </row>
    <row r="94" spans="1:105" ht="12.5" x14ac:dyDescent="0.25">
      <c r="A94" s="3" t="s">
        <v>153</v>
      </c>
      <c r="B94" s="3" t="s">
        <v>154</v>
      </c>
      <c r="C94" s="4" t="s">
        <v>488</v>
      </c>
      <c r="D94" s="4" t="s">
        <v>155</v>
      </c>
      <c r="E94" s="4" t="s">
        <v>470</v>
      </c>
      <c r="F94" s="3" t="s">
        <v>107</v>
      </c>
      <c r="G94" s="3" t="s">
        <v>108</v>
      </c>
      <c r="H94" s="3" t="s">
        <v>156</v>
      </c>
      <c r="I94" s="3" t="s">
        <v>150</v>
      </c>
      <c r="J94" s="3" t="s">
        <v>491</v>
      </c>
      <c r="K94" s="3" t="s">
        <v>492</v>
      </c>
      <c r="L94" s="3">
        <v>-19.320900000000002</v>
      </c>
      <c r="M94" s="3">
        <v>-65.551900000000003</v>
      </c>
      <c r="N94" s="3">
        <v>0.34399999999999997</v>
      </c>
      <c r="O94" s="3">
        <v>0</v>
      </c>
      <c r="P94" s="3">
        <v>3570</v>
      </c>
      <c r="Q94" s="3">
        <v>136</v>
      </c>
      <c r="R94" s="3">
        <v>6.4950000000000001</v>
      </c>
      <c r="S94" s="3">
        <v>27.2</v>
      </c>
      <c r="T94" s="3">
        <v>279</v>
      </c>
      <c r="U94" s="3">
        <v>0</v>
      </c>
      <c r="V94" s="3">
        <v>9.9</v>
      </c>
      <c r="W94" s="3">
        <v>7.32</v>
      </c>
      <c r="X94" s="3">
        <v>100.2</v>
      </c>
      <c r="Y94" s="3">
        <v>43.4</v>
      </c>
      <c r="Z94" s="3">
        <v>291</v>
      </c>
      <c r="AA94" s="3">
        <v>244</v>
      </c>
      <c r="AB94" s="3">
        <v>48</v>
      </c>
      <c r="AC94" s="3"/>
      <c r="AD94" s="3">
        <v>61.1</v>
      </c>
      <c r="AE94" s="3">
        <f t="shared" si="212"/>
        <v>2.5</v>
      </c>
      <c r="AF94" s="3">
        <f>0.5*5</f>
        <v>2.5</v>
      </c>
      <c r="AG94" s="3">
        <v>2.6</v>
      </c>
      <c r="AH94" s="3">
        <v>59.9</v>
      </c>
      <c r="AI94" s="3">
        <v>12.21</v>
      </c>
      <c r="AJ94" s="3">
        <v>6.75</v>
      </c>
      <c r="AK94" s="3">
        <v>1.5</v>
      </c>
      <c r="AL94" s="3">
        <v>1.4</v>
      </c>
      <c r="AM94" s="3">
        <v>12.61</v>
      </c>
      <c r="AN94" s="3">
        <v>7.18</v>
      </c>
      <c r="AO94" s="3">
        <v>2</v>
      </c>
      <c r="AP94" s="3">
        <v>1.4</v>
      </c>
      <c r="AQ94" s="3"/>
      <c r="AR94" s="3"/>
      <c r="AS94" s="3"/>
      <c r="AT94" s="3"/>
      <c r="AU94" s="3"/>
      <c r="AV94" s="3"/>
      <c r="AW94" s="3">
        <f>0.5*5</f>
        <v>2.5</v>
      </c>
      <c r="AX94" s="3">
        <f>0.5*2</f>
        <v>1</v>
      </c>
      <c r="AY94" s="3"/>
      <c r="AZ94" s="3"/>
      <c r="BA94" s="3"/>
      <c r="BB94" s="3"/>
      <c r="BC94" s="3"/>
      <c r="BD94" s="3"/>
      <c r="BE94" s="3">
        <f t="shared" si="150"/>
        <v>0.1</v>
      </c>
      <c r="BF94" s="3">
        <f t="shared" si="186"/>
        <v>1</v>
      </c>
      <c r="BG94" s="3">
        <f t="shared" ref="BG94:BG98" si="213">0.5*0.1</f>
        <v>0.05</v>
      </c>
      <c r="BH94" s="3">
        <f t="shared" si="201"/>
        <v>0.5</v>
      </c>
      <c r="BI94" s="3">
        <f t="shared" ref="BI94:BI97" si="214">0.5*0.2</f>
        <v>0.1</v>
      </c>
      <c r="BJ94" s="3">
        <v>2725</v>
      </c>
      <c r="BK94" s="3">
        <v>19</v>
      </c>
      <c r="BL94" s="3">
        <v>114</v>
      </c>
      <c r="BM94" s="3">
        <v>940</v>
      </c>
      <c r="BN94" s="3">
        <f>0.5*2</f>
        <v>1</v>
      </c>
      <c r="BO94" s="3">
        <v>4</v>
      </c>
      <c r="BP94" s="3">
        <f t="shared" si="199"/>
        <v>0.1</v>
      </c>
      <c r="BQ94" s="3">
        <f t="shared" si="203"/>
        <v>0.05</v>
      </c>
      <c r="BR94" s="3">
        <f t="shared" si="123"/>
        <v>0.02</v>
      </c>
      <c r="BS94" s="3">
        <v>3752</v>
      </c>
      <c r="BT94" s="3">
        <v>47</v>
      </c>
      <c r="BU94" s="3">
        <f t="shared" si="171"/>
        <v>1</v>
      </c>
      <c r="BV94" s="3">
        <f t="shared" si="171"/>
        <v>1</v>
      </c>
      <c r="BW94" s="3">
        <v>3633</v>
      </c>
      <c r="BX94" s="3">
        <v>19</v>
      </c>
      <c r="BY94" s="3">
        <v>330</v>
      </c>
      <c r="BZ94" s="3">
        <v>885</v>
      </c>
      <c r="CA94" s="3">
        <f>0.5*20</f>
        <v>10</v>
      </c>
      <c r="CB94" s="3">
        <v>4</v>
      </c>
      <c r="CC94" s="3">
        <v>2</v>
      </c>
      <c r="CD94" s="3">
        <f t="shared" ref="CD94:CD97" si="215">0.5*1</f>
        <v>0.5</v>
      </c>
      <c r="CE94" s="3">
        <f>0.5*0.1</f>
        <v>0.05</v>
      </c>
      <c r="CF94" s="3">
        <v>12217</v>
      </c>
      <c r="CG94" s="3">
        <v>7</v>
      </c>
      <c r="CH94" s="3">
        <f t="shared" si="168"/>
        <v>10</v>
      </c>
      <c r="CI94" s="3"/>
      <c r="CJ94" s="3">
        <f>0.5*0.001</f>
        <v>5.0000000000000001E-4</v>
      </c>
      <c r="CK94" s="3"/>
      <c r="CL94" s="3"/>
      <c r="CM94" s="3"/>
      <c r="CN94" s="3"/>
      <c r="CO94" s="3"/>
      <c r="CP94" s="3">
        <v>12.5</v>
      </c>
      <c r="CQ94" s="3"/>
      <c r="CR94" s="3"/>
      <c r="CS94" s="3"/>
      <c r="CT94" s="3">
        <v>0</v>
      </c>
      <c r="CU94" s="3">
        <v>4500</v>
      </c>
      <c r="CV94" s="3"/>
      <c r="CW94" s="3">
        <v>176354.17</v>
      </c>
      <c r="CX94" s="3">
        <v>18916.669999999998</v>
      </c>
      <c r="CY94" s="3"/>
      <c r="CZ94" s="3">
        <v>0</v>
      </c>
      <c r="DA94" s="3"/>
    </row>
    <row r="95" spans="1:105" ht="12.5" x14ac:dyDescent="0.25">
      <c r="A95" s="3" t="s">
        <v>128</v>
      </c>
      <c r="B95" s="3" t="s">
        <v>129</v>
      </c>
      <c r="C95" s="4" t="s">
        <v>493</v>
      </c>
      <c r="D95" s="4" t="s">
        <v>494</v>
      </c>
      <c r="E95" s="4" t="s">
        <v>495</v>
      </c>
      <c r="F95" s="3" t="s">
        <v>107</v>
      </c>
      <c r="G95" s="3" t="s">
        <v>108</v>
      </c>
      <c r="H95" s="3" t="s">
        <v>131</v>
      </c>
      <c r="I95" s="3" t="s">
        <v>132</v>
      </c>
      <c r="J95" s="3" t="s">
        <v>496</v>
      </c>
      <c r="K95" s="3" t="s">
        <v>497</v>
      </c>
      <c r="L95" s="3">
        <v>-20.7423</v>
      </c>
      <c r="M95" s="3">
        <v>-65.241200000000006</v>
      </c>
      <c r="N95" s="3">
        <v>0.58399999999999996</v>
      </c>
      <c r="O95" s="3">
        <v>5</v>
      </c>
      <c r="P95" s="3">
        <v>990</v>
      </c>
      <c r="Q95" s="3">
        <v>151.69999999999999</v>
      </c>
      <c r="R95" s="3">
        <v>8.4789999999999992</v>
      </c>
      <c r="S95" s="3">
        <v>-107.7</v>
      </c>
      <c r="T95" s="3">
        <v>1010</v>
      </c>
      <c r="U95" s="3">
        <v>0.4</v>
      </c>
      <c r="V95" s="3">
        <v>23.8</v>
      </c>
      <c r="W95" s="3">
        <v>6.21</v>
      </c>
      <c r="X95" s="3">
        <v>98.5</v>
      </c>
      <c r="Y95" s="3">
        <v>786</v>
      </c>
      <c r="Z95" s="3">
        <v>1650</v>
      </c>
      <c r="AA95" s="3">
        <v>872</v>
      </c>
      <c r="AB95" s="3">
        <v>778</v>
      </c>
      <c r="AC95" s="3"/>
      <c r="AD95" s="3">
        <v>208.1</v>
      </c>
      <c r="AE95" s="3">
        <v>5</v>
      </c>
      <c r="AF95" s="3">
        <v>135</v>
      </c>
      <c r="AG95" s="3">
        <v>27.7</v>
      </c>
      <c r="AH95" s="3">
        <v>142.30000000000001</v>
      </c>
      <c r="AI95" s="3">
        <v>46.24</v>
      </c>
      <c r="AJ95" s="3">
        <v>22.45</v>
      </c>
      <c r="AK95" s="3">
        <v>72.099999999999994</v>
      </c>
      <c r="AL95" s="3">
        <v>8.8000000000000007</v>
      </c>
      <c r="AM95" s="3">
        <v>46.31</v>
      </c>
      <c r="AN95" s="3">
        <v>22.45</v>
      </c>
      <c r="AO95" s="3">
        <v>72.099999999999994</v>
      </c>
      <c r="AP95" s="3">
        <v>8.8000000000000007</v>
      </c>
      <c r="AQ95" s="3"/>
      <c r="AR95" s="3"/>
      <c r="AS95" s="3"/>
      <c r="AT95" s="3"/>
      <c r="AU95" s="3"/>
      <c r="AV95" s="3"/>
      <c r="AW95" s="3">
        <v>22</v>
      </c>
      <c r="AX95" s="3">
        <v>26</v>
      </c>
      <c r="AY95" s="3"/>
      <c r="AZ95" s="3"/>
      <c r="BA95" s="3"/>
      <c r="BB95" s="3"/>
      <c r="BC95" s="3"/>
      <c r="BD95" s="3"/>
      <c r="BE95" s="3">
        <f t="shared" si="150"/>
        <v>0.1</v>
      </c>
      <c r="BF95" s="3">
        <f>0.5*1</f>
        <v>0.5</v>
      </c>
      <c r="BG95" s="3">
        <f t="shared" si="213"/>
        <v>0.05</v>
      </c>
      <c r="BH95" s="3">
        <f t="shared" ref="BH95:BH96" si="216">0.5*2</f>
        <v>1</v>
      </c>
      <c r="BI95" s="3">
        <f t="shared" si="214"/>
        <v>0.1</v>
      </c>
      <c r="BJ95" s="3">
        <v>25</v>
      </c>
      <c r="BK95" s="3">
        <v>3</v>
      </c>
      <c r="BL95" s="3">
        <f t="shared" ref="BL95:BM96" si="217">0.5*2</f>
        <v>1</v>
      </c>
      <c r="BM95" s="3">
        <f t="shared" si="217"/>
        <v>1</v>
      </c>
      <c r="BN95" s="3">
        <v>4</v>
      </c>
      <c r="BO95" s="3">
        <f t="shared" ref="BO95:BO98" si="218">0.5*0.1</f>
        <v>0.05</v>
      </c>
      <c r="BP95" s="3">
        <f t="shared" si="199"/>
        <v>0.1</v>
      </c>
      <c r="BQ95" s="3">
        <f t="shared" si="203"/>
        <v>0.05</v>
      </c>
      <c r="BR95" s="3"/>
      <c r="BS95" s="3">
        <v>179</v>
      </c>
      <c r="BT95" s="3">
        <v>1193</v>
      </c>
      <c r="BU95" s="3">
        <f t="shared" si="171"/>
        <v>1</v>
      </c>
      <c r="BV95" s="3">
        <v>31</v>
      </c>
      <c r="BW95" s="3">
        <v>518</v>
      </c>
      <c r="BX95" s="3">
        <v>28</v>
      </c>
      <c r="BY95" s="3">
        <v>25</v>
      </c>
      <c r="BZ95" s="3">
        <v>137</v>
      </c>
      <c r="CA95" s="3">
        <v>14</v>
      </c>
      <c r="CB95" s="3">
        <f t="shared" ref="CB95:CB97" si="219">0.5*1</f>
        <v>0.5</v>
      </c>
      <c r="CC95" s="3">
        <v>27</v>
      </c>
      <c r="CD95" s="3">
        <f t="shared" si="215"/>
        <v>0.5</v>
      </c>
      <c r="CE95" s="3"/>
      <c r="CF95" s="3">
        <v>31857</v>
      </c>
      <c r="CG95" s="3">
        <v>1285</v>
      </c>
      <c r="CH95" s="3">
        <f t="shared" si="168"/>
        <v>10</v>
      </c>
      <c r="CI95" s="3"/>
      <c r="CJ95" s="3">
        <v>6.0000000000000001E-3</v>
      </c>
      <c r="CK95" s="3"/>
      <c r="CL95" s="3"/>
      <c r="CM95" s="3"/>
      <c r="CN95" s="3"/>
      <c r="CO95" s="3">
        <v>176.09</v>
      </c>
      <c r="CP95" s="3">
        <v>23.39</v>
      </c>
      <c r="CQ95" s="3">
        <v>12.85</v>
      </c>
      <c r="CR95" s="3"/>
      <c r="CS95" s="3">
        <v>118.25</v>
      </c>
      <c r="CT95" s="3"/>
      <c r="CU95" s="3">
        <v>32.130000000000003</v>
      </c>
      <c r="CV95" s="3">
        <v>39.85</v>
      </c>
      <c r="CW95" s="3">
        <v>40717.22</v>
      </c>
      <c r="CX95" s="3">
        <v>633.67999999999995</v>
      </c>
      <c r="CY95" s="3"/>
      <c r="CZ95" s="3">
        <v>32.130000000000003</v>
      </c>
      <c r="DA95" s="3"/>
    </row>
    <row r="96" spans="1:105" ht="12.5" x14ac:dyDescent="0.25">
      <c r="A96" s="3" t="s">
        <v>120</v>
      </c>
      <c r="B96" s="3" t="s">
        <v>121</v>
      </c>
      <c r="C96" s="4" t="s">
        <v>493</v>
      </c>
      <c r="D96" s="4" t="s">
        <v>292</v>
      </c>
      <c r="E96" s="4" t="s">
        <v>495</v>
      </c>
      <c r="F96" s="3" t="s">
        <v>107</v>
      </c>
      <c r="G96" s="3" t="s">
        <v>108</v>
      </c>
      <c r="H96" s="3" t="s">
        <v>124</v>
      </c>
      <c r="I96" s="3" t="s">
        <v>125</v>
      </c>
      <c r="J96" s="3" t="s">
        <v>498</v>
      </c>
      <c r="K96" s="3" t="s">
        <v>499</v>
      </c>
      <c r="L96" s="3">
        <v>-21.239000000000001</v>
      </c>
      <c r="M96" s="3">
        <v>-65.210300000000004</v>
      </c>
      <c r="N96" s="3">
        <v>0.58699999999999997</v>
      </c>
      <c r="O96" s="3">
        <v>4</v>
      </c>
      <c r="P96" s="3">
        <v>854</v>
      </c>
      <c r="Q96" s="3">
        <v>157</v>
      </c>
      <c r="R96" s="3">
        <v>8.4930000000000003</v>
      </c>
      <c r="S96" s="3">
        <v>-107.7</v>
      </c>
      <c r="T96" s="3">
        <v>1171</v>
      </c>
      <c r="U96" s="3">
        <v>0.5</v>
      </c>
      <c r="V96" s="3">
        <v>21.2</v>
      </c>
      <c r="W96" s="3">
        <v>6.71</v>
      </c>
      <c r="X96" s="3">
        <v>100.8</v>
      </c>
      <c r="Y96" s="3"/>
      <c r="Z96" s="3">
        <v>3759</v>
      </c>
      <c r="AA96" s="3">
        <v>944</v>
      </c>
      <c r="AB96" s="3">
        <v>2815</v>
      </c>
      <c r="AC96" s="3"/>
      <c r="AD96" s="3">
        <v>476.7</v>
      </c>
      <c r="AE96" s="3">
        <f>0.5*0.5</f>
        <v>0.25</v>
      </c>
      <c r="AF96" s="3">
        <v>170</v>
      </c>
      <c r="AG96" s="3">
        <v>36.9</v>
      </c>
      <c r="AH96" s="3">
        <v>162.69999999999999</v>
      </c>
      <c r="AI96" s="3">
        <v>113.72</v>
      </c>
      <c r="AJ96" s="3">
        <v>46.64</v>
      </c>
      <c r="AK96" s="3">
        <v>86.2</v>
      </c>
      <c r="AL96" s="3">
        <v>8.9</v>
      </c>
      <c r="AM96" s="3">
        <v>113.72</v>
      </c>
      <c r="AN96" s="3">
        <v>46.8</v>
      </c>
      <c r="AO96" s="3">
        <v>86.2</v>
      </c>
      <c r="AP96" s="3">
        <v>9.1</v>
      </c>
      <c r="AQ96" s="3"/>
      <c r="AR96" s="3"/>
      <c r="AS96" s="3"/>
      <c r="AT96" s="3"/>
      <c r="AU96" s="3"/>
      <c r="AV96" s="3"/>
      <c r="AW96" s="3">
        <v>40</v>
      </c>
      <c r="AX96" s="3">
        <v>50</v>
      </c>
      <c r="AY96" s="3"/>
      <c r="AZ96" s="3"/>
      <c r="BA96" s="3"/>
      <c r="BB96" s="3"/>
      <c r="BC96" s="3"/>
      <c r="BD96" s="3"/>
      <c r="BE96" s="3">
        <f t="shared" si="150"/>
        <v>0.1</v>
      </c>
      <c r="BF96" s="3">
        <v>1</v>
      </c>
      <c r="BG96" s="3">
        <f t="shared" si="213"/>
        <v>0.05</v>
      </c>
      <c r="BH96" s="3">
        <f t="shared" si="216"/>
        <v>1</v>
      </c>
      <c r="BI96" s="3">
        <f t="shared" si="214"/>
        <v>0.1</v>
      </c>
      <c r="BJ96" s="3">
        <v>6</v>
      </c>
      <c r="BK96" s="3">
        <v>4</v>
      </c>
      <c r="BL96" s="3">
        <f t="shared" si="217"/>
        <v>1</v>
      </c>
      <c r="BM96" s="3">
        <f t="shared" si="217"/>
        <v>1</v>
      </c>
      <c r="BN96" s="3">
        <v>6</v>
      </c>
      <c r="BO96" s="3">
        <f t="shared" si="218"/>
        <v>0.05</v>
      </c>
      <c r="BP96" s="3">
        <f t="shared" si="199"/>
        <v>0.1</v>
      </c>
      <c r="BQ96" s="3">
        <f t="shared" si="203"/>
        <v>0.05</v>
      </c>
      <c r="BR96" s="3"/>
      <c r="BS96" s="3">
        <v>296</v>
      </c>
      <c r="BT96" s="3">
        <v>2531</v>
      </c>
      <c r="BU96" s="3">
        <f t="shared" si="171"/>
        <v>1</v>
      </c>
      <c r="BV96" s="3">
        <v>74</v>
      </c>
      <c r="BW96" s="3">
        <v>1510</v>
      </c>
      <c r="BX96" s="3">
        <v>87</v>
      </c>
      <c r="BY96" s="3">
        <v>82</v>
      </c>
      <c r="BZ96" s="3">
        <v>318</v>
      </c>
      <c r="CA96" s="3">
        <v>46</v>
      </c>
      <c r="CB96" s="3">
        <f t="shared" si="219"/>
        <v>0.5</v>
      </c>
      <c r="CC96" s="3">
        <v>105</v>
      </c>
      <c r="CD96" s="3">
        <f t="shared" si="215"/>
        <v>0.5</v>
      </c>
      <c r="CE96" s="3"/>
      <c r="CF96" s="3">
        <v>107169</v>
      </c>
      <c r="CG96" s="3">
        <v>2761</v>
      </c>
      <c r="CH96" s="3">
        <f t="shared" si="168"/>
        <v>10</v>
      </c>
      <c r="CI96" s="3"/>
      <c r="CJ96" s="3">
        <v>4.0000000000000001E-3</v>
      </c>
      <c r="CK96" s="3"/>
      <c r="CL96" s="3"/>
      <c r="CM96" s="3"/>
      <c r="CN96" s="3"/>
      <c r="CO96" s="3">
        <v>112.97</v>
      </c>
      <c r="CP96" s="3">
        <v>34.14</v>
      </c>
      <c r="CQ96" s="3">
        <v>14.21</v>
      </c>
      <c r="CR96" s="3">
        <v>0.36</v>
      </c>
      <c r="CS96" s="3">
        <v>81.709999999999994</v>
      </c>
      <c r="CT96" s="3"/>
      <c r="CU96" s="3">
        <v>29.13</v>
      </c>
      <c r="CV96" s="3">
        <v>26.29</v>
      </c>
      <c r="CW96" s="3">
        <v>37965.54</v>
      </c>
      <c r="CX96" s="3">
        <v>534.28</v>
      </c>
      <c r="CY96" s="3"/>
      <c r="CZ96" s="3">
        <v>29.48</v>
      </c>
      <c r="DA96" s="3"/>
    </row>
    <row r="97" spans="1:105" ht="12.5" x14ac:dyDescent="0.25">
      <c r="A97" s="3" t="s">
        <v>135</v>
      </c>
      <c r="B97" s="3" t="s">
        <v>136</v>
      </c>
      <c r="C97" s="4" t="s">
        <v>500</v>
      </c>
      <c r="D97" s="4" t="s">
        <v>501</v>
      </c>
      <c r="E97" s="4" t="s">
        <v>495</v>
      </c>
      <c r="F97" s="3" t="s">
        <v>107</v>
      </c>
      <c r="G97" s="3" t="s">
        <v>108</v>
      </c>
      <c r="H97" s="3" t="s">
        <v>139</v>
      </c>
      <c r="J97" s="3" t="s">
        <v>502</v>
      </c>
      <c r="K97" s="3" t="s">
        <v>503</v>
      </c>
      <c r="L97" s="3">
        <v>-19.132100000000001</v>
      </c>
      <c r="M97" s="3">
        <v>-65.570099999999996</v>
      </c>
      <c r="N97" s="3">
        <v>0.93500000000000005</v>
      </c>
      <c r="O97" s="3">
        <v>2</v>
      </c>
      <c r="P97" s="3">
        <v>2370</v>
      </c>
      <c r="Q97" s="3">
        <v>147.1</v>
      </c>
      <c r="R97" s="3">
        <v>8.3160000000000007</v>
      </c>
      <c r="S97" s="3">
        <v>-96.8</v>
      </c>
      <c r="T97" s="3">
        <v>421</v>
      </c>
      <c r="U97" s="3">
        <v>0.1</v>
      </c>
      <c r="V97" s="3">
        <v>19.100000000000001</v>
      </c>
      <c r="W97" s="3">
        <v>6.55</v>
      </c>
      <c r="X97" s="3">
        <v>98.9</v>
      </c>
      <c r="Y97" s="3">
        <f t="shared" ref="Y97:Y98" si="220">1.5*1100</f>
        <v>1650</v>
      </c>
      <c r="Z97" s="3">
        <v>5600</v>
      </c>
      <c r="AA97" s="3">
        <v>326</v>
      </c>
      <c r="AB97" s="3">
        <v>5274</v>
      </c>
      <c r="AC97" s="3"/>
      <c r="AD97" s="3">
        <v>180.6</v>
      </c>
      <c r="AE97" s="3">
        <f t="shared" ref="AE97:AF101" si="221">0.5*5</f>
        <v>2.5</v>
      </c>
      <c r="AF97" s="3">
        <v>120</v>
      </c>
      <c r="AG97" s="3">
        <v>9</v>
      </c>
      <c r="AH97" s="3">
        <v>46.3</v>
      </c>
      <c r="AI97" s="3">
        <v>30.39</v>
      </c>
      <c r="AJ97" s="3">
        <v>25.6</v>
      </c>
      <c r="AK97" s="3">
        <v>10.9</v>
      </c>
      <c r="AL97" s="3">
        <v>6.5</v>
      </c>
      <c r="AM97" s="3">
        <v>30.55</v>
      </c>
      <c r="AN97" s="3">
        <v>25.91</v>
      </c>
      <c r="AO97" s="3">
        <v>11.2</v>
      </c>
      <c r="AP97" s="3">
        <v>6.6</v>
      </c>
      <c r="AQ97" s="3"/>
      <c r="AR97" s="3"/>
      <c r="AS97" s="3"/>
      <c r="AT97" s="3"/>
      <c r="AU97" s="3"/>
      <c r="AV97" s="3"/>
      <c r="AW97" s="3">
        <f t="shared" ref="AW97:AW98" si="222">0.5*5</f>
        <v>2.5</v>
      </c>
      <c r="AX97" s="3">
        <v>7</v>
      </c>
      <c r="AY97" s="3"/>
      <c r="AZ97" s="3"/>
      <c r="BA97" s="3"/>
      <c r="BB97" s="3"/>
      <c r="BC97" s="3"/>
      <c r="BD97" s="3"/>
      <c r="BE97" s="3">
        <f t="shared" si="150"/>
        <v>0.1</v>
      </c>
      <c r="BF97" s="3">
        <v>2</v>
      </c>
      <c r="BG97" s="3">
        <f t="shared" si="213"/>
        <v>0.05</v>
      </c>
      <c r="BH97" s="3">
        <v>2</v>
      </c>
      <c r="BI97" s="3">
        <f t="shared" si="214"/>
        <v>0.1</v>
      </c>
      <c r="BJ97" s="3">
        <v>5</v>
      </c>
      <c r="BK97" s="3">
        <f t="shared" ref="BK97:BM97" si="223">0.5*2</f>
        <v>1</v>
      </c>
      <c r="BL97" s="3">
        <f t="shared" si="223"/>
        <v>1</v>
      </c>
      <c r="BM97" s="3">
        <f t="shared" si="223"/>
        <v>1</v>
      </c>
      <c r="BN97" s="3">
        <v>0.1</v>
      </c>
      <c r="BO97" s="3">
        <f t="shared" si="218"/>
        <v>0.05</v>
      </c>
      <c r="BP97" s="3">
        <f t="shared" si="199"/>
        <v>0.1</v>
      </c>
      <c r="BQ97" s="3">
        <f t="shared" si="203"/>
        <v>0.05</v>
      </c>
      <c r="BR97" s="3"/>
      <c r="BS97" s="3">
        <v>109</v>
      </c>
      <c r="BT97" s="3">
        <v>113</v>
      </c>
      <c r="BU97" s="3">
        <f t="shared" si="171"/>
        <v>1</v>
      </c>
      <c r="BV97" s="3">
        <v>110</v>
      </c>
      <c r="BW97" s="3">
        <v>3693</v>
      </c>
      <c r="BX97" s="3">
        <v>134</v>
      </c>
      <c r="BY97" s="3">
        <v>109</v>
      </c>
      <c r="BZ97" s="3">
        <v>276</v>
      </c>
      <c r="CA97" s="3">
        <v>37</v>
      </c>
      <c r="CB97" s="3">
        <f t="shared" si="219"/>
        <v>0.5</v>
      </c>
      <c r="CC97" s="3">
        <v>103</v>
      </c>
      <c r="CD97" s="3">
        <f t="shared" si="215"/>
        <v>0.5</v>
      </c>
      <c r="CE97" s="3">
        <v>0.42499999999999999</v>
      </c>
      <c r="CF97" s="3">
        <v>181039</v>
      </c>
      <c r="CG97" s="3">
        <v>244</v>
      </c>
      <c r="CH97" s="3">
        <f t="shared" si="168"/>
        <v>10</v>
      </c>
      <c r="CI97" s="3"/>
      <c r="CJ97" s="3">
        <v>3.0000000000000001E-3</v>
      </c>
      <c r="CK97" s="3"/>
      <c r="CL97" s="3"/>
      <c r="CM97" s="3">
        <v>0.38</v>
      </c>
      <c r="CN97" s="3"/>
      <c r="CO97" s="3">
        <v>52.33</v>
      </c>
      <c r="CP97" s="3">
        <v>18.3</v>
      </c>
      <c r="CQ97" s="3">
        <v>7</v>
      </c>
      <c r="CR97" s="3">
        <v>0.38</v>
      </c>
      <c r="CS97" s="3">
        <v>24.84</v>
      </c>
      <c r="CT97" s="3"/>
      <c r="CU97" s="3">
        <v>20.67</v>
      </c>
      <c r="CV97" s="3">
        <v>20.86</v>
      </c>
      <c r="CW97" s="3">
        <v>34306.03</v>
      </c>
      <c r="CX97" s="3">
        <v>699.28</v>
      </c>
      <c r="CY97" s="3"/>
      <c r="CZ97" s="3">
        <v>25.41</v>
      </c>
      <c r="DA97" s="3"/>
    </row>
    <row r="98" spans="1:105" ht="12.5" x14ac:dyDescent="0.25">
      <c r="A98" s="3" t="s">
        <v>142</v>
      </c>
      <c r="B98" s="3" t="s">
        <v>143</v>
      </c>
      <c r="C98" s="4" t="s">
        <v>500</v>
      </c>
      <c r="D98" s="4" t="s">
        <v>504</v>
      </c>
      <c r="E98" s="4" t="s">
        <v>495</v>
      </c>
      <c r="F98" s="3" t="s">
        <v>107</v>
      </c>
      <c r="G98" s="3" t="s">
        <v>108</v>
      </c>
      <c r="H98" s="3" t="s">
        <v>109</v>
      </c>
      <c r="J98" s="3" t="s">
        <v>505</v>
      </c>
      <c r="K98" s="3" t="s">
        <v>506</v>
      </c>
      <c r="L98" s="3">
        <v>-19.132200000000001</v>
      </c>
      <c r="M98" s="3">
        <v>-65.572299999999998</v>
      </c>
      <c r="N98" s="3">
        <v>1.3460000000000001</v>
      </c>
      <c r="O98" s="3">
        <v>14</v>
      </c>
      <c r="P98" s="3">
        <v>1469</v>
      </c>
      <c r="Q98" s="3">
        <v>148</v>
      </c>
      <c r="R98" s="3">
        <v>8.3160000000000007</v>
      </c>
      <c r="S98" s="3">
        <v>-96.4</v>
      </c>
      <c r="T98" s="3">
        <v>681</v>
      </c>
      <c r="U98" s="3">
        <v>0.3</v>
      </c>
      <c r="V98" s="3">
        <v>17.3</v>
      </c>
      <c r="W98" s="3">
        <v>6.8</v>
      </c>
      <c r="X98" s="3">
        <v>99.3</v>
      </c>
      <c r="Y98" s="3">
        <f t="shared" si="220"/>
        <v>1650</v>
      </c>
      <c r="Z98" s="3">
        <v>4085</v>
      </c>
      <c r="AA98" s="3">
        <v>464</v>
      </c>
      <c r="AB98" s="3">
        <v>3622</v>
      </c>
      <c r="AC98" s="3"/>
      <c r="AD98" s="3">
        <v>159.9</v>
      </c>
      <c r="AE98" s="3">
        <f t="shared" si="221"/>
        <v>2.5</v>
      </c>
      <c r="AF98" s="3">
        <v>110</v>
      </c>
      <c r="AG98" s="3">
        <v>81.2</v>
      </c>
      <c r="AH98" s="3">
        <v>53.2</v>
      </c>
      <c r="AI98" s="3">
        <v>34.4</v>
      </c>
      <c r="AJ98" s="3">
        <v>18.21</v>
      </c>
      <c r="AK98" s="3">
        <v>66</v>
      </c>
      <c r="AL98" s="3">
        <v>7.7</v>
      </c>
      <c r="AM98" s="3">
        <v>34.479999999999997</v>
      </c>
      <c r="AN98" s="3">
        <v>18.53</v>
      </c>
      <c r="AO98" s="3">
        <v>67.8</v>
      </c>
      <c r="AP98" s="3">
        <v>7.9</v>
      </c>
      <c r="AQ98" s="3"/>
      <c r="AR98" s="3"/>
      <c r="AS98" s="3"/>
      <c r="AT98" s="3"/>
      <c r="AU98" s="3"/>
      <c r="AV98" s="3"/>
      <c r="AW98" s="3">
        <f t="shared" si="222"/>
        <v>2.5</v>
      </c>
      <c r="AX98" s="3">
        <v>7</v>
      </c>
      <c r="AY98" s="3"/>
      <c r="AZ98" s="3"/>
      <c r="BA98" s="3"/>
      <c r="BB98" s="3"/>
      <c r="BC98" s="3"/>
      <c r="BD98" s="3"/>
      <c r="BE98" s="3">
        <f t="shared" si="150"/>
        <v>0.1</v>
      </c>
      <c r="BF98" s="3">
        <v>6</v>
      </c>
      <c r="BG98" s="3">
        <f t="shared" si="213"/>
        <v>0.05</v>
      </c>
      <c r="BH98" s="3">
        <v>3</v>
      </c>
      <c r="BI98" s="3">
        <v>2</v>
      </c>
      <c r="BJ98" s="3">
        <v>19</v>
      </c>
      <c r="BK98" s="3">
        <f>0.5*2</f>
        <v>1</v>
      </c>
      <c r="BL98" s="3">
        <v>2</v>
      </c>
      <c r="BM98" s="3">
        <v>7</v>
      </c>
      <c r="BN98" s="3">
        <v>7</v>
      </c>
      <c r="BO98" s="3">
        <f t="shared" si="218"/>
        <v>0.05</v>
      </c>
      <c r="BP98" s="3">
        <v>0.2</v>
      </c>
      <c r="BQ98" s="3">
        <f t="shared" si="203"/>
        <v>0.05</v>
      </c>
      <c r="BR98" s="3"/>
      <c r="BS98" s="3">
        <v>145</v>
      </c>
      <c r="BT98" s="3">
        <v>781</v>
      </c>
      <c r="BU98" s="3">
        <f t="shared" si="171"/>
        <v>1</v>
      </c>
      <c r="BV98" s="3">
        <v>135</v>
      </c>
      <c r="BW98" s="3">
        <v>3295</v>
      </c>
      <c r="BX98" s="3">
        <v>166</v>
      </c>
      <c r="BY98" s="3">
        <v>195</v>
      </c>
      <c r="BZ98" s="3">
        <v>1088</v>
      </c>
      <c r="CA98" s="3">
        <v>205</v>
      </c>
      <c r="CB98" s="3">
        <v>3</v>
      </c>
      <c r="CC98" s="3">
        <v>152</v>
      </c>
      <c r="CD98" s="3">
        <v>2</v>
      </c>
      <c r="CE98" s="3">
        <v>0.36</v>
      </c>
      <c r="CF98" s="3">
        <v>224969</v>
      </c>
      <c r="CG98" s="3">
        <v>975</v>
      </c>
      <c r="CH98" s="3">
        <f t="shared" si="168"/>
        <v>10</v>
      </c>
      <c r="CI98" s="3"/>
      <c r="CJ98" s="3">
        <v>3.0000000000000001E-3</v>
      </c>
      <c r="CK98" s="3"/>
      <c r="CL98" s="3"/>
      <c r="CM98" s="3">
        <v>0.83</v>
      </c>
      <c r="CN98" s="3"/>
      <c r="CO98" s="3">
        <v>298.45</v>
      </c>
      <c r="CP98" s="3">
        <v>39.840000000000003</v>
      </c>
      <c r="CQ98" s="3">
        <v>54.67</v>
      </c>
      <c r="CR98" s="3">
        <v>1.66</v>
      </c>
      <c r="CS98" s="3">
        <v>53.56</v>
      </c>
      <c r="CT98" s="3">
        <v>0.83</v>
      </c>
      <c r="CU98" s="3">
        <v>53.29</v>
      </c>
      <c r="CV98" s="3">
        <v>36.72</v>
      </c>
      <c r="CW98" s="3">
        <v>62071.78</v>
      </c>
      <c r="CX98" s="3">
        <v>904.47</v>
      </c>
      <c r="CY98" s="3"/>
      <c r="CZ98" s="3">
        <v>45.83</v>
      </c>
      <c r="DA98" s="3">
        <v>0.55000000000000004</v>
      </c>
    </row>
    <row r="99" spans="1:105" ht="12.5" x14ac:dyDescent="0.25">
      <c r="A99" s="3" t="s">
        <v>146</v>
      </c>
      <c r="B99" s="3" t="s">
        <v>147</v>
      </c>
      <c r="C99" s="4" t="s">
        <v>507</v>
      </c>
      <c r="D99" s="4" t="s">
        <v>372</v>
      </c>
      <c r="E99" s="4" t="s">
        <v>495</v>
      </c>
      <c r="F99" s="3" t="s">
        <v>107</v>
      </c>
      <c r="G99" s="3" t="s">
        <v>108</v>
      </c>
      <c r="H99" s="3" t="s">
        <v>146</v>
      </c>
      <c r="I99" s="3" t="s">
        <v>150</v>
      </c>
      <c r="J99" s="3" t="s">
        <v>508</v>
      </c>
      <c r="K99" s="3" t="s">
        <v>509</v>
      </c>
      <c r="L99" s="3">
        <v>-19.471900000000002</v>
      </c>
      <c r="M99" s="3">
        <v>-65.794200000000004</v>
      </c>
      <c r="N99" s="3">
        <v>0.71399999999999997</v>
      </c>
      <c r="O99" s="3">
        <v>2</v>
      </c>
      <c r="P99" s="3">
        <v>1307</v>
      </c>
      <c r="Q99" s="3">
        <v>132.5</v>
      </c>
      <c r="R99" s="3">
        <v>7.3680000000000003</v>
      </c>
      <c r="S99" s="3">
        <v>-43</v>
      </c>
      <c r="T99" s="3">
        <v>764</v>
      </c>
      <c r="U99" s="3">
        <v>0.3</v>
      </c>
      <c r="V99" s="3">
        <v>17.100000000000001</v>
      </c>
      <c r="W99" s="3">
        <v>6.12</v>
      </c>
      <c r="X99" s="3">
        <v>95.3</v>
      </c>
      <c r="Y99" s="3">
        <v>534</v>
      </c>
      <c r="Z99" s="3">
        <v>1045</v>
      </c>
      <c r="AA99" s="3">
        <v>628</v>
      </c>
      <c r="AB99" s="3">
        <v>417</v>
      </c>
      <c r="AC99" s="3"/>
      <c r="AD99" s="3">
        <v>283.8</v>
      </c>
      <c r="AE99" s="3">
        <f t="shared" si="221"/>
        <v>2.5</v>
      </c>
      <c r="AF99" s="3">
        <v>35</v>
      </c>
      <c r="AG99" s="3">
        <v>43.4</v>
      </c>
      <c r="AH99" s="3">
        <v>138.6</v>
      </c>
      <c r="AI99" s="3">
        <v>93.67</v>
      </c>
      <c r="AJ99" s="3">
        <v>10.99</v>
      </c>
      <c r="AK99" s="3">
        <v>37.299999999999997</v>
      </c>
      <c r="AL99" s="3">
        <v>8.8000000000000007</v>
      </c>
      <c r="AM99" s="3">
        <v>95.54</v>
      </c>
      <c r="AN99" s="3">
        <v>10.99</v>
      </c>
      <c r="AO99" s="3">
        <v>37.299999999999997</v>
      </c>
      <c r="AP99" s="3">
        <v>8.9</v>
      </c>
      <c r="AQ99" s="3"/>
      <c r="AR99" s="3"/>
      <c r="AS99" s="3"/>
      <c r="AT99" s="3"/>
      <c r="AU99" s="3"/>
      <c r="AV99" s="3"/>
      <c r="AW99" s="3">
        <v>18</v>
      </c>
      <c r="AX99" s="3">
        <v>21</v>
      </c>
      <c r="AY99" s="3"/>
      <c r="AZ99" s="3"/>
      <c r="BA99" s="3"/>
      <c r="BB99" s="3"/>
      <c r="BC99" s="3"/>
      <c r="BD99" s="3"/>
      <c r="BE99" s="3">
        <f t="shared" si="150"/>
        <v>0.1</v>
      </c>
      <c r="BF99" s="3">
        <v>2</v>
      </c>
      <c r="BG99" s="3">
        <v>0.2</v>
      </c>
      <c r="BH99" s="3">
        <f>0.5*2</f>
        <v>1</v>
      </c>
      <c r="BI99" s="3">
        <f t="shared" ref="BI99:BI100" si="224">0.5*0.2</f>
        <v>0.1</v>
      </c>
      <c r="BJ99" s="3">
        <v>1347</v>
      </c>
      <c r="BK99" s="3">
        <v>13</v>
      </c>
      <c r="BL99" s="3">
        <v>12</v>
      </c>
      <c r="BM99" s="3">
        <v>2124</v>
      </c>
      <c r="BN99" s="3">
        <v>22</v>
      </c>
      <c r="BO99" s="3">
        <v>9</v>
      </c>
      <c r="BP99" s="3">
        <f>0.5*0.2</f>
        <v>0.1</v>
      </c>
      <c r="BQ99" s="3">
        <f t="shared" si="203"/>
        <v>0.05</v>
      </c>
      <c r="BR99" s="3"/>
      <c r="BS99" s="3">
        <v>268</v>
      </c>
      <c r="BT99" s="3">
        <v>286</v>
      </c>
      <c r="BU99" s="3">
        <v>0.2</v>
      </c>
      <c r="BV99" s="3">
        <v>12</v>
      </c>
      <c r="BW99" s="3">
        <v>1976</v>
      </c>
      <c r="BX99" s="3">
        <v>28</v>
      </c>
      <c r="BY99" s="3">
        <v>376</v>
      </c>
      <c r="BZ99" s="3">
        <v>4741</v>
      </c>
      <c r="CA99" s="3">
        <v>185</v>
      </c>
      <c r="CB99" s="3">
        <v>18</v>
      </c>
      <c r="CC99" s="3">
        <v>56</v>
      </c>
      <c r="CD99" s="3">
        <v>3</v>
      </c>
      <c r="CE99" s="3">
        <v>0.23</v>
      </c>
      <c r="CF99" s="3">
        <v>29821</v>
      </c>
      <c r="CG99" s="3">
        <v>293</v>
      </c>
      <c r="CH99" s="3">
        <f t="shared" si="168"/>
        <v>10</v>
      </c>
      <c r="CI99" s="3"/>
      <c r="CJ99" s="3">
        <v>8.0000000000000002E-3</v>
      </c>
      <c r="CK99" s="3"/>
      <c r="CL99" s="3"/>
      <c r="CM99" s="3"/>
      <c r="CN99" s="3"/>
      <c r="CO99" s="3">
        <v>6275.78</v>
      </c>
      <c r="CP99" s="3">
        <v>113.19</v>
      </c>
      <c r="CQ99" s="3">
        <v>390.89</v>
      </c>
      <c r="CR99" s="3">
        <v>4.8</v>
      </c>
      <c r="CS99" s="3">
        <v>16.79</v>
      </c>
      <c r="CT99" s="3">
        <v>21.58</v>
      </c>
      <c r="CU99" s="3">
        <v>872.9</v>
      </c>
      <c r="CV99" s="3">
        <v>28.78</v>
      </c>
      <c r="CW99" s="3">
        <v>70870.5</v>
      </c>
      <c r="CX99" s="3">
        <v>1508.39</v>
      </c>
      <c r="CY99" s="3"/>
      <c r="CZ99" s="3">
        <v>35.97</v>
      </c>
      <c r="DA99" s="3">
        <v>7.19</v>
      </c>
    </row>
    <row r="100" spans="1:105" ht="12.5" x14ac:dyDescent="0.25">
      <c r="A100" s="3" t="s">
        <v>153</v>
      </c>
      <c r="B100" s="3" t="s">
        <v>154</v>
      </c>
      <c r="C100" s="4" t="s">
        <v>507</v>
      </c>
      <c r="D100" s="4" t="s">
        <v>413</v>
      </c>
      <c r="E100" s="4" t="s">
        <v>495</v>
      </c>
      <c r="F100" s="3" t="s">
        <v>107</v>
      </c>
      <c r="G100" s="3" t="s">
        <v>108</v>
      </c>
      <c r="H100" s="3" t="s">
        <v>156</v>
      </c>
      <c r="I100" s="3" t="s">
        <v>150</v>
      </c>
      <c r="J100" s="3" t="s">
        <v>510</v>
      </c>
      <c r="K100" s="3" t="s">
        <v>511</v>
      </c>
      <c r="L100" s="3">
        <v>-19.321200000000001</v>
      </c>
      <c r="M100" s="3">
        <v>-65.5518</v>
      </c>
      <c r="N100" s="3">
        <v>0.5</v>
      </c>
      <c r="O100" s="3">
        <v>0</v>
      </c>
      <c r="P100" s="3">
        <v>2790</v>
      </c>
      <c r="Q100" s="3">
        <v>134.19999999999999</v>
      </c>
      <c r="R100" s="3">
        <v>4.3319999999999999</v>
      </c>
      <c r="S100" s="3">
        <v>129.5</v>
      </c>
      <c r="T100" s="3">
        <v>358</v>
      </c>
      <c r="U100" s="3">
        <v>0.1</v>
      </c>
      <c r="V100" s="3">
        <v>14.8</v>
      </c>
      <c r="W100" s="3">
        <v>6.52</v>
      </c>
      <c r="X100" s="3">
        <v>99.6</v>
      </c>
      <c r="Y100" s="3">
        <v>53.2</v>
      </c>
      <c r="Z100" s="3">
        <v>307</v>
      </c>
      <c r="AA100" s="3">
        <v>306</v>
      </c>
      <c r="AB100" s="3">
        <v>1</v>
      </c>
      <c r="AC100" s="3"/>
      <c r="AD100" s="3">
        <v>58.7</v>
      </c>
      <c r="AE100" s="3">
        <f t="shared" si="221"/>
        <v>2.5</v>
      </c>
      <c r="AF100" s="3">
        <f t="shared" si="221"/>
        <v>2.5</v>
      </c>
      <c r="AG100" s="3">
        <v>2.8</v>
      </c>
      <c r="AH100" s="3">
        <v>97.2</v>
      </c>
      <c r="AI100" s="3">
        <v>9.84</v>
      </c>
      <c r="AJ100" s="3">
        <v>7.85</v>
      </c>
      <c r="AK100" s="3">
        <v>3.6</v>
      </c>
      <c r="AL100" s="3">
        <v>1.7</v>
      </c>
      <c r="AM100" s="3">
        <v>9.93</v>
      </c>
      <c r="AN100" s="3">
        <v>8.24</v>
      </c>
      <c r="AO100" s="3">
        <v>3.8</v>
      </c>
      <c r="AP100" s="3">
        <v>1.7</v>
      </c>
      <c r="AQ100" s="3"/>
      <c r="AR100" s="3"/>
      <c r="AS100" s="3"/>
      <c r="AT100" s="3"/>
      <c r="AU100" s="3"/>
      <c r="AV100" s="3"/>
      <c r="AW100" s="3">
        <f>0.5*5</f>
        <v>2.5</v>
      </c>
      <c r="AX100" s="3">
        <f>0.5*2</f>
        <v>1</v>
      </c>
      <c r="AY100" s="3"/>
      <c r="AZ100" s="3"/>
      <c r="BA100" s="3"/>
      <c r="BB100" s="3"/>
      <c r="BC100" s="3"/>
      <c r="BD100" s="3"/>
      <c r="BE100" s="3">
        <f t="shared" si="150"/>
        <v>0.1</v>
      </c>
      <c r="BF100" s="3">
        <f>0.5*2</f>
        <v>1</v>
      </c>
      <c r="BG100" s="3">
        <f>0.5*0.1</f>
        <v>0.05</v>
      </c>
      <c r="BH100" s="3">
        <f t="shared" ref="BH100:BH101" si="225">0.5*1</f>
        <v>0.5</v>
      </c>
      <c r="BI100" s="3">
        <f t="shared" si="224"/>
        <v>0.1</v>
      </c>
      <c r="BJ100" s="3">
        <v>3284</v>
      </c>
      <c r="BK100" s="3">
        <v>28</v>
      </c>
      <c r="BL100" s="3">
        <v>723</v>
      </c>
      <c r="BM100" s="3">
        <v>1162</v>
      </c>
      <c r="BN100" s="3">
        <v>0.1</v>
      </c>
      <c r="BO100" s="3">
        <v>5</v>
      </c>
      <c r="BP100" s="3">
        <v>3</v>
      </c>
      <c r="BQ100" s="3">
        <v>0.6</v>
      </c>
      <c r="BR100" s="3"/>
      <c r="BS100" s="3">
        <v>11547</v>
      </c>
      <c r="BT100" s="3">
        <v>50</v>
      </c>
      <c r="BU100" s="3">
        <f t="shared" ref="BU100:BV103" si="226">0.5*2</f>
        <v>1</v>
      </c>
      <c r="BV100" s="3">
        <f t="shared" si="226"/>
        <v>1</v>
      </c>
      <c r="BW100" s="3">
        <v>3877</v>
      </c>
      <c r="BX100" s="3">
        <v>28</v>
      </c>
      <c r="BY100" s="3">
        <v>720</v>
      </c>
      <c r="BZ100" s="3">
        <v>987</v>
      </c>
      <c r="CA100" s="3">
        <v>12</v>
      </c>
      <c r="CB100" s="3">
        <v>5</v>
      </c>
      <c r="CC100" s="3">
        <v>6</v>
      </c>
      <c r="CD100" s="3">
        <v>4</v>
      </c>
      <c r="CE100" s="3"/>
      <c r="CF100" s="3">
        <v>19259</v>
      </c>
      <c r="CG100" s="3">
        <v>38</v>
      </c>
      <c r="CH100" s="3">
        <f t="shared" si="168"/>
        <v>10</v>
      </c>
      <c r="CI100" s="3"/>
      <c r="CJ100" s="3">
        <v>5.0000000000000001E-3</v>
      </c>
      <c r="CK100" s="3"/>
      <c r="CL100" s="3"/>
      <c r="CM100" s="3"/>
      <c r="CN100" s="3"/>
      <c r="CO100" s="3"/>
      <c r="CP100" s="3">
        <v>4300</v>
      </c>
      <c r="CQ100" s="3">
        <v>11900</v>
      </c>
      <c r="CR100" s="3"/>
      <c r="CS100" s="3"/>
      <c r="CT100" s="3">
        <v>0</v>
      </c>
      <c r="CU100" s="3"/>
      <c r="CV100" s="3"/>
      <c r="CW100" s="3">
        <v>7712000</v>
      </c>
      <c r="CX100" s="3">
        <v>593000</v>
      </c>
      <c r="CY100" s="3"/>
      <c r="CZ100" s="3">
        <v>0</v>
      </c>
      <c r="DA100" s="3">
        <v>3400</v>
      </c>
    </row>
    <row r="101" spans="1:105" ht="12.5" x14ac:dyDescent="0.25">
      <c r="A101" s="3" t="s">
        <v>512</v>
      </c>
      <c r="B101" s="3" t="s">
        <v>513</v>
      </c>
      <c r="C101" s="4" t="s">
        <v>507</v>
      </c>
      <c r="D101" s="4" t="s">
        <v>357</v>
      </c>
      <c r="E101" s="4" t="s">
        <v>495</v>
      </c>
      <c r="F101" s="3" t="s">
        <v>107</v>
      </c>
      <c r="G101" s="3" t="s">
        <v>108</v>
      </c>
      <c r="H101" s="3" t="s">
        <v>514</v>
      </c>
      <c r="I101" s="3" t="s">
        <v>150</v>
      </c>
      <c r="J101" s="3" t="s">
        <v>515</v>
      </c>
      <c r="K101" s="3" t="s">
        <v>516</v>
      </c>
      <c r="L101" s="3">
        <v>-19.346499999999999</v>
      </c>
      <c r="M101" s="3">
        <v>-65.545199999999994</v>
      </c>
      <c r="N101" s="3"/>
      <c r="O101" s="3"/>
      <c r="P101" s="3">
        <v>505</v>
      </c>
      <c r="Q101" s="3">
        <v>123</v>
      </c>
      <c r="R101" s="3">
        <v>2.7610000000000001</v>
      </c>
      <c r="S101" s="3">
        <v>216.6</v>
      </c>
      <c r="T101" s="3">
        <v>1982</v>
      </c>
      <c r="U101" s="3">
        <v>1</v>
      </c>
      <c r="V101" s="3">
        <v>12.3</v>
      </c>
      <c r="W101" s="3">
        <v>6.24</v>
      </c>
      <c r="X101" s="3">
        <v>96</v>
      </c>
      <c r="Y101" s="3">
        <v>4.7300000000000004</v>
      </c>
      <c r="Z101" s="3">
        <v>2060</v>
      </c>
      <c r="AA101" s="3">
        <v>2058</v>
      </c>
      <c r="AB101" s="3">
        <v>2</v>
      </c>
      <c r="AC101" s="3"/>
      <c r="AD101" s="3">
        <v>46</v>
      </c>
      <c r="AE101" s="3">
        <f t="shared" si="221"/>
        <v>2.5</v>
      </c>
      <c r="AF101" s="3">
        <f t="shared" si="221"/>
        <v>2.5</v>
      </c>
      <c r="AG101" s="3">
        <v>9.9</v>
      </c>
      <c r="AH101" s="3">
        <v>948.2</v>
      </c>
      <c r="AI101" s="3">
        <v>12.2</v>
      </c>
      <c r="AJ101" s="3">
        <v>3.58</v>
      </c>
      <c r="AK101" s="3">
        <v>6.7</v>
      </c>
      <c r="AL101" s="3">
        <v>1.9</v>
      </c>
      <c r="AM101" s="3">
        <v>12.4</v>
      </c>
      <c r="AN101" s="3">
        <v>3.64</v>
      </c>
      <c r="AO101" s="3">
        <v>6.8</v>
      </c>
      <c r="AP101" s="3">
        <v>1.9</v>
      </c>
      <c r="AQ101" s="3"/>
      <c r="AR101" s="3"/>
      <c r="AS101" s="3"/>
      <c r="AT101" s="3"/>
      <c r="AU101" s="3"/>
      <c r="AV101" s="3"/>
      <c r="AW101" s="3">
        <v>25</v>
      </c>
      <c r="AX101" s="3">
        <v>29</v>
      </c>
      <c r="AY101" s="3"/>
      <c r="AZ101" s="3"/>
      <c r="BA101" s="3"/>
      <c r="BB101" s="3"/>
      <c r="BC101" s="3"/>
      <c r="BD101" s="3"/>
      <c r="BE101" s="3">
        <v>2</v>
      </c>
      <c r="BF101" s="3">
        <v>3</v>
      </c>
      <c r="BG101" s="3">
        <v>0.2</v>
      </c>
      <c r="BH101" s="3">
        <f t="shared" si="225"/>
        <v>0.5</v>
      </c>
      <c r="BI101" s="3">
        <v>27</v>
      </c>
      <c r="BJ101" s="3">
        <v>14111</v>
      </c>
      <c r="BK101" s="3">
        <v>118</v>
      </c>
      <c r="BL101" s="3">
        <v>3928</v>
      </c>
      <c r="BM101" s="3">
        <v>6902</v>
      </c>
      <c r="BN101" s="3">
        <v>398</v>
      </c>
      <c r="BO101" s="3">
        <v>38</v>
      </c>
      <c r="BP101" s="3">
        <v>12</v>
      </c>
      <c r="BQ101" s="3">
        <v>9</v>
      </c>
      <c r="BR101" s="3"/>
      <c r="BS101" s="3">
        <v>177827</v>
      </c>
      <c r="BT101" s="3">
        <v>56</v>
      </c>
      <c r="BU101" s="3">
        <f t="shared" si="226"/>
        <v>1</v>
      </c>
      <c r="BV101" s="3">
        <v>25</v>
      </c>
      <c r="BW101" s="3">
        <v>15050</v>
      </c>
      <c r="BX101" s="3">
        <v>131</v>
      </c>
      <c r="BY101" s="3">
        <v>5741</v>
      </c>
      <c r="BZ101" s="3">
        <v>6916</v>
      </c>
      <c r="CA101" s="3">
        <v>405</v>
      </c>
      <c r="CB101" s="3">
        <v>36</v>
      </c>
      <c r="CC101" s="3">
        <v>13</v>
      </c>
      <c r="CD101" s="3">
        <v>27</v>
      </c>
      <c r="CE101" s="3"/>
      <c r="CF101" s="3">
        <v>202798</v>
      </c>
      <c r="CG101" s="3">
        <v>34</v>
      </c>
      <c r="CH101" s="3">
        <f t="shared" si="168"/>
        <v>10</v>
      </c>
      <c r="CI101" s="3"/>
      <c r="CJ101" s="3">
        <v>7.0000000000000001E-3</v>
      </c>
      <c r="CK101" s="3"/>
      <c r="CL101" s="3"/>
      <c r="CM101" s="3"/>
      <c r="CN101" s="3"/>
      <c r="CO101" s="3">
        <v>7000</v>
      </c>
      <c r="CP101" s="3">
        <v>5550</v>
      </c>
      <c r="CQ101" s="3">
        <v>3500</v>
      </c>
      <c r="CR101" s="3">
        <v>500</v>
      </c>
      <c r="CS101" s="3"/>
      <c r="CT101" s="3"/>
      <c r="CU101" s="3">
        <v>906500</v>
      </c>
      <c r="CV101" s="3"/>
      <c r="CW101" s="5">
        <v>12485500</v>
      </c>
      <c r="CX101" s="3">
        <v>469500</v>
      </c>
      <c r="CY101" s="3"/>
      <c r="CZ101" s="3">
        <v>6500</v>
      </c>
      <c r="DA101" s="3">
        <v>9000</v>
      </c>
    </row>
    <row r="102" spans="1:105" ht="12.5" x14ac:dyDescent="0.25">
      <c r="A102" s="3" t="s">
        <v>113</v>
      </c>
      <c r="B102" s="3" t="s">
        <v>114</v>
      </c>
      <c r="C102" s="4" t="s">
        <v>517</v>
      </c>
      <c r="D102" s="4" t="s">
        <v>518</v>
      </c>
      <c r="E102" s="4" t="s">
        <v>495</v>
      </c>
      <c r="F102" s="3" t="s">
        <v>107</v>
      </c>
      <c r="G102" s="3" t="s">
        <v>108</v>
      </c>
      <c r="H102" s="3" t="s">
        <v>109</v>
      </c>
      <c r="I102" s="3" t="s">
        <v>117</v>
      </c>
      <c r="J102" s="3" t="s">
        <v>519</v>
      </c>
      <c r="K102" s="3" t="s">
        <v>316</v>
      </c>
      <c r="L102" s="3">
        <v>-22.3781</v>
      </c>
      <c r="M102" s="3">
        <v>-62.518599999999999</v>
      </c>
      <c r="N102" s="3">
        <v>1.46</v>
      </c>
      <c r="O102" s="3">
        <v>166</v>
      </c>
      <c r="P102" s="3">
        <v>2190</v>
      </c>
      <c r="Q102" s="3">
        <v>162.80000000000001</v>
      </c>
      <c r="R102" s="3">
        <v>7.6760000000000002</v>
      </c>
      <c r="S102" s="3">
        <v>-58.4</v>
      </c>
      <c r="T102" s="3">
        <v>458</v>
      </c>
      <c r="U102" s="3">
        <v>0.1</v>
      </c>
      <c r="V102" s="3">
        <v>26.1</v>
      </c>
      <c r="W102" s="3">
        <v>6.44</v>
      </c>
      <c r="X102" s="3">
        <v>81.900000000000006</v>
      </c>
      <c r="Y102" s="3">
        <f t="shared" ref="Y102:Y103" si="227">1.5*1100</f>
        <v>1650</v>
      </c>
      <c r="Z102" s="3">
        <v>5391</v>
      </c>
      <c r="AA102" s="3">
        <v>344</v>
      </c>
      <c r="AB102" s="3">
        <v>4662</v>
      </c>
      <c r="AC102" s="3"/>
      <c r="AD102" s="3">
        <v>172.2</v>
      </c>
      <c r="AE102" s="3">
        <v>15.1</v>
      </c>
      <c r="AF102" s="3">
        <v>73.599999999999994</v>
      </c>
      <c r="AG102" s="3">
        <v>49.5</v>
      </c>
      <c r="AH102" s="3">
        <v>14.5</v>
      </c>
      <c r="AI102" s="3">
        <v>42.3</v>
      </c>
      <c r="AJ102" s="3">
        <v>15.3</v>
      </c>
      <c r="AK102" s="3">
        <v>30.9</v>
      </c>
      <c r="AL102" s="3">
        <v>6.76</v>
      </c>
      <c r="AM102" s="3">
        <v>69.8</v>
      </c>
      <c r="AN102" s="3">
        <v>90</v>
      </c>
      <c r="AO102" s="3">
        <v>37.9</v>
      </c>
      <c r="AP102" s="3">
        <v>272</v>
      </c>
      <c r="AQ102" s="3"/>
      <c r="AR102" s="3"/>
      <c r="AS102" s="3"/>
      <c r="AT102" s="3"/>
      <c r="AU102" s="3"/>
      <c r="AV102" s="3"/>
      <c r="AW102" s="3">
        <f>0.5*2</f>
        <v>1</v>
      </c>
      <c r="AX102" s="3">
        <v>63</v>
      </c>
      <c r="AY102" s="3"/>
      <c r="AZ102" s="3"/>
      <c r="BA102" s="3"/>
      <c r="BB102" s="3"/>
      <c r="BC102" s="3"/>
      <c r="BD102" s="3"/>
      <c r="BE102" s="3">
        <f>0.5*0.2</f>
        <v>0.1</v>
      </c>
      <c r="BF102" s="3">
        <v>6</v>
      </c>
      <c r="BG102" s="3">
        <f t="shared" ref="BG102:BG103" si="228">0.5*0.1</f>
        <v>0.05</v>
      </c>
      <c r="BH102" s="3">
        <v>7</v>
      </c>
      <c r="BI102" s="3">
        <v>0.7</v>
      </c>
      <c r="BJ102" s="3">
        <v>3</v>
      </c>
      <c r="BK102" s="3">
        <f t="shared" ref="BK102:BL102" si="229">0.5*2</f>
        <v>1</v>
      </c>
      <c r="BL102" s="3">
        <f t="shared" si="229"/>
        <v>1</v>
      </c>
      <c r="BM102" s="3">
        <v>3</v>
      </c>
      <c r="BN102" s="3">
        <v>2</v>
      </c>
      <c r="BO102" s="3">
        <f>0.5*0.1</f>
        <v>0.05</v>
      </c>
      <c r="BP102" s="3">
        <f t="shared" ref="BP102:BP103" si="230">0.5*0.2</f>
        <v>0.1</v>
      </c>
      <c r="BQ102" s="3">
        <f>0.5*0.1</f>
        <v>0.05</v>
      </c>
      <c r="BR102" s="3"/>
      <c r="BS102" s="3">
        <v>118</v>
      </c>
      <c r="BT102" s="3">
        <v>337</v>
      </c>
      <c r="BU102" s="3">
        <f t="shared" si="226"/>
        <v>1</v>
      </c>
      <c r="BV102" s="3">
        <v>369</v>
      </c>
      <c r="BW102" s="3">
        <v>3944</v>
      </c>
      <c r="BX102" s="3">
        <v>255</v>
      </c>
      <c r="BY102" s="3">
        <v>195</v>
      </c>
      <c r="BZ102" s="3">
        <v>708</v>
      </c>
      <c r="CA102" s="3">
        <v>112</v>
      </c>
      <c r="CB102" s="3">
        <v>2</v>
      </c>
      <c r="CC102" s="3">
        <v>292</v>
      </c>
      <c r="CD102" s="3">
        <v>2</v>
      </c>
      <c r="CE102" s="3">
        <v>0.58699999999999997</v>
      </c>
      <c r="CF102" s="3">
        <v>240459</v>
      </c>
      <c r="CG102" s="3">
        <v>927</v>
      </c>
      <c r="CH102" s="3">
        <f t="shared" si="168"/>
        <v>10</v>
      </c>
      <c r="CI102" s="3"/>
      <c r="CJ102" s="3">
        <f t="shared" ref="CJ102:CJ103" si="231">0.5*1</f>
        <v>0.5</v>
      </c>
      <c r="CK102" s="3"/>
      <c r="CL102" s="3"/>
      <c r="CM102" s="3">
        <v>1.5</v>
      </c>
      <c r="CN102" s="3"/>
      <c r="CO102" s="3">
        <v>151.22</v>
      </c>
      <c r="CP102" s="3">
        <v>61.18</v>
      </c>
      <c r="CQ102" s="3">
        <v>23.6</v>
      </c>
      <c r="CR102" s="3">
        <v>1.29</v>
      </c>
      <c r="CS102" s="3">
        <v>126.56</v>
      </c>
      <c r="CT102" s="3">
        <v>0.43</v>
      </c>
      <c r="CU102" s="3">
        <v>41.83</v>
      </c>
      <c r="CV102" s="3">
        <v>79</v>
      </c>
      <c r="CW102" s="3">
        <v>51553.2</v>
      </c>
      <c r="CX102" s="3">
        <v>845.35</v>
      </c>
      <c r="CY102" s="3"/>
      <c r="CZ102" s="3">
        <v>54.7</v>
      </c>
      <c r="DA102" s="3">
        <v>0.43</v>
      </c>
    </row>
    <row r="103" spans="1:105" ht="12.5" x14ac:dyDescent="0.25">
      <c r="A103" s="3" t="s">
        <v>102</v>
      </c>
      <c r="B103" s="3" t="s">
        <v>103</v>
      </c>
      <c r="C103" s="4" t="s">
        <v>520</v>
      </c>
      <c r="D103" s="4" t="s">
        <v>521</v>
      </c>
      <c r="E103" s="4" t="s">
        <v>495</v>
      </c>
      <c r="F103" s="3" t="s">
        <v>107</v>
      </c>
      <c r="G103" s="3" t="s">
        <v>108</v>
      </c>
      <c r="H103" s="3" t="s">
        <v>109</v>
      </c>
      <c r="I103" s="3" t="s">
        <v>110</v>
      </c>
      <c r="J103" s="3" t="s">
        <v>522</v>
      </c>
      <c r="K103" s="3" t="s">
        <v>523</v>
      </c>
      <c r="L103" s="3">
        <v>-21.258800000000001</v>
      </c>
      <c r="M103" s="3">
        <v>-63.511600000000001</v>
      </c>
      <c r="N103" s="3">
        <v>0.94</v>
      </c>
      <c r="O103" s="3">
        <v>150</v>
      </c>
      <c r="P103" s="3">
        <v>2130</v>
      </c>
      <c r="Q103" s="3">
        <v>202</v>
      </c>
      <c r="R103" s="3">
        <v>8.0489999999999995</v>
      </c>
      <c r="S103" s="3">
        <v>-79.8</v>
      </c>
      <c r="T103" s="3">
        <v>469</v>
      </c>
      <c r="U103" s="3">
        <v>0.1</v>
      </c>
      <c r="V103" s="3">
        <v>23.4</v>
      </c>
      <c r="W103" s="3">
        <v>8.33</v>
      </c>
      <c r="X103" s="3">
        <v>102</v>
      </c>
      <c r="Y103" s="3">
        <f t="shared" si="227"/>
        <v>1650</v>
      </c>
      <c r="Z103" s="3">
        <v>6716</v>
      </c>
      <c r="AA103" s="3">
        <v>366</v>
      </c>
      <c r="AB103" s="3">
        <v>6694</v>
      </c>
      <c r="AC103" s="3"/>
      <c r="AD103" s="3">
        <v>160.19999999999999</v>
      </c>
      <c r="AE103" s="3">
        <v>11.7</v>
      </c>
      <c r="AF103" s="3">
        <v>59.9</v>
      </c>
      <c r="AG103" s="3">
        <v>39.9</v>
      </c>
      <c r="AH103" s="3">
        <v>17.100000000000001</v>
      </c>
      <c r="AI103" s="3">
        <v>37.799999999999997</v>
      </c>
      <c r="AJ103" s="3">
        <v>17.399999999999999</v>
      </c>
      <c r="AK103" s="3">
        <v>29.3</v>
      </c>
      <c r="AL103" s="3">
        <v>3.88</v>
      </c>
      <c r="AM103" s="3">
        <v>69.8</v>
      </c>
      <c r="AN103" s="3">
        <v>73.8</v>
      </c>
      <c r="AO103" s="3">
        <v>46.2</v>
      </c>
      <c r="AP103" s="3">
        <v>254</v>
      </c>
      <c r="AQ103" s="3"/>
      <c r="AR103" s="3"/>
      <c r="AS103" s="3"/>
      <c r="AT103" s="3"/>
      <c r="AU103" s="3"/>
      <c r="AV103" s="3"/>
      <c r="AW103" s="3">
        <v>6</v>
      </c>
      <c r="AX103" s="3">
        <v>185</v>
      </c>
      <c r="AY103" s="3"/>
      <c r="AZ103" s="3"/>
      <c r="BA103" s="3"/>
      <c r="BB103" s="3"/>
      <c r="BC103" s="3"/>
      <c r="BD103" s="3"/>
      <c r="BE103" s="3">
        <v>0.3</v>
      </c>
      <c r="BF103" s="3">
        <v>12</v>
      </c>
      <c r="BG103" s="3">
        <f t="shared" si="228"/>
        <v>0.05</v>
      </c>
      <c r="BH103" s="3">
        <v>6</v>
      </c>
      <c r="BI103" s="3">
        <v>0.4</v>
      </c>
      <c r="BJ103" s="3">
        <f t="shared" ref="BJ103:BM103" si="232">0.5*2</f>
        <v>1</v>
      </c>
      <c r="BK103" s="3">
        <f t="shared" si="232"/>
        <v>1</v>
      </c>
      <c r="BL103" s="3">
        <f t="shared" si="232"/>
        <v>1</v>
      </c>
      <c r="BM103" s="3">
        <f t="shared" si="232"/>
        <v>1</v>
      </c>
      <c r="BN103" s="3">
        <v>3</v>
      </c>
      <c r="BO103" s="3">
        <v>0.1</v>
      </c>
      <c r="BP103" s="3">
        <f t="shared" si="230"/>
        <v>0.1</v>
      </c>
      <c r="BQ103" s="3">
        <v>0.2</v>
      </c>
      <c r="BR103" s="3"/>
      <c r="BS103" s="3">
        <v>104</v>
      </c>
      <c r="BT103" s="3">
        <v>342</v>
      </c>
      <c r="BU103" s="3">
        <f t="shared" si="226"/>
        <v>1</v>
      </c>
      <c r="BV103" s="3">
        <v>230</v>
      </c>
      <c r="BW103" s="3">
        <v>2486</v>
      </c>
      <c r="BX103" s="3">
        <v>161</v>
      </c>
      <c r="BY103" s="3">
        <v>152</v>
      </c>
      <c r="BZ103" s="3">
        <v>561</v>
      </c>
      <c r="CA103" s="3">
        <v>121</v>
      </c>
      <c r="CB103" s="3">
        <v>3</v>
      </c>
      <c r="CC103" s="3">
        <v>236</v>
      </c>
      <c r="CD103" s="3">
        <v>3</v>
      </c>
      <c r="CE103" s="3">
        <v>0.60899999999999999</v>
      </c>
      <c r="CF103" s="3">
        <v>152586</v>
      </c>
      <c r="CG103" s="3">
        <v>834</v>
      </c>
      <c r="CH103" s="3">
        <f t="shared" si="168"/>
        <v>10</v>
      </c>
      <c r="CI103" s="3"/>
      <c r="CJ103" s="3">
        <f t="shared" si="231"/>
        <v>0.5</v>
      </c>
      <c r="CK103" s="3"/>
      <c r="CL103" s="3"/>
      <c r="CM103" s="3">
        <v>0.9</v>
      </c>
      <c r="CN103" s="3"/>
      <c r="CO103" s="3">
        <v>83.81</v>
      </c>
      <c r="CP103" s="3">
        <v>34.68</v>
      </c>
      <c r="CQ103" s="3">
        <v>17.63</v>
      </c>
      <c r="CR103" s="3">
        <v>1.75</v>
      </c>
      <c r="CS103" s="3">
        <v>73.5</v>
      </c>
      <c r="CT103" s="3">
        <v>0.43</v>
      </c>
      <c r="CU103" s="3">
        <v>22.71</v>
      </c>
      <c r="CV103" s="3">
        <v>34.299999999999997</v>
      </c>
      <c r="CW103" s="3">
        <v>22778.91</v>
      </c>
      <c r="CX103" s="3">
        <v>371.38</v>
      </c>
      <c r="CY103" s="3"/>
      <c r="CZ103" s="3">
        <v>24.05</v>
      </c>
      <c r="DA103" s="3">
        <v>0.42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water_2016_clean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modified xsi:type="dcterms:W3CDTF">2025-10-28T20:31:01Z</dcterms:modified>
</cp:coreProperties>
</file>