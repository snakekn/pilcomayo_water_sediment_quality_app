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ater_2024_clean" sheetId="1" r:id="rId4"/>
  </sheets>
  <definedNames/>
  <calcPr/>
</workbook>
</file>

<file path=xl/sharedStrings.xml><?xml version="1.0" encoding="utf-8"?>
<sst xmlns="http://schemas.openxmlformats.org/spreadsheetml/2006/main" count="630" uniqueCount="381">
  <si>
    <t>Station</t>
  </si>
  <si>
    <t>Code</t>
  </si>
  <si>
    <t>Date</t>
  </si>
  <si>
    <t>Time</t>
  </si>
  <si>
    <t>Campaign</t>
  </si>
  <si>
    <t>Responsible</t>
  </si>
  <si>
    <t>Institution</t>
  </si>
  <si>
    <t>River</t>
  </si>
  <si>
    <t>Basin</t>
  </si>
  <si>
    <t>Latitude</t>
  </si>
  <si>
    <t>Longitude</t>
  </si>
  <si>
    <t>Latitude Decimal</t>
  </si>
  <si>
    <t>Longitude Decimal</t>
  </si>
  <si>
    <t>Average Velocity (m/s)</t>
  </si>
  <si>
    <t>Flow (m3/s)</t>
  </si>
  <si>
    <t>Resistivity (Ohm.cm)</t>
  </si>
  <si>
    <t>Partial Pressure (mm Hg)</t>
  </si>
  <si>
    <t>pH</t>
  </si>
  <si>
    <t>pH (mV)</t>
  </si>
  <si>
    <t>Specific Conductivity (T ref. 25°C) (uS/cm)</t>
  </si>
  <si>
    <t>Salinity (Sal)</t>
  </si>
  <si>
    <t>Temperature (°C)</t>
  </si>
  <si>
    <t>Dissolved Oxygen (mg/l O2)</t>
  </si>
  <si>
    <t>Oxygen Saturation (%)</t>
  </si>
  <si>
    <t>Turbidity (NTU)</t>
  </si>
  <si>
    <t>Total Solids (mg/l)</t>
  </si>
  <si>
    <t>Total Dissolved Solids (mg/l)</t>
  </si>
  <si>
    <t>Total Suspended Solids (mg/l)</t>
  </si>
  <si>
    <t>Color (u PtCo)</t>
  </si>
  <si>
    <t>Total Hardness (mg/l CaCO3)</t>
  </si>
  <si>
    <t>Phenolphthalein Alkalinity (mg/l CaCO3)</t>
  </si>
  <si>
    <t>Total Alkalinity (mg/l CaCO3)</t>
  </si>
  <si>
    <t>Chlorides (mg/l Cl-)</t>
  </si>
  <si>
    <t>Sulfates (mg/l SO4)</t>
  </si>
  <si>
    <t>Dissolved Calcium (mg/l Ca)</t>
  </si>
  <si>
    <t>Dissolved Magnesium (mg/l Mg)</t>
  </si>
  <si>
    <t>Dissolved Sodium (mg/l Na)</t>
  </si>
  <si>
    <t>Dissolved Potassium (mg/l K)</t>
  </si>
  <si>
    <t>Total Calcium (mg/l Ca)</t>
  </si>
  <si>
    <t>Total Magnesium (mg/l Mg)</t>
  </si>
  <si>
    <t>Total Sodium (mg/l Na)</t>
  </si>
  <si>
    <t>Total Potassium (mg/l K)</t>
  </si>
  <si>
    <t>Total Phosphorus (mg/l PO4)</t>
  </si>
  <si>
    <t>Dissolved Phosphorus (mg/l PO4)</t>
  </si>
  <si>
    <t>Ammoniacal Nitrogen (mg/l NH4)</t>
  </si>
  <si>
    <t>Nitrite (mg/l NO2)</t>
  </si>
  <si>
    <t>Nitrate (mg/l NO3)</t>
  </si>
  <si>
    <t>Total Kjeldahl Nitrogen (mg/l N)</t>
  </si>
  <si>
    <t>Total Organic Carbon (mg/l)</t>
  </si>
  <si>
    <t>Biochemical Oxygen Demand (mg/l O2)</t>
  </si>
  <si>
    <t>Chemical Oxygen Demand (mg/l O2)</t>
  </si>
  <si>
    <t>Total Coliforms (CFU/100 ml)</t>
  </si>
  <si>
    <t>Fecal Coliforms (CFU/100 ml)</t>
  </si>
  <si>
    <t>Total Mesophilic Aerobes (MPN/100 ml)</t>
  </si>
  <si>
    <t>Total Coliforms (MPN/100 ml)</t>
  </si>
  <si>
    <t>Fecal Coliforms (MPN/100 ml)</t>
  </si>
  <si>
    <t>Total Mesophilic Aerobes (CFU/100 ml)</t>
  </si>
  <si>
    <t>Dissolved Bismuth (ug/l Bi)</t>
  </si>
  <si>
    <t>Total Bismuth (ug/l Bi)</t>
  </si>
  <si>
    <t>Dissolved Thallium (ug/l Tl)</t>
  </si>
  <si>
    <t>Total Thallium (ug/l Tl)</t>
  </si>
  <si>
    <t>Dissolved Chromium (ug/l Cr)</t>
  </si>
  <si>
    <t>Dissolved Manganese (ug/l Mn)</t>
  </si>
  <si>
    <t>Dissolved Nickel (ug/l Ni)</t>
  </si>
  <si>
    <t>Dissolved Copper (ug/l Cu)</t>
  </si>
  <si>
    <t>Dissolved Zinc (ug/l Zn)</t>
  </si>
  <si>
    <t>Dissolved Arsenic (ug/l As)</t>
  </si>
  <si>
    <t>Dissolved Cadmium (ug/l Cd)</t>
  </si>
  <si>
    <t>Dissolved Lead (ug/l Pb)</t>
  </si>
  <si>
    <t>Dissolved Silver (ug/l Ag)</t>
  </si>
  <si>
    <t>Dissolved Mercury (ug/l Hg)</t>
  </si>
  <si>
    <t>Dissolved Iron (ug/l Fe)</t>
  </si>
  <si>
    <t>Dissolved Boron (ug/l B)</t>
  </si>
  <si>
    <t>Dissolved Selenium (ug/l Se)</t>
  </si>
  <si>
    <t>Total Chromium (ug/l Cr)</t>
  </si>
  <si>
    <t>Total Manganese (ug/l Mn)</t>
  </si>
  <si>
    <t>Total Nickel (ug/l Ni)</t>
  </si>
  <si>
    <t>Total Copper (ug/l Cu)</t>
  </si>
  <si>
    <t>Total Zinc (ug/l Zn)</t>
  </si>
  <si>
    <t>Total Arsenic (ug/l As)</t>
  </si>
  <si>
    <t>Total Cadmium (ug/l Cd)</t>
  </si>
  <si>
    <t>Total Lead (ug/l Pb)</t>
  </si>
  <si>
    <t>Total Silver (ug/l Ag)</t>
  </si>
  <si>
    <t>Total Mercury (ug/l Hg)</t>
  </si>
  <si>
    <t>Total Iron (ug/l Fe)</t>
  </si>
  <si>
    <t>Total Boron (ug/l B)</t>
  </si>
  <si>
    <t>Total Selenium (ug/l Se)</t>
  </si>
  <si>
    <t>Cyanides (mg/l CN-)</t>
  </si>
  <si>
    <t>Free Cyanides (mg/l CN-)</t>
  </si>
  <si>
    <t>Sulfides (mg/l S)</t>
  </si>
  <si>
    <t>Phenols (mg/l C6H6O)</t>
  </si>
  <si>
    <t>Suspended Thallium (mg/kg Tl)</t>
  </si>
  <si>
    <t>Suspended Selenium (mg/kg Se)</t>
  </si>
  <si>
    <t>Suspended Zinc (mg/kg Zn)</t>
  </si>
  <si>
    <t>Suspended Lead (mg/kg Pb)</t>
  </si>
  <si>
    <t>Suspended Arsenic (mg/kg As)</t>
  </si>
  <si>
    <t>Suspended Bismuth (mg/kg Bi)</t>
  </si>
  <si>
    <t>Suspended Boron (mg/kg B)</t>
  </si>
  <si>
    <t>Suspended Cadmium (mg/kg Cd)</t>
  </si>
  <si>
    <t>Suspended Copper (mg/kg Cu)</t>
  </si>
  <si>
    <t>Suspended Chromium (mg/kg Cr)</t>
  </si>
  <si>
    <t>Suspended Iron (mg/kg Fe)</t>
  </si>
  <si>
    <t>Suspended Manganese (mg/kg Mn)</t>
  </si>
  <si>
    <t>Suspended Mercury (mg/kg Hg)</t>
  </si>
  <si>
    <t>Suspended Nickel (mg/kg Ni)</t>
  </si>
  <si>
    <t>Suspended Silver (mg/kg Ag)</t>
  </si>
  <si>
    <t>Tarapaya</t>
  </si>
  <si>
    <t>BTA-050</t>
  </si>
  <si>
    <t>23/06/2024</t>
  </si>
  <si>
    <t>15:55</t>
  </si>
  <si>
    <t>June 2024</t>
  </si>
  <si>
    <t>Unidad de Monitoreo y Centro de Datos</t>
  </si>
  <si>
    <t>Dirección Ejecutiva - Comisión Trinacional para el Desarrollo de la Cuenca del río Pilcomayo</t>
  </si>
  <si>
    <t>Unidad 1</t>
  </si>
  <si>
    <t>19° 28' 18.72"</t>
  </si>
  <si>
    <t>65° 47' 39.43"</t>
  </si>
  <si>
    <t>Colavi - Canutillos</t>
  </si>
  <si>
    <t>BC7-113</t>
  </si>
  <si>
    <t>12:30</t>
  </si>
  <si>
    <t>Colavi</t>
  </si>
  <si>
    <t>19° 19' 17.23"</t>
  </si>
  <si>
    <t>65° 33' 7.31"</t>
  </si>
  <si>
    <t>Viña Quemada</t>
  </si>
  <si>
    <t>BVQ-122</t>
  </si>
  <si>
    <t>22/06/2024</t>
  </si>
  <si>
    <t>11:30</t>
  </si>
  <si>
    <t>Pilcomayo</t>
  </si>
  <si>
    <t>Unidad 2</t>
  </si>
  <si>
    <t>19° 24' 27.59"</t>
  </si>
  <si>
    <t>64° 51' 47.99"</t>
  </si>
  <si>
    <t>Talula - Automática</t>
  </si>
  <si>
    <t>BTL-119</t>
  </si>
  <si>
    <t>21/06/2024</t>
  </si>
  <si>
    <t>12:20</t>
  </si>
  <si>
    <t>19° 07' 48.93"</t>
  </si>
  <si>
    <t>65° 27' 4.31"</t>
  </si>
  <si>
    <t>Tacobamba - Agua arriba confluencia Pilcomayo - Tacobamba</t>
  </si>
  <si>
    <t>BTC-116</t>
  </si>
  <si>
    <t>20/06/2024</t>
  </si>
  <si>
    <t>15:40</t>
  </si>
  <si>
    <t>Tacobamba</t>
  </si>
  <si>
    <t>19° 11' 23.74"</t>
  </si>
  <si>
    <t>65° 32' 56.64"</t>
  </si>
  <si>
    <t>Pilcomayo - Agua arriba confluencia Pilcomayo - Tacobamba</t>
  </si>
  <si>
    <t>BPT-118</t>
  </si>
  <si>
    <t>12:55</t>
  </si>
  <si>
    <t>19° 07' 56.06"</t>
  </si>
  <si>
    <t>65° 34' 20.15"</t>
  </si>
  <si>
    <t>Palca Grande</t>
  </si>
  <si>
    <t>BPG-110</t>
  </si>
  <si>
    <t>19/06/2024</t>
  </si>
  <si>
    <t>16:00</t>
  </si>
  <si>
    <t>Tumusla</t>
  </si>
  <si>
    <t>Unidad 4</t>
  </si>
  <si>
    <t>20° 44' 32.77"</t>
  </si>
  <si>
    <t>65° 14' 25.60"</t>
  </si>
  <si>
    <t>El Puente</t>
  </si>
  <si>
    <t>BEP-100</t>
  </si>
  <si>
    <t>13:35</t>
  </si>
  <si>
    <t>San Juan del Oro</t>
  </si>
  <si>
    <t>Unidad 5</t>
  </si>
  <si>
    <t>21° 14' 21.84"</t>
  </si>
  <si>
    <t>65° 12' 32.96"</t>
  </si>
  <si>
    <t>Villamontes</t>
  </si>
  <si>
    <t>BVI-150</t>
  </si>
  <si>
    <t>16/06/2024</t>
  </si>
  <si>
    <t>14:05</t>
  </si>
  <si>
    <t>Unidad 7</t>
  </si>
  <si>
    <t>21° 15' 31.72"</t>
  </si>
  <si>
    <t>63° 30' 41.45"</t>
  </si>
  <si>
    <t>Misión La Paz - SNIH</t>
  </si>
  <si>
    <t>AML-170</t>
  </si>
  <si>
    <t>7:05</t>
  </si>
  <si>
    <t>Cuenca Baja</t>
  </si>
  <si>
    <t>22° 22' 41.2"</t>
  </si>
  <si>
    <t>62° 31' 7.01"</t>
  </si>
  <si>
    <t>Tinfunke</t>
  </si>
  <si>
    <t>PTI-204</t>
  </si>
  <si>
    <t>29/04/2024</t>
  </si>
  <si>
    <t>9:00</t>
  </si>
  <si>
    <t>April 2024</t>
  </si>
  <si>
    <t>23° 45' 31.69"</t>
  </si>
  <si>
    <t>60° 07' 48.28"</t>
  </si>
  <si>
    <t>General Bruguez</t>
  </si>
  <si>
    <t>PGB-250</t>
  </si>
  <si>
    <t>19/03/2024</t>
  </si>
  <si>
    <t>15:15</t>
  </si>
  <si>
    <t>March 2024</t>
  </si>
  <si>
    <t>Chaco Paraguayo</t>
  </si>
  <si>
    <t>24° 44' 53.84"</t>
  </si>
  <si>
    <t>58° 49' 59.08"</t>
  </si>
  <si>
    <t>Clorinda</t>
  </si>
  <si>
    <t>ACL-310</t>
  </si>
  <si>
    <t>10:30</t>
  </si>
  <si>
    <t>Porteño</t>
  </si>
  <si>
    <t>El Porteño</t>
  </si>
  <si>
    <t>25° 15' 55.55"</t>
  </si>
  <si>
    <t>57° 43' 43.72"</t>
  </si>
  <si>
    <t>Ruta 11</t>
  </si>
  <si>
    <t>AR11-290</t>
  </si>
  <si>
    <t>Montelindo</t>
  </si>
  <si>
    <t>25° 47' 18.09"</t>
  </si>
  <si>
    <t>58° 01' 17.45"</t>
  </si>
  <si>
    <t>Puente Loyola</t>
  </si>
  <si>
    <t>APL-320</t>
  </si>
  <si>
    <t>15/03/2024</t>
  </si>
  <si>
    <t>9:40</t>
  </si>
  <si>
    <t>Cuenca Paraguay</t>
  </si>
  <si>
    <t>25° 15' 50.87"</t>
  </si>
  <si>
    <t>57° 43' 27.75"</t>
  </si>
  <si>
    <t>Villa Hayes</t>
  </si>
  <si>
    <t>PVH-280</t>
  </si>
  <si>
    <t>8:30</t>
  </si>
  <si>
    <t>Confuso</t>
  </si>
  <si>
    <t>25° 6' 26.07"</t>
  </si>
  <si>
    <t>57° 32' 47.76"</t>
  </si>
  <si>
    <t>Ruta 95</t>
  </si>
  <si>
    <t>AR95-220</t>
  </si>
  <si>
    <t>14/03/2024</t>
  </si>
  <si>
    <t>16:40</t>
  </si>
  <si>
    <t>25° 08' 55.33"</t>
  </si>
  <si>
    <t>59° 40' 45.76"</t>
  </si>
  <si>
    <t>Salida Laguna Salada</t>
  </si>
  <si>
    <t>ASL-270</t>
  </si>
  <si>
    <t>13:40</t>
  </si>
  <si>
    <t>Salada</t>
  </si>
  <si>
    <t>24° 41' 46.77"</t>
  </si>
  <si>
    <t>59° 49' 2.86"</t>
  </si>
  <si>
    <t>Ruta 28-Vertedero</t>
  </si>
  <si>
    <t>AR28-300</t>
  </si>
  <si>
    <t>9:50</t>
  </si>
  <si>
    <t>La Estrella</t>
  </si>
  <si>
    <t>Bañado La Estrella</t>
  </si>
  <si>
    <t>24° 21' 31.03"</t>
  </si>
  <si>
    <t>60° 18' 22.94"</t>
  </si>
  <si>
    <t>El Potrillo</t>
  </si>
  <si>
    <t>AEP-180</t>
  </si>
  <si>
    <t>13/03/2024</t>
  </si>
  <si>
    <t>10:15</t>
  </si>
  <si>
    <t>23° 8' 17.81"</t>
  </si>
  <si>
    <t>61° 57' 51.20"</t>
  </si>
  <si>
    <t>La Quiaca</t>
  </si>
  <si>
    <t>ALQ-040</t>
  </si>
  <si>
    <t>29/02/2024</t>
  </si>
  <si>
    <t>15:05</t>
  </si>
  <si>
    <t>February 2024</t>
  </si>
  <si>
    <t>22° 5' 51,70"</t>
  </si>
  <si>
    <t>65° 35' 9.46"</t>
  </si>
  <si>
    <t>Liviara</t>
  </si>
  <si>
    <t>ALI-020</t>
  </si>
  <si>
    <t>Orosmayo</t>
  </si>
  <si>
    <t>22° 31' 47.84"</t>
  </si>
  <si>
    <t>66° 20' 57.48"</t>
  </si>
  <si>
    <t>Chuquiago</t>
  </si>
  <si>
    <t>BCH-060</t>
  </si>
  <si>
    <t>28/02/2024</t>
  </si>
  <si>
    <t>15:30</t>
  </si>
  <si>
    <t>21° 33' 41.01"</t>
  </si>
  <si>
    <t>65° 38' 51.89"</t>
  </si>
  <si>
    <t>La Angostura</t>
  </si>
  <si>
    <t>BTP-090</t>
  </si>
  <si>
    <t>Tupiza</t>
  </si>
  <si>
    <t>21° 28' 9.11"</t>
  </si>
  <si>
    <t>65° 42' 53.17"</t>
  </si>
  <si>
    <t>Cotagaita</t>
  </si>
  <si>
    <t>BCO-070</t>
  </si>
  <si>
    <t>9:30</t>
  </si>
  <si>
    <t>20° 49' 15.87"</t>
  </si>
  <si>
    <t>65° 39' 57.9"</t>
  </si>
  <si>
    <t>BTU-080</t>
  </si>
  <si>
    <t>27/02/2024</t>
  </si>
  <si>
    <t>16:05</t>
  </si>
  <si>
    <t>20° 29' 13.2"</t>
  </si>
  <si>
    <t>65° 37' 3.73"</t>
  </si>
  <si>
    <t>Yocalla</t>
  </si>
  <si>
    <t>BYO-025</t>
  </si>
  <si>
    <t>10:10</t>
  </si>
  <si>
    <t>19° 23' 45.62"</t>
  </si>
  <si>
    <t>65° 54' 24.14"</t>
  </si>
  <si>
    <t>25/02/2024</t>
  </si>
  <si>
    <t>14:35</t>
  </si>
  <si>
    <t>19° 19' 16.72"</t>
  </si>
  <si>
    <t>65° 33' 6.78"</t>
  </si>
  <si>
    <t>Puente Mendez</t>
  </si>
  <si>
    <t>BPM-120</t>
  </si>
  <si>
    <t>10:00</t>
  </si>
  <si>
    <t>19° 21' 29.36"</t>
  </si>
  <si>
    <t>65° 10' 21.62"</t>
  </si>
  <si>
    <t>24/02/2024</t>
  </si>
  <si>
    <t>11:35</t>
  </si>
  <si>
    <t>19° 27' 12.69"</t>
  </si>
  <si>
    <t>64° 50' 27.98"</t>
  </si>
  <si>
    <t>23/02/2024</t>
  </si>
  <si>
    <t>10:45</t>
  </si>
  <si>
    <t>19° 7' 51.09"</t>
  </si>
  <si>
    <t>65° 27' 1.96"</t>
  </si>
  <si>
    <t>22/02/2024</t>
  </si>
  <si>
    <t>13:45</t>
  </si>
  <si>
    <t>19° 28' 18.50"</t>
  </si>
  <si>
    <t>65° 47' 39.68"</t>
  </si>
  <si>
    <t>San Antonio - Potosí</t>
  </si>
  <si>
    <t>BSA-030</t>
  </si>
  <si>
    <t>Aljamayu</t>
  </si>
  <si>
    <t>19° 34' 41.41"</t>
  </si>
  <si>
    <t>65° 48' 12.20"</t>
  </si>
  <si>
    <t>Potosí - Naciente río La Ribera</t>
  </si>
  <si>
    <t>BNR-010</t>
  </si>
  <si>
    <t>8:35</t>
  </si>
  <si>
    <t>De la Ribera</t>
  </si>
  <si>
    <t>19° 35' 51.48"</t>
  </si>
  <si>
    <t>65° 43' 52.73"</t>
  </si>
  <si>
    <t>21/02/2024</t>
  </si>
  <si>
    <t>15:20</t>
  </si>
  <si>
    <t>19° 12' 28.9"</t>
  </si>
  <si>
    <t>65° 33' 12.2"</t>
  </si>
  <si>
    <t>11:05</t>
  </si>
  <si>
    <t>19° 7' 56.3"</t>
  </si>
  <si>
    <t>65° 34' 20.12"</t>
  </si>
  <si>
    <t>20/02/2024</t>
  </si>
  <si>
    <t>20° 44' 32.41"</t>
  </si>
  <si>
    <t>65° 14' 25.67"</t>
  </si>
  <si>
    <t>12:25</t>
  </si>
  <si>
    <t>21° 14' 21.66"</t>
  </si>
  <si>
    <t>65° 12' 32.67"</t>
  </si>
  <si>
    <t>San Josecito</t>
  </si>
  <si>
    <t>BSJ-130</t>
  </si>
  <si>
    <t>19/02/2024</t>
  </si>
  <si>
    <t>17:05</t>
  </si>
  <si>
    <t>Pilaya</t>
  </si>
  <si>
    <t>Unidad 6</t>
  </si>
  <si>
    <t>21° 9' 5.24"</t>
  </si>
  <si>
    <t>64° 14' 17.88"</t>
  </si>
  <si>
    <t>Puente Aruma - Automática</t>
  </si>
  <si>
    <t>BPA-140</t>
  </si>
  <si>
    <t>10:20</t>
  </si>
  <si>
    <t>20° 54' 49.78"</t>
  </si>
  <si>
    <t>64° 6' 37.74"</t>
  </si>
  <si>
    <t>18/02/2024</t>
  </si>
  <si>
    <t>13:10</t>
  </si>
  <si>
    <t>21° 15' 31.75"</t>
  </si>
  <si>
    <t>63° 30' 41.77"</t>
  </si>
  <si>
    <t>7:30</t>
  </si>
  <si>
    <t>22° 22' 40.37"</t>
  </si>
  <si>
    <t>62° 31' 6.71"</t>
  </si>
  <si>
    <t>Montelindo en ruta PY09</t>
  </si>
  <si>
    <t>PR9M-260</t>
  </si>
  <si>
    <t>13/02/2024</t>
  </si>
  <si>
    <t>23° 53' 35.48"</t>
  </si>
  <si>
    <t>58° 26' 47.15"</t>
  </si>
  <si>
    <t>General Díaz</t>
  </si>
  <si>
    <t>PGD-200</t>
  </si>
  <si>
    <t>08/02/2024</t>
  </si>
  <si>
    <t>14:20</t>
  </si>
  <si>
    <t>23° 34' 35.75"</t>
  </si>
  <si>
    <t>60° 34' 48.18"</t>
  </si>
  <si>
    <t>Hacienda 9 de junio</t>
  </si>
  <si>
    <t>P9J-198</t>
  </si>
  <si>
    <t>23° 27' 7.14"</t>
  </si>
  <si>
    <t>60° 52' 19.21"</t>
  </si>
  <si>
    <t>Meyer Sitio 01</t>
  </si>
  <si>
    <t>PCM-191</t>
  </si>
  <si>
    <t>07/02/2024</t>
  </si>
  <si>
    <t>9:10</t>
  </si>
  <si>
    <t>Pilcomayo Medio Embocadura - Canal Paraguayo</t>
  </si>
  <si>
    <t>22° 42' 44.01"</t>
  </si>
  <si>
    <t>62° 9' 19.84"</t>
  </si>
  <si>
    <t>María Cristina</t>
  </si>
  <si>
    <t>AMC-190</t>
  </si>
  <si>
    <t>7:35</t>
  </si>
  <si>
    <t>22° 42' 0.69"</t>
  </si>
  <si>
    <t>62° 11' 35.15"</t>
  </si>
  <si>
    <t>Agropil</t>
  </si>
  <si>
    <t>PAG-196</t>
  </si>
  <si>
    <t>06/02/2024</t>
  </si>
  <si>
    <t>23° 10' 11.26"</t>
  </si>
  <si>
    <t>61° 37' 29.15"</t>
  </si>
  <si>
    <t>El Solitario</t>
  </si>
  <si>
    <t>PES-194</t>
  </si>
  <si>
    <t>9:05</t>
  </si>
  <si>
    <t>22° 51' 36.37"</t>
  </si>
  <si>
    <t>62° 1' 9.01"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</si>
</sst>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9" xfId="0" applyAlignment="1" applyFont="1" applyNumberFormat="1">
      <alignment readingOrder="0"/>
    </xf>
    <xf borderId="0" fillId="0" fontId="2" numFmtId="0" xfId="0" applyAlignment="1" applyFont="1">
      <alignment vertical="bottom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49" xfId="0" applyAlignment="1" applyFont="1" applyNumberFormat="1">
      <alignment readingOrder="0"/>
    </xf>
    <xf borderId="0" fillId="0" fontId="3" numFmtId="11" xfId="0" applyAlignment="1" applyFont="1" applyNumberFormat="1">
      <alignment readingOrder="0"/>
    </xf>
    <xf borderId="0" fillId="0" fontId="3" numFmtId="49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4"/>
      <c r="DD1" s="4"/>
    </row>
    <row r="2">
      <c r="A2" s="5" t="s">
        <v>106</v>
      </c>
      <c r="B2" s="5" t="s">
        <v>107</v>
      </c>
      <c r="C2" s="6" t="s">
        <v>108</v>
      </c>
      <c r="D2" s="6" t="s">
        <v>109</v>
      </c>
      <c r="E2" s="6" t="s">
        <v>110</v>
      </c>
      <c r="F2" s="5" t="s">
        <v>111</v>
      </c>
      <c r="G2" s="5" t="s">
        <v>112</v>
      </c>
      <c r="H2" s="5" t="s">
        <v>106</v>
      </c>
      <c r="I2" s="5" t="s">
        <v>113</v>
      </c>
      <c r="J2" s="5" t="s">
        <v>114</v>
      </c>
      <c r="K2" s="5" t="s">
        <v>115</v>
      </c>
      <c r="L2" s="5">
        <v>-19.4719</v>
      </c>
      <c r="M2" s="5">
        <v>-65.7943</v>
      </c>
      <c r="N2" s="5">
        <v>0.728</v>
      </c>
      <c r="O2" s="5">
        <v>1.0</v>
      </c>
      <c r="P2" s="5">
        <v>772.0</v>
      </c>
      <c r="Q2" s="5">
        <v>126.3</v>
      </c>
      <c r="R2" s="5">
        <v>7.56</v>
      </c>
      <c r="S2" s="5">
        <v>-35.4</v>
      </c>
      <c r="T2" s="5">
        <v>729.0</v>
      </c>
      <c r="U2" s="5">
        <v>0.3</v>
      </c>
      <c r="V2" s="5">
        <v>12.15</v>
      </c>
      <c r="W2" s="5">
        <v>6.25</v>
      </c>
      <c r="X2" s="5">
        <v>87.1</v>
      </c>
      <c r="Y2" s="5">
        <v>125.0</v>
      </c>
      <c r="Z2" s="5">
        <v>546.0</v>
      </c>
      <c r="AA2" s="5">
        <v>456.0</v>
      </c>
      <c r="AB2" s="5">
        <v>86.0</v>
      </c>
      <c r="AC2" s="5"/>
      <c r="AD2" s="5">
        <v>156.4</v>
      </c>
      <c r="AE2" s="5">
        <f t="shared" ref="AE2:AE3" si="2">0.5*0.1</f>
        <v>0.05</v>
      </c>
      <c r="AF2" s="5">
        <v>86.9</v>
      </c>
      <c r="AG2" s="5">
        <v>48.2</v>
      </c>
      <c r="AH2" s="5">
        <v>165.0</v>
      </c>
      <c r="AI2" s="5"/>
      <c r="AJ2" s="5"/>
      <c r="AK2" s="5">
        <v>57.9</v>
      </c>
      <c r="AL2" s="5">
        <v>2.9</v>
      </c>
      <c r="AM2" s="5">
        <f t="shared" ref="AM2:AM11" si="4">0.5*50</f>
        <v>25</v>
      </c>
      <c r="AN2" s="5"/>
      <c r="AO2" s="5">
        <v>68.82</v>
      </c>
      <c r="AP2" s="5">
        <v>8.63</v>
      </c>
      <c r="AQ2" s="5"/>
      <c r="AR2" s="5"/>
      <c r="AS2" s="5"/>
      <c r="AT2" s="5"/>
      <c r="AU2" s="5">
        <v>4.87</v>
      </c>
      <c r="AV2" s="5"/>
      <c r="AW2" s="5"/>
      <c r="AX2" s="5">
        <v>32.3</v>
      </c>
      <c r="AY2" s="5">
        <v>75.0</v>
      </c>
      <c r="AZ2" s="5"/>
      <c r="BA2" s="5"/>
      <c r="BB2" s="5"/>
      <c r="BC2" s="5"/>
      <c r="BD2" s="5"/>
      <c r="BE2" s="5"/>
      <c r="BF2" s="5">
        <v>242.0</v>
      </c>
      <c r="BG2" s="5">
        <v>269.0</v>
      </c>
      <c r="BH2" s="5">
        <f t="shared" ref="BH2:BI2" si="1">0.5*1</f>
        <v>0.5</v>
      </c>
      <c r="BI2" s="5">
        <f t="shared" si="1"/>
        <v>0.5</v>
      </c>
      <c r="BJ2" s="5">
        <v>64.62</v>
      </c>
      <c r="BK2" s="5">
        <v>8.77</v>
      </c>
      <c r="BL2" s="5">
        <f t="shared" ref="BL2:BL11" si="6">0.5*10</f>
        <v>5</v>
      </c>
      <c r="BM2" s="5">
        <v>561.0</v>
      </c>
      <c r="BN2" s="5">
        <v>6.0</v>
      </c>
      <c r="BO2" s="5">
        <v>15.0</v>
      </c>
      <c r="BP2" s="5">
        <v>680.0</v>
      </c>
      <c r="BQ2" s="5">
        <v>27.0</v>
      </c>
      <c r="BR2" s="5">
        <v>3.4</v>
      </c>
      <c r="BS2" s="5">
        <f>0.5*1</f>
        <v>0.5</v>
      </c>
      <c r="BT2" s="5">
        <f t="shared" ref="BT2:BT11" si="7">0.5*5</f>
        <v>2.5</v>
      </c>
      <c r="BU2" s="5">
        <f t="shared" ref="BU2:BU11" si="8">0.5*0.5</f>
        <v>0.25</v>
      </c>
      <c r="BV2" s="5">
        <v>213.0</v>
      </c>
      <c r="BW2" s="5">
        <v>69.15</v>
      </c>
      <c r="BX2" s="5">
        <v>10.22</v>
      </c>
      <c r="BY2" s="5">
        <f t="shared" ref="BY2:BY10" si="9">0.5*10</f>
        <v>5</v>
      </c>
      <c r="BZ2" s="5">
        <v>591.0</v>
      </c>
      <c r="CA2" s="5">
        <v>6.0</v>
      </c>
      <c r="CB2" s="5">
        <v>82.0</v>
      </c>
      <c r="CC2" s="5">
        <v>4108.0</v>
      </c>
      <c r="CD2" s="5">
        <v>148.0</v>
      </c>
      <c r="CE2" s="5">
        <v>15.0</v>
      </c>
      <c r="CF2" s="5">
        <v>12.0</v>
      </c>
      <c r="CG2" s="5">
        <f t="shared" ref="CG2:CG11" si="10">0.5*5</f>
        <v>2.5</v>
      </c>
      <c r="CH2" s="5">
        <f t="shared" ref="CH2:CH11" si="11">0.5*0.5</f>
        <v>0.25</v>
      </c>
      <c r="CI2" s="5">
        <v>7800.0</v>
      </c>
      <c r="CJ2" s="5"/>
      <c r="CK2" s="5"/>
      <c r="CL2" s="5">
        <f t="shared" ref="CL2:CL7" si="12">0.5*0.005</f>
        <v>0.0025</v>
      </c>
      <c r="CM2" s="5"/>
      <c r="CN2" s="5"/>
      <c r="CO2" s="5">
        <v>88220.93</v>
      </c>
      <c r="CP2" s="5">
        <v>0.0</v>
      </c>
      <c r="CQ2" s="5">
        <v>1687.21</v>
      </c>
      <c r="CR2" s="5">
        <v>779.07</v>
      </c>
      <c r="CS2" s="5">
        <v>313.95</v>
      </c>
      <c r="CT2" s="5"/>
      <c r="CU2" s="5">
        <v>39860.47</v>
      </c>
      <c r="CV2" s="5">
        <v>348.84</v>
      </c>
      <c r="CW2" s="5">
        <v>52.67</v>
      </c>
      <c r="CX2" s="5"/>
      <c r="CY2" s="5">
        <v>16.86</v>
      </c>
      <c r="CZ2" s="5">
        <v>139.53</v>
      </c>
      <c r="DA2" s="5"/>
      <c r="DB2" s="5">
        <v>134.88</v>
      </c>
    </row>
    <row r="3">
      <c r="A3" s="5" t="s">
        <v>116</v>
      </c>
      <c r="B3" s="5" t="s">
        <v>117</v>
      </c>
      <c r="C3" s="6" t="s">
        <v>108</v>
      </c>
      <c r="D3" s="6" t="s">
        <v>118</v>
      </c>
      <c r="E3" s="6" t="s">
        <v>110</v>
      </c>
      <c r="F3" s="5" t="s">
        <v>111</v>
      </c>
      <c r="G3" s="5" t="s">
        <v>112</v>
      </c>
      <c r="H3" s="5" t="s">
        <v>119</v>
      </c>
      <c r="I3" s="5" t="s">
        <v>113</v>
      </c>
      <c r="J3" s="5" t="s">
        <v>120</v>
      </c>
      <c r="K3" s="5" t="s">
        <v>121</v>
      </c>
      <c r="L3" s="5">
        <v>-19.3215</v>
      </c>
      <c r="M3" s="5">
        <v>-65.552</v>
      </c>
      <c r="N3" s="5">
        <v>0.411</v>
      </c>
      <c r="O3" s="5">
        <v>0.0</v>
      </c>
      <c r="P3" s="5">
        <v>3470.0</v>
      </c>
      <c r="Q3" s="5">
        <v>136.35</v>
      </c>
      <c r="R3" s="5">
        <v>3.25</v>
      </c>
      <c r="S3" s="5">
        <v>192.1</v>
      </c>
      <c r="T3" s="5">
        <v>531.0</v>
      </c>
      <c r="U3" s="5">
        <v>0.2</v>
      </c>
      <c r="V3" s="5">
        <v>10.6</v>
      </c>
      <c r="W3" s="5">
        <v>7.28</v>
      </c>
      <c r="X3" s="5">
        <v>101.0</v>
      </c>
      <c r="Y3" s="5">
        <v>86.7</v>
      </c>
      <c r="Z3" s="5">
        <v>247.0</v>
      </c>
      <c r="AA3" s="5">
        <v>221.0</v>
      </c>
      <c r="AB3" s="5">
        <v>22.0</v>
      </c>
      <c r="AC3" s="5"/>
      <c r="AD3" s="5">
        <v>167.5</v>
      </c>
      <c r="AE3" s="5">
        <f t="shared" si="2"/>
        <v>0.05</v>
      </c>
      <c r="AF3" s="5">
        <f t="shared" ref="AF3:AG3" si="3">0.5*0.1</f>
        <v>0.05</v>
      </c>
      <c r="AG3" s="5">
        <f t="shared" si="3"/>
        <v>0.05</v>
      </c>
      <c r="AH3" s="5">
        <v>171.0</v>
      </c>
      <c r="AI3" s="5"/>
      <c r="AJ3" s="5"/>
      <c r="AK3" s="5">
        <v>24.06</v>
      </c>
      <c r="AL3" s="5">
        <v>27.7</v>
      </c>
      <c r="AM3" s="5">
        <f t="shared" si="4"/>
        <v>25</v>
      </c>
      <c r="AN3" s="5"/>
      <c r="AO3" s="5">
        <v>34.08</v>
      </c>
      <c r="AP3" s="5">
        <v>37.65</v>
      </c>
      <c r="AQ3" s="5"/>
      <c r="AR3" s="5"/>
      <c r="AS3" s="5"/>
      <c r="AT3" s="5"/>
      <c r="AU3" s="5">
        <v>13.72</v>
      </c>
      <c r="AV3" s="5"/>
      <c r="AW3" s="5"/>
      <c r="AX3" s="5">
        <v>3.9</v>
      </c>
      <c r="AY3" s="5">
        <v>16.0</v>
      </c>
      <c r="AZ3" s="5"/>
      <c r="BA3" s="5"/>
      <c r="BB3" s="5"/>
      <c r="BC3" s="5"/>
      <c r="BD3" s="5"/>
      <c r="BE3" s="5"/>
      <c r="BF3" s="5">
        <f>0.5*50</f>
        <v>25</v>
      </c>
      <c r="BG3" s="5">
        <v>105.0</v>
      </c>
      <c r="BH3" s="5">
        <f t="shared" ref="BH3:BI3" si="5">0.5*1</f>
        <v>0.5</v>
      </c>
      <c r="BI3" s="5">
        <f t="shared" si="5"/>
        <v>0.5</v>
      </c>
      <c r="BJ3" s="5">
        <v>0.63</v>
      </c>
      <c r="BK3" s="5">
        <v>0.74</v>
      </c>
      <c r="BL3" s="5">
        <f t="shared" si="6"/>
        <v>5</v>
      </c>
      <c r="BM3" s="5">
        <v>5215.0</v>
      </c>
      <c r="BN3" s="5">
        <v>26.0</v>
      </c>
      <c r="BO3" s="5">
        <v>589.0</v>
      </c>
      <c r="BP3" s="5">
        <v>1865.0</v>
      </c>
      <c r="BQ3" s="5">
        <f>0.5*1</f>
        <v>0.5</v>
      </c>
      <c r="BR3" s="5">
        <v>7.0</v>
      </c>
      <c r="BS3" s="5">
        <v>2.0</v>
      </c>
      <c r="BT3" s="5">
        <f t="shared" si="7"/>
        <v>2.5</v>
      </c>
      <c r="BU3" s="5">
        <f t="shared" si="8"/>
        <v>0.25</v>
      </c>
      <c r="BV3" s="5">
        <v>9036.0</v>
      </c>
      <c r="BW3" s="5">
        <v>3.67</v>
      </c>
      <c r="BX3" s="5">
        <v>1.08</v>
      </c>
      <c r="BY3" s="5">
        <f t="shared" si="9"/>
        <v>5</v>
      </c>
      <c r="BZ3" s="5">
        <v>5641.0</v>
      </c>
      <c r="CA3" s="5">
        <v>26.0</v>
      </c>
      <c r="CB3" s="5">
        <v>607.0</v>
      </c>
      <c r="CC3" s="5">
        <v>2140.0</v>
      </c>
      <c r="CD3" s="5">
        <v>16.0</v>
      </c>
      <c r="CE3" s="5">
        <v>7.5</v>
      </c>
      <c r="CF3" s="5">
        <v>3.0</v>
      </c>
      <c r="CG3" s="5">
        <f t="shared" si="10"/>
        <v>2.5</v>
      </c>
      <c r="CH3" s="5">
        <f t="shared" si="11"/>
        <v>0.25</v>
      </c>
      <c r="CI3" s="5">
        <v>30508.0</v>
      </c>
      <c r="CJ3" s="5"/>
      <c r="CK3" s="5"/>
      <c r="CL3" s="5">
        <f t="shared" si="12"/>
        <v>0.0025</v>
      </c>
      <c r="CM3" s="5"/>
      <c r="CN3" s="5"/>
      <c r="CO3" s="5">
        <v>976000.0</v>
      </c>
      <c r="CP3" s="5">
        <v>0.0</v>
      </c>
      <c r="CQ3" s="5"/>
      <c r="CR3" s="5">
        <v>818.18</v>
      </c>
      <c r="CS3" s="5">
        <v>4772.73</v>
      </c>
      <c r="CT3" s="5"/>
      <c r="CU3" s="5">
        <v>12500.0</v>
      </c>
      <c r="CV3" s="5">
        <v>19363.64</v>
      </c>
      <c r="CW3" s="5">
        <v>138.18</v>
      </c>
      <c r="CX3" s="5"/>
      <c r="CY3" s="5">
        <v>15.45</v>
      </c>
      <c r="CZ3" s="5">
        <v>45.45</v>
      </c>
      <c r="DA3" s="5"/>
      <c r="DB3" s="5">
        <v>22.73</v>
      </c>
    </row>
    <row r="4">
      <c r="A4" s="5" t="s">
        <v>122</v>
      </c>
      <c r="B4" s="5" t="s">
        <v>123</v>
      </c>
      <c r="C4" s="6" t="s">
        <v>124</v>
      </c>
      <c r="D4" s="6" t="s">
        <v>125</v>
      </c>
      <c r="E4" s="6" t="s">
        <v>110</v>
      </c>
      <c r="F4" s="5" t="s">
        <v>111</v>
      </c>
      <c r="G4" s="5" t="s">
        <v>112</v>
      </c>
      <c r="H4" s="5" t="s">
        <v>126</v>
      </c>
      <c r="I4" s="5" t="s">
        <v>127</v>
      </c>
      <c r="J4" s="5" t="s">
        <v>128</v>
      </c>
      <c r="K4" s="5" t="s">
        <v>129</v>
      </c>
      <c r="L4" s="5">
        <v>-19.4077</v>
      </c>
      <c r="M4" s="5">
        <v>-64.8633</v>
      </c>
      <c r="N4" s="5">
        <v>0.512</v>
      </c>
      <c r="O4" s="5">
        <v>11.0</v>
      </c>
      <c r="P4" s="5">
        <v>653.0</v>
      </c>
      <c r="Q4" s="5">
        <v>130.7</v>
      </c>
      <c r="R4" s="5">
        <v>8.7</v>
      </c>
      <c r="S4" s="5">
        <v>-95.4</v>
      </c>
      <c r="T4" s="5">
        <v>1224.5</v>
      </c>
      <c r="U4" s="5">
        <v>0.6</v>
      </c>
      <c r="V4" s="5">
        <v>13.7</v>
      </c>
      <c r="W4" s="5">
        <v>9.05</v>
      </c>
      <c r="X4" s="5">
        <v>111.1</v>
      </c>
      <c r="Y4" s="5">
        <v>68.6</v>
      </c>
      <c r="Z4" s="5">
        <v>816.0</v>
      </c>
      <c r="AA4" s="5">
        <v>730.0</v>
      </c>
      <c r="AB4" s="5">
        <v>83.0</v>
      </c>
      <c r="AC4" s="5"/>
      <c r="AD4" s="5">
        <v>298.9</v>
      </c>
      <c r="AE4" s="5">
        <v>22.2</v>
      </c>
      <c r="AF4" s="5">
        <v>163.17</v>
      </c>
      <c r="AG4" s="5">
        <v>179.4</v>
      </c>
      <c r="AH4" s="5">
        <v>170.0</v>
      </c>
      <c r="AI4" s="5"/>
      <c r="AJ4" s="5"/>
      <c r="AK4" s="5">
        <v>63.15</v>
      </c>
      <c r="AL4" s="5">
        <v>29.46</v>
      </c>
      <c r="AM4" s="5">
        <f t="shared" si="4"/>
        <v>25</v>
      </c>
      <c r="AN4" s="5"/>
      <c r="AO4" s="5">
        <v>66.7</v>
      </c>
      <c r="AP4" s="5">
        <v>32.2</v>
      </c>
      <c r="AQ4" s="5"/>
      <c r="AR4" s="5"/>
      <c r="AS4" s="5"/>
      <c r="AT4" s="5"/>
      <c r="AU4" s="5">
        <v>7.08</v>
      </c>
      <c r="AV4" s="5"/>
      <c r="AW4" s="5"/>
      <c r="AX4" s="5">
        <v>15.6</v>
      </c>
      <c r="AY4" s="5">
        <v>39.0</v>
      </c>
      <c r="AZ4" s="5"/>
      <c r="BA4" s="5"/>
      <c r="BB4" s="5"/>
      <c r="BC4" s="5"/>
      <c r="BD4" s="5"/>
      <c r="BE4" s="5"/>
      <c r="BF4" s="5">
        <v>864.0</v>
      </c>
      <c r="BG4" s="5">
        <v>933.0</v>
      </c>
      <c r="BH4" s="5">
        <f t="shared" ref="BH4:BI4" si="13">0.5*1</f>
        <v>0.5</v>
      </c>
      <c r="BI4" s="5">
        <f t="shared" si="13"/>
        <v>0.5</v>
      </c>
      <c r="BJ4" s="5">
        <v>132.6</v>
      </c>
      <c r="BK4" s="5">
        <v>6.9</v>
      </c>
      <c r="BL4" s="5">
        <f t="shared" si="6"/>
        <v>5</v>
      </c>
      <c r="BM4" s="5">
        <f>0.5*50</f>
        <v>25</v>
      </c>
      <c r="BN4" s="5">
        <f>0.5*1</f>
        <v>0.5</v>
      </c>
      <c r="BO4" s="5">
        <f t="shared" ref="BO4:BO50" si="15">0.5*10</f>
        <v>5</v>
      </c>
      <c r="BP4" s="5">
        <f>0.5*50</f>
        <v>25</v>
      </c>
      <c r="BQ4" s="5">
        <v>9.0</v>
      </c>
      <c r="BR4" s="5">
        <f>0.5*0.5</f>
        <v>0.25</v>
      </c>
      <c r="BS4" s="5">
        <f t="shared" ref="BS4:BS11" si="16">0.5*1</f>
        <v>0.5</v>
      </c>
      <c r="BT4" s="5">
        <f t="shared" si="7"/>
        <v>2.5</v>
      </c>
      <c r="BU4" s="5">
        <f t="shared" si="8"/>
        <v>0.25</v>
      </c>
      <c r="BV4" s="5">
        <f t="shared" ref="BV4:BV11" si="17">0.5*100</f>
        <v>50</v>
      </c>
      <c r="BW4" s="5">
        <v>142.04</v>
      </c>
      <c r="BX4" s="5">
        <v>7.92</v>
      </c>
      <c r="BY4" s="5">
        <f t="shared" si="9"/>
        <v>5</v>
      </c>
      <c r="BZ4" s="5">
        <v>137.0</v>
      </c>
      <c r="CA4" s="5">
        <f>0.5*1</f>
        <v>0.5</v>
      </c>
      <c r="CB4" s="5">
        <f>0.5*10</f>
        <v>5</v>
      </c>
      <c r="CC4" s="5">
        <v>138.0</v>
      </c>
      <c r="CD4" s="5">
        <v>16.0</v>
      </c>
      <c r="CE4" s="5">
        <v>0.8</v>
      </c>
      <c r="CF4" s="5">
        <v>2.0</v>
      </c>
      <c r="CG4" s="5">
        <f t="shared" si="10"/>
        <v>2.5</v>
      </c>
      <c r="CH4" s="5">
        <f t="shared" si="11"/>
        <v>0.25</v>
      </c>
      <c r="CI4" s="5">
        <v>1570.0</v>
      </c>
      <c r="CJ4" s="5"/>
      <c r="CK4" s="5"/>
      <c r="CL4" s="5">
        <f t="shared" si="12"/>
        <v>0.0025</v>
      </c>
      <c r="CM4" s="5"/>
      <c r="CN4" s="5"/>
      <c r="CO4" s="5">
        <v>18915.66</v>
      </c>
      <c r="CP4" s="5"/>
      <c r="CQ4" s="5"/>
      <c r="CR4" s="5"/>
      <c r="CS4" s="5">
        <v>831.33</v>
      </c>
      <c r="CT4" s="5"/>
      <c r="CU4" s="5">
        <v>1662.65</v>
      </c>
      <c r="CV4" s="5">
        <v>1650.6</v>
      </c>
      <c r="CW4" s="5">
        <v>113.73</v>
      </c>
      <c r="CX4" s="5"/>
      <c r="CY4" s="5">
        <v>12.29</v>
      </c>
      <c r="CZ4" s="5">
        <v>24.1</v>
      </c>
      <c r="DA4" s="5"/>
      <c r="DB4" s="5">
        <v>9.64</v>
      </c>
    </row>
    <row r="5">
      <c r="A5" s="5" t="s">
        <v>130</v>
      </c>
      <c r="B5" s="5" t="s">
        <v>131</v>
      </c>
      <c r="C5" s="6" t="s">
        <v>132</v>
      </c>
      <c r="D5" s="6" t="s">
        <v>133</v>
      </c>
      <c r="E5" s="6" t="s">
        <v>110</v>
      </c>
      <c r="F5" s="5" t="s">
        <v>111</v>
      </c>
      <c r="G5" s="5" t="s">
        <v>112</v>
      </c>
      <c r="H5" s="5" t="s">
        <v>126</v>
      </c>
      <c r="I5" s="5" t="s">
        <v>113</v>
      </c>
      <c r="J5" s="5" t="s">
        <v>134</v>
      </c>
      <c r="K5" s="5" t="s">
        <v>135</v>
      </c>
      <c r="L5" s="5">
        <v>-19.1303</v>
      </c>
      <c r="M5" s="5">
        <v>-65.4512</v>
      </c>
      <c r="N5" s="5">
        <v>1.39</v>
      </c>
      <c r="O5" s="5">
        <v>8.0</v>
      </c>
      <c r="P5" s="5">
        <v>1186.0</v>
      </c>
      <c r="Q5" s="5">
        <v>151.7</v>
      </c>
      <c r="R5" s="5">
        <v>8.434</v>
      </c>
      <c r="S5" s="5">
        <v>-81.2</v>
      </c>
      <c r="T5" s="5">
        <v>1132.0</v>
      </c>
      <c r="U5" s="5">
        <v>0.5</v>
      </c>
      <c r="V5" s="5">
        <v>12.8</v>
      </c>
      <c r="W5" s="5">
        <v>8.02</v>
      </c>
      <c r="X5" s="5">
        <v>103.2</v>
      </c>
      <c r="Y5" s="5">
        <v>141.0</v>
      </c>
      <c r="Z5" s="5">
        <v>783.0</v>
      </c>
      <c r="AA5" s="5">
        <v>665.0</v>
      </c>
      <c r="AB5" s="5">
        <v>114.0</v>
      </c>
      <c r="AC5" s="5"/>
      <c r="AD5" s="5">
        <v>219.8</v>
      </c>
      <c r="AE5" s="5">
        <v>8.1</v>
      </c>
      <c r="AF5" s="5">
        <v>129.3</v>
      </c>
      <c r="AG5" s="5">
        <v>180.3</v>
      </c>
      <c r="AH5" s="5">
        <v>125.0</v>
      </c>
      <c r="AI5" s="5"/>
      <c r="AJ5" s="5"/>
      <c r="AK5" s="5">
        <v>57.95</v>
      </c>
      <c r="AL5" s="5">
        <v>16.23</v>
      </c>
      <c r="AM5" s="5">
        <f t="shared" si="4"/>
        <v>25</v>
      </c>
      <c r="AN5" s="5"/>
      <c r="AO5" s="5">
        <v>61.1</v>
      </c>
      <c r="AP5" s="5">
        <v>16.4</v>
      </c>
      <c r="AQ5" s="5"/>
      <c r="AR5" s="5"/>
      <c r="AS5" s="5"/>
      <c r="AT5" s="5"/>
      <c r="AU5" s="5">
        <v>10.18</v>
      </c>
      <c r="AV5" s="5"/>
      <c r="AW5" s="5"/>
      <c r="AX5" s="5">
        <v>14.0</v>
      </c>
      <c r="AY5" s="5">
        <v>37.0</v>
      </c>
      <c r="AZ5" s="5"/>
      <c r="BA5" s="5"/>
      <c r="BB5" s="5"/>
      <c r="BC5" s="5"/>
      <c r="BD5" s="5"/>
      <c r="BE5" s="5"/>
      <c r="BF5" s="5">
        <v>1287.0</v>
      </c>
      <c r="BG5" s="5">
        <v>1329.0</v>
      </c>
      <c r="BH5" s="5">
        <f t="shared" ref="BH5:BI5" si="14">0.5*1</f>
        <v>0.5</v>
      </c>
      <c r="BI5" s="5">
        <f t="shared" si="14"/>
        <v>0.5</v>
      </c>
      <c r="BJ5" s="5">
        <v>138.4</v>
      </c>
      <c r="BK5" s="5">
        <v>7.85</v>
      </c>
      <c r="BL5" s="5">
        <f t="shared" si="6"/>
        <v>5</v>
      </c>
      <c r="BM5" s="5">
        <v>214.0</v>
      </c>
      <c r="BN5" s="5">
        <v>2.0</v>
      </c>
      <c r="BO5" s="5">
        <f t="shared" si="15"/>
        <v>5</v>
      </c>
      <c r="BP5" s="5">
        <v>104.0</v>
      </c>
      <c r="BQ5" s="5">
        <v>12.0</v>
      </c>
      <c r="BR5" s="5">
        <v>0.6</v>
      </c>
      <c r="BS5" s="5">
        <f t="shared" si="16"/>
        <v>0.5</v>
      </c>
      <c r="BT5" s="5">
        <f t="shared" si="7"/>
        <v>2.5</v>
      </c>
      <c r="BU5" s="5">
        <f t="shared" si="8"/>
        <v>0.25</v>
      </c>
      <c r="BV5" s="5">
        <f t="shared" si="17"/>
        <v>50</v>
      </c>
      <c r="BW5" s="5">
        <v>148.24</v>
      </c>
      <c r="BX5" s="5">
        <v>9.18</v>
      </c>
      <c r="BY5" s="5">
        <f t="shared" si="9"/>
        <v>5</v>
      </c>
      <c r="BZ5" s="5">
        <v>323.0</v>
      </c>
      <c r="CA5" s="5">
        <v>2.0</v>
      </c>
      <c r="CB5" s="5">
        <v>21.0</v>
      </c>
      <c r="CC5" s="5">
        <v>670.0</v>
      </c>
      <c r="CD5" s="5">
        <v>35.0</v>
      </c>
      <c r="CE5" s="5">
        <v>3.2</v>
      </c>
      <c r="CF5" s="5">
        <v>6.0</v>
      </c>
      <c r="CG5" s="5">
        <f t="shared" si="10"/>
        <v>2.5</v>
      </c>
      <c r="CH5" s="5">
        <f t="shared" si="11"/>
        <v>0.25</v>
      </c>
      <c r="CI5" s="5">
        <v>3823.0</v>
      </c>
      <c r="CJ5" s="5"/>
      <c r="CK5" s="5"/>
      <c r="CL5" s="5">
        <f t="shared" si="12"/>
        <v>0.0025</v>
      </c>
      <c r="CM5" s="5"/>
      <c r="CN5" s="5"/>
      <c r="CO5" s="5">
        <v>33535.09</v>
      </c>
      <c r="CP5" s="5">
        <v>0.0</v>
      </c>
      <c r="CQ5" s="5">
        <v>164.65</v>
      </c>
      <c r="CR5" s="5">
        <v>184.21</v>
      </c>
      <c r="CS5" s="5">
        <v>368.42</v>
      </c>
      <c r="CT5" s="5"/>
      <c r="CU5" s="5">
        <v>4964.91</v>
      </c>
      <c r="CV5" s="5">
        <v>956.14</v>
      </c>
      <c r="CW5" s="5">
        <v>86.32</v>
      </c>
      <c r="CX5" s="5"/>
      <c r="CY5" s="5">
        <v>11.67</v>
      </c>
      <c r="CZ5" s="5">
        <v>52.63</v>
      </c>
      <c r="DA5" s="5"/>
      <c r="DB5" s="5">
        <v>22.81</v>
      </c>
    </row>
    <row r="6">
      <c r="A6" s="5" t="s">
        <v>136</v>
      </c>
      <c r="B6" s="5" t="s">
        <v>137</v>
      </c>
      <c r="C6" s="6" t="s">
        <v>138</v>
      </c>
      <c r="D6" s="6" t="s">
        <v>139</v>
      </c>
      <c r="E6" s="6" t="s">
        <v>110</v>
      </c>
      <c r="F6" s="5" t="s">
        <v>111</v>
      </c>
      <c r="G6" s="5" t="s">
        <v>112</v>
      </c>
      <c r="H6" s="5" t="s">
        <v>140</v>
      </c>
      <c r="J6" s="5" t="s">
        <v>141</v>
      </c>
      <c r="K6" s="5" t="s">
        <v>142</v>
      </c>
      <c r="L6" s="5">
        <v>-19.1899</v>
      </c>
      <c r="M6" s="5">
        <v>-65.5491</v>
      </c>
      <c r="N6" s="5">
        <v>0.732</v>
      </c>
      <c r="O6" s="5">
        <v>0.0</v>
      </c>
      <c r="P6" s="5">
        <v>1636.0</v>
      </c>
      <c r="Q6" s="5">
        <v>149.7</v>
      </c>
      <c r="R6" s="5">
        <v>8.25</v>
      </c>
      <c r="S6" s="5">
        <v>-71.7</v>
      </c>
      <c r="T6" s="5">
        <v>420.0</v>
      </c>
      <c r="U6" s="5">
        <v>0.1</v>
      </c>
      <c r="V6" s="5">
        <v>15.5</v>
      </c>
      <c r="W6" s="5">
        <v>6.94</v>
      </c>
      <c r="X6" s="5">
        <v>99.6</v>
      </c>
      <c r="Y6" s="5">
        <v>95.2</v>
      </c>
      <c r="Z6" s="5">
        <v>374.0</v>
      </c>
      <c r="AA6" s="5">
        <v>299.0</v>
      </c>
      <c r="AB6" s="5">
        <v>71.0</v>
      </c>
      <c r="AC6" s="5"/>
      <c r="AD6" s="5">
        <v>207.9</v>
      </c>
      <c r="AE6" s="5">
        <v>5.1</v>
      </c>
      <c r="AF6" s="5">
        <v>99.0</v>
      </c>
      <c r="AG6" s="5">
        <f>0.5*0.1</f>
        <v>0.05</v>
      </c>
      <c r="AH6" s="5">
        <v>115.0</v>
      </c>
      <c r="AI6" s="5"/>
      <c r="AJ6" s="5"/>
      <c r="AK6" s="5">
        <v>37.08</v>
      </c>
      <c r="AL6" s="5">
        <v>25.0</v>
      </c>
      <c r="AM6" s="5">
        <f t="shared" si="4"/>
        <v>25</v>
      </c>
      <c r="AN6" s="5"/>
      <c r="AO6" s="5">
        <v>42.1</v>
      </c>
      <c r="AP6" s="5">
        <v>25.87</v>
      </c>
      <c r="AQ6" s="5"/>
      <c r="AR6" s="5"/>
      <c r="AS6" s="5"/>
      <c r="AT6" s="5"/>
      <c r="AU6" s="5">
        <v>3.1</v>
      </c>
      <c r="AV6" s="5"/>
      <c r="AW6" s="5"/>
      <c r="AX6" s="5">
        <v>17.6</v>
      </c>
      <c r="AY6" s="5">
        <v>41.0</v>
      </c>
      <c r="AZ6" s="5"/>
      <c r="BA6" s="5"/>
      <c r="BB6" s="5"/>
      <c r="BC6" s="5"/>
      <c r="BD6" s="5"/>
      <c r="BE6" s="5"/>
      <c r="BF6" s="5">
        <v>83.0</v>
      </c>
      <c r="BG6" s="5">
        <v>144.0</v>
      </c>
      <c r="BH6" s="5">
        <f t="shared" ref="BH6:BI6" si="18">0.5*1</f>
        <v>0.5</v>
      </c>
      <c r="BI6" s="5">
        <f t="shared" si="18"/>
        <v>0.5</v>
      </c>
      <c r="BJ6" s="5">
        <v>5.27</v>
      </c>
      <c r="BK6" s="5">
        <v>2.79</v>
      </c>
      <c r="BL6" s="5">
        <f t="shared" si="6"/>
        <v>5</v>
      </c>
      <c r="BM6" s="5">
        <v>741.0</v>
      </c>
      <c r="BN6" s="5">
        <v>3.0</v>
      </c>
      <c r="BO6" s="5">
        <f t="shared" si="15"/>
        <v>5</v>
      </c>
      <c r="BP6" s="5">
        <f>0.5*50</f>
        <v>25</v>
      </c>
      <c r="BQ6" s="5">
        <f>0.5*1</f>
        <v>0.5</v>
      </c>
      <c r="BR6" s="5">
        <v>1.1</v>
      </c>
      <c r="BS6" s="5">
        <f t="shared" si="16"/>
        <v>0.5</v>
      </c>
      <c r="BT6" s="5">
        <f t="shared" si="7"/>
        <v>2.5</v>
      </c>
      <c r="BU6" s="5">
        <f t="shared" si="8"/>
        <v>0.25</v>
      </c>
      <c r="BV6" s="5">
        <f t="shared" si="17"/>
        <v>50</v>
      </c>
      <c r="BW6" s="5">
        <v>7.62</v>
      </c>
      <c r="BX6" s="5">
        <v>3.01</v>
      </c>
      <c r="BY6" s="5">
        <f t="shared" si="9"/>
        <v>5</v>
      </c>
      <c r="BZ6" s="5">
        <v>822.0</v>
      </c>
      <c r="CA6" s="5">
        <v>4.0</v>
      </c>
      <c r="CB6" s="5">
        <v>95.0</v>
      </c>
      <c r="CC6" s="5">
        <v>345.0</v>
      </c>
      <c r="CD6" s="5">
        <v>6.0</v>
      </c>
      <c r="CE6" s="5">
        <v>6.1</v>
      </c>
      <c r="CF6" s="5">
        <v>7.0</v>
      </c>
      <c r="CG6" s="5">
        <f t="shared" si="10"/>
        <v>2.5</v>
      </c>
      <c r="CH6" s="5">
        <f t="shared" si="11"/>
        <v>0.25</v>
      </c>
      <c r="CI6" s="5">
        <v>7536.0</v>
      </c>
      <c r="CJ6" s="5"/>
      <c r="CK6" s="5"/>
      <c r="CL6" s="5">
        <f t="shared" si="12"/>
        <v>0.0025</v>
      </c>
      <c r="CM6" s="5"/>
      <c r="CN6" s="5"/>
      <c r="CO6" s="5">
        <v>106140.85</v>
      </c>
      <c r="CP6" s="5">
        <v>14.08</v>
      </c>
      <c r="CQ6" s="5"/>
      <c r="CR6" s="5">
        <v>1338.03</v>
      </c>
      <c r="CS6" s="5">
        <v>859.15</v>
      </c>
      <c r="CT6" s="5"/>
      <c r="CU6" s="5">
        <v>4859.15</v>
      </c>
      <c r="CV6" s="5">
        <v>1140.85</v>
      </c>
      <c r="CW6" s="5">
        <v>33.1</v>
      </c>
      <c r="CX6" s="5"/>
      <c r="CY6" s="5">
        <v>3.1</v>
      </c>
      <c r="CZ6" s="5">
        <v>98.59</v>
      </c>
      <c r="DA6" s="5"/>
      <c r="DB6" s="5">
        <v>70.42</v>
      </c>
    </row>
    <row r="7">
      <c r="A7" s="5" t="s">
        <v>143</v>
      </c>
      <c r="B7" s="5" t="s">
        <v>144</v>
      </c>
      <c r="C7" s="6" t="s">
        <v>138</v>
      </c>
      <c r="D7" s="6" t="s">
        <v>145</v>
      </c>
      <c r="E7" s="6" t="s">
        <v>110</v>
      </c>
      <c r="F7" s="5" t="s">
        <v>111</v>
      </c>
      <c r="G7" s="5" t="s">
        <v>112</v>
      </c>
      <c r="H7" s="5" t="s">
        <v>126</v>
      </c>
      <c r="J7" s="5" t="s">
        <v>146</v>
      </c>
      <c r="K7" s="5" t="s">
        <v>147</v>
      </c>
      <c r="L7" s="5">
        <v>-19.1322</v>
      </c>
      <c r="M7" s="5">
        <v>-65.5723</v>
      </c>
      <c r="N7" s="5">
        <v>1.041</v>
      </c>
      <c r="O7" s="5">
        <v>6.0</v>
      </c>
      <c r="P7" s="5">
        <v>845.0</v>
      </c>
      <c r="Q7" s="5">
        <v>176.2</v>
      </c>
      <c r="R7" s="5">
        <v>8.45</v>
      </c>
      <c r="S7" s="5">
        <v>-81.7</v>
      </c>
      <c r="T7" s="5">
        <v>898.0</v>
      </c>
      <c r="U7" s="5">
        <v>0.4</v>
      </c>
      <c r="V7" s="5">
        <v>11.3</v>
      </c>
      <c r="W7" s="5">
        <v>7.82</v>
      </c>
      <c r="X7" s="5">
        <v>99.8</v>
      </c>
      <c r="Y7" s="5">
        <v>241.0</v>
      </c>
      <c r="Z7" s="5">
        <v>726.0</v>
      </c>
      <c r="AA7" s="5">
        <v>593.0</v>
      </c>
      <c r="AB7" s="5">
        <v>131.0</v>
      </c>
      <c r="AC7" s="5"/>
      <c r="AD7" s="5">
        <v>188.1</v>
      </c>
      <c r="AE7" s="5">
        <v>6.1</v>
      </c>
      <c r="AF7" s="5">
        <v>128.3</v>
      </c>
      <c r="AG7" s="5">
        <v>129.2</v>
      </c>
      <c r="AH7" s="5">
        <v>138.0</v>
      </c>
      <c r="AI7" s="5"/>
      <c r="AJ7" s="5"/>
      <c r="AK7" s="5">
        <v>46.0</v>
      </c>
      <c r="AL7" s="5">
        <v>17.8</v>
      </c>
      <c r="AM7" s="5">
        <f t="shared" si="4"/>
        <v>25</v>
      </c>
      <c r="AN7" s="5"/>
      <c r="AO7" s="5">
        <v>46.96</v>
      </c>
      <c r="AP7" s="5">
        <v>20.34</v>
      </c>
      <c r="AQ7" s="5"/>
      <c r="AR7" s="5"/>
      <c r="AS7" s="5"/>
      <c r="AT7" s="5"/>
      <c r="AU7" s="5">
        <v>11.51</v>
      </c>
      <c r="AV7" s="5"/>
      <c r="AW7" s="5"/>
      <c r="AX7" s="5">
        <v>2.8</v>
      </c>
      <c r="AY7" s="5">
        <v>13.0</v>
      </c>
      <c r="AZ7" s="5"/>
      <c r="BA7" s="5"/>
      <c r="BB7" s="5"/>
      <c r="BC7" s="5"/>
      <c r="BD7" s="5"/>
      <c r="BE7" s="5"/>
      <c r="BF7" s="5">
        <v>1707.0</v>
      </c>
      <c r="BG7" s="5">
        <v>1742.0</v>
      </c>
      <c r="BH7" s="5">
        <f t="shared" ref="BH7:BI7" si="19">0.5*1</f>
        <v>0.5</v>
      </c>
      <c r="BI7" s="5">
        <f t="shared" si="19"/>
        <v>0.5</v>
      </c>
      <c r="BJ7" s="5">
        <v>109.1</v>
      </c>
      <c r="BK7" s="5">
        <v>8.33</v>
      </c>
      <c r="BL7" s="5">
        <f t="shared" si="6"/>
        <v>5</v>
      </c>
      <c r="BM7" s="5">
        <v>249.0</v>
      </c>
      <c r="BN7" s="5">
        <v>2.0</v>
      </c>
      <c r="BO7" s="5">
        <f t="shared" si="15"/>
        <v>5</v>
      </c>
      <c r="BP7" s="5">
        <v>131.0</v>
      </c>
      <c r="BQ7" s="5">
        <v>15.0</v>
      </c>
      <c r="BR7" s="5">
        <v>0.6</v>
      </c>
      <c r="BS7" s="5">
        <f t="shared" si="16"/>
        <v>0.5</v>
      </c>
      <c r="BT7" s="5">
        <f t="shared" si="7"/>
        <v>2.5</v>
      </c>
      <c r="BU7" s="5">
        <f t="shared" si="8"/>
        <v>0.25</v>
      </c>
      <c r="BV7" s="5">
        <f t="shared" si="17"/>
        <v>50</v>
      </c>
      <c r="BW7" s="5">
        <v>118.03</v>
      </c>
      <c r="BX7" s="5">
        <v>9.05</v>
      </c>
      <c r="BY7" s="5">
        <f t="shared" si="9"/>
        <v>5</v>
      </c>
      <c r="BZ7" s="5">
        <v>365.0</v>
      </c>
      <c r="CA7" s="5">
        <v>6.0</v>
      </c>
      <c r="CB7" s="5">
        <v>18.0</v>
      </c>
      <c r="CC7" s="5">
        <v>543.0</v>
      </c>
      <c r="CD7" s="5">
        <v>39.0</v>
      </c>
      <c r="CE7" s="5">
        <v>2.5</v>
      </c>
      <c r="CF7" s="5">
        <v>7.0</v>
      </c>
      <c r="CG7" s="5">
        <f t="shared" si="10"/>
        <v>2.5</v>
      </c>
      <c r="CH7" s="5">
        <f t="shared" si="11"/>
        <v>0.25</v>
      </c>
      <c r="CI7" s="5">
        <v>8327.0</v>
      </c>
      <c r="CJ7" s="5"/>
      <c r="CK7" s="5"/>
      <c r="CL7" s="5">
        <f t="shared" si="12"/>
        <v>0.0025</v>
      </c>
      <c r="CM7" s="5"/>
      <c r="CN7" s="5"/>
      <c r="CO7" s="5">
        <v>63564.89</v>
      </c>
      <c r="CP7" s="5">
        <v>30.53</v>
      </c>
      <c r="CQ7" s="5">
        <v>161.83</v>
      </c>
      <c r="CR7" s="5">
        <v>137.4</v>
      </c>
      <c r="CS7" s="5">
        <v>267.18</v>
      </c>
      <c r="CT7" s="5"/>
      <c r="CU7" s="5">
        <v>3145.04</v>
      </c>
      <c r="CV7" s="5">
        <v>885.5</v>
      </c>
      <c r="CW7" s="5">
        <v>68.17</v>
      </c>
      <c r="CX7" s="5"/>
      <c r="CY7" s="5">
        <v>5.5</v>
      </c>
      <c r="CZ7" s="5">
        <v>53.44</v>
      </c>
      <c r="DA7" s="5"/>
      <c r="DB7" s="5">
        <v>14.5</v>
      </c>
    </row>
    <row r="8">
      <c r="A8" s="5" t="s">
        <v>148</v>
      </c>
      <c r="B8" s="5" t="s">
        <v>149</v>
      </c>
      <c r="C8" s="6" t="s">
        <v>150</v>
      </c>
      <c r="D8" s="6" t="s">
        <v>151</v>
      </c>
      <c r="E8" s="6" t="s">
        <v>110</v>
      </c>
      <c r="F8" s="5" t="s">
        <v>111</v>
      </c>
      <c r="G8" s="5" t="s">
        <v>112</v>
      </c>
      <c r="H8" s="5" t="s">
        <v>152</v>
      </c>
      <c r="I8" s="5" t="s">
        <v>153</v>
      </c>
      <c r="J8" s="5" t="s">
        <v>154</v>
      </c>
      <c r="K8" s="5" t="s">
        <v>155</v>
      </c>
      <c r="L8" s="5">
        <v>-20.7424</v>
      </c>
      <c r="M8" s="5">
        <v>-65.2404</v>
      </c>
      <c r="N8" s="5">
        <v>1.245</v>
      </c>
      <c r="O8" s="5">
        <v>7.0</v>
      </c>
      <c r="P8" s="5">
        <v>674.0</v>
      </c>
      <c r="Q8" s="5">
        <v>186.4</v>
      </c>
      <c r="R8" s="5">
        <v>8.763</v>
      </c>
      <c r="S8" s="5">
        <v>-98.45</v>
      </c>
      <c r="T8" s="5">
        <v>1182.0</v>
      </c>
      <c r="U8" s="5">
        <v>0.5</v>
      </c>
      <c r="V8" s="5">
        <v>12.7</v>
      </c>
      <c r="W8" s="5">
        <v>8.25</v>
      </c>
      <c r="X8" s="5">
        <v>103.5</v>
      </c>
      <c r="Y8" s="5">
        <v>158.0</v>
      </c>
      <c r="Z8" s="5">
        <v>819.0</v>
      </c>
      <c r="AA8" s="5">
        <v>652.0</v>
      </c>
      <c r="AB8" s="5">
        <v>163.0</v>
      </c>
      <c r="AC8" s="5"/>
      <c r="AD8" s="5">
        <v>274.2</v>
      </c>
      <c r="AE8" s="5">
        <v>6.8</v>
      </c>
      <c r="AF8" s="5">
        <v>113.5</v>
      </c>
      <c r="AG8" s="5">
        <v>34.7</v>
      </c>
      <c r="AH8" s="5">
        <v>320.0</v>
      </c>
      <c r="AI8" s="5"/>
      <c r="AJ8" s="5"/>
      <c r="AK8" s="5">
        <v>50.8</v>
      </c>
      <c r="AL8" s="5">
        <v>35.8</v>
      </c>
      <c r="AM8" s="5">
        <f t="shared" si="4"/>
        <v>25</v>
      </c>
      <c r="AN8" s="5"/>
      <c r="AO8" s="5">
        <v>62.46</v>
      </c>
      <c r="AP8" s="5">
        <v>90.29</v>
      </c>
      <c r="AQ8" s="5"/>
      <c r="AR8" s="5"/>
      <c r="AS8" s="5"/>
      <c r="AT8" s="5"/>
      <c r="AU8" s="5">
        <v>3.54</v>
      </c>
      <c r="AV8" s="5"/>
      <c r="AW8" s="5"/>
      <c r="AX8" s="5">
        <f t="shared" ref="AX8:AX9" si="21">0.5*2</f>
        <v>1</v>
      </c>
      <c r="AY8" s="5">
        <v>2.0</v>
      </c>
      <c r="AZ8" s="5"/>
      <c r="BA8" s="5"/>
      <c r="BB8" s="5"/>
      <c r="BC8" s="5"/>
      <c r="BD8" s="5"/>
      <c r="BE8" s="5"/>
      <c r="BF8" s="5">
        <v>1451.0</v>
      </c>
      <c r="BG8" s="5">
        <v>1550.0</v>
      </c>
      <c r="BH8" s="5">
        <f t="shared" ref="BH8:BI8" si="20">0.5*1</f>
        <v>0.5</v>
      </c>
      <c r="BI8" s="5">
        <f t="shared" si="20"/>
        <v>0.5</v>
      </c>
      <c r="BJ8" s="5">
        <v>84.45</v>
      </c>
      <c r="BK8" s="5">
        <v>4.73</v>
      </c>
      <c r="BL8" s="5">
        <f t="shared" si="6"/>
        <v>5</v>
      </c>
      <c r="BM8" s="5">
        <f t="shared" ref="BM8:BM22" si="23">0.5*50</f>
        <v>25</v>
      </c>
      <c r="BN8" s="5">
        <v>7.0</v>
      </c>
      <c r="BO8" s="5">
        <f t="shared" si="15"/>
        <v>5</v>
      </c>
      <c r="BP8" s="5">
        <f t="shared" ref="BP8:BP11" si="24">0.5*50</f>
        <v>25</v>
      </c>
      <c r="BQ8" s="5">
        <v>3.0</v>
      </c>
      <c r="BR8" s="5">
        <f t="shared" ref="BR8:BR11" si="25">0.5*0.5</f>
        <v>0.25</v>
      </c>
      <c r="BS8" s="5">
        <f t="shared" si="16"/>
        <v>0.5</v>
      </c>
      <c r="BT8" s="5">
        <f t="shared" si="7"/>
        <v>2.5</v>
      </c>
      <c r="BU8" s="5">
        <f t="shared" si="8"/>
        <v>0.25</v>
      </c>
      <c r="BV8" s="5">
        <f t="shared" si="17"/>
        <v>50</v>
      </c>
      <c r="BW8" s="5">
        <v>92.64</v>
      </c>
      <c r="BX8" s="5">
        <v>5.09</v>
      </c>
      <c r="BY8" s="5">
        <f t="shared" si="9"/>
        <v>5</v>
      </c>
      <c r="BZ8" s="5">
        <v>166.0</v>
      </c>
      <c r="CA8" s="5">
        <v>11.0</v>
      </c>
      <c r="CB8" s="5">
        <f t="shared" ref="CB8:CB10" si="26">0.5*10</f>
        <v>5</v>
      </c>
      <c r="CC8" s="5">
        <v>64.0</v>
      </c>
      <c r="CD8" s="5">
        <v>10.0</v>
      </c>
      <c r="CE8" s="5">
        <f t="shared" ref="CE8:CE11" si="27">0.5*0.5</f>
        <v>0.25</v>
      </c>
      <c r="CF8" s="5">
        <v>4.0</v>
      </c>
      <c r="CG8" s="5">
        <f t="shared" si="10"/>
        <v>2.5</v>
      </c>
      <c r="CH8" s="5">
        <f t="shared" si="11"/>
        <v>0.25</v>
      </c>
      <c r="CI8" s="5">
        <v>4271.0</v>
      </c>
      <c r="CJ8" s="5"/>
      <c r="CK8" s="5"/>
      <c r="CL8" s="5">
        <v>0.016</v>
      </c>
      <c r="CM8" s="5"/>
      <c r="CN8" s="5"/>
      <c r="CO8" s="5">
        <v>26202.45</v>
      </c>
      <c r="CP8" s="5">
        <v>24.54</v>
      </c>
      <c r="CQ8" s="5"/>
      <c r="CR8" s="5"/>
      <c r="CS8" s="5">
        <v>607.36</v>
      </c>
      <c r="CT8" s="5"/>
      <c r="CU8" s="5">
        <v>392.64</v>
      </c>
      <c r="CV8" s="5">
        <v>1018.4</v>
      </c>
      <c r="CW8" s="5">
        <v>50.25</v>
      </c>
      <c r="CX8" s="5"/>
      <c r="CY8" s="5">
        <v>2.21</v>
      </c>
      <c r="CZ8" s="5">
        <v>24.54</v>
      </c>
      <c r="DA8" s="5"/>
      <c r="DB8" s="5"/>
    </row>
    <row r="9">
      <c r="A9" s="5" t="s">
        <v>156</v>
      </c>
      <c r="B9" s="5" t="s">
        <v>157</v>
      </c>
      <c r="C9" s="6" t="s">
        <v>150</v>
      </c>
      <c r="D9" s="6" t="s">
        <v>158</v>
      </c>
      <c r="E9" s="6" t="s">
        <v>110</v>
      </c>
      <c r="F9" s="5" t="s">
        <v>111</v>
      </c>
      <c r="G9" s="5" t="s">
        <v>112</v>
      </c>
      <c r="H9" s="5" t="s">
        <v>159</v>
      </c>
      <c r="I9" s="5" t="s">
        <v>160</v>
      </c>
      <c r="J9" s="5" t="s">
        <v>161</v>
      </c>
      <c r="K9" s="5" t="s">
        <v>162</v>
      </c>
      <c r="L9" s="5">
        <v>-21.2394</v>
      </c>
      <c r="M9" s="5">
        <v>-65.2092</v>
      </c>
      <c r="N9" s="5">
        <v>0.693</v>
      </c>
      <c r="O9" s="5">
        <v>5.0</v>
      </c>
      <c r="P9" s="5">
        <v>402.0</v>
      </c>
      <c r="Q9" s="5">
        <v>263.5</v>
      </c>
      <c r="R9" s="5">
        <v>8.73</v>
      </c>
      <c r="S9" s="5">
        <v>-97.05</v>
      </c>
      <c r="T9" s="5">
        <v>1262.0</v>
      </c>
      <c r="U9" s="5">
        <v>0.6</v>
      </c>
      <c r="V9" s="5">
        <v>12.6</v>
      </c>
      <c r="W9" s="5">
        <v>9.0</v>
      </c>
      <c r="X9" s="5">
        <v>112.2</v>
      </c>
      <c r="Y9" s="5">
        <v>73.1</v>
      </c>
      <c r="Z9" s="5">
        <v>781.0</v>
      </c>
      <c r="AA9" s="5">
        <v>627.0</v>
      </c>
      <c r="AB9" s="5">
        <v>147.0</v>
      </c>
      <c r="AC9" s="5"/>
      <c r="AD9" s="5">
        <v>272.3</v>
      </c>
      <c r="AE9" s="5">
        <v>1.8</v>
      </c>
      <c r="AF9" s="5">
        <v>117.0</v>
      </c>
      <c r="AG9" s="5">
        <v>54.0</v>
      </c>
      <c r="AH9" s="5">
        <v>264.0</v>
      </c>
      <c r="AI9" s="5"/>
      <c r="AJ9" s="5"/>
      <c r="AK9" s="5">
        <v>60.7</v>
      </c>
      <c r="AL9" s="5">
        <v>29.3</v>
      </c>
      <c r="AM9" s="5">
        <f t="shared" si="4"/>
        <v>25</v>
      </c>
      <c r="AN9" s="5"/>
      <c r="AO9" s="5">
        <v>64.82</v>
      </c>
      <c r="AP9" s="5">
        <v>59.47</v>
      </c>
      <c r="AQ9" s="5"/>
      <c r="AR9" s="5"/>
      <c r="AS9" s="5"/>
      <c r="AT9" s="5"/>
      <c r="AU9" s="5">
        <v>4.87</v>
      </c>
      <c r="AV9" s="5"/>
      <c r="AW9" s="5"/>
      <c r="AX9" s="5">
        <f t="shared" si="21"/>
        <v>1</v>
      </c>
      <c r="AY9" s="5">
        <f>0.5*2</f>
        <v>1</v>
      </c>
      <c r="AZ9" s="5"/>
      <c r="BA9" s="5"/>
      <c r="BB9" s="5"/>
      <c r="BC9" s="5"/>
      <c r="BD9" s="5"/>
      <c r="BE9" s="5"/>
      <c r="BF9" s="5">
        <v>3051.0</v>
      </c>
      <c r="BG9" s="5">
        <v>3148.0</v>
      </c>
      <c r="BH9" s="5">
        <f t="shared" ref="BH9:BI9" si="22">0.5*1</f>
        <v>0.5</v>
      </c>
      <c r="BI9" s="5">
        <f t="shared" si="22"/>
        <v>0.5</v>
      </c>
      <c r="BJ9" s="5">
        <v>77.51</v>
      </c>
      <c r="BK9" s="5">
        <v>5.92</v>
      </c>
      <c r="BL9" s="5">
        <f t="shared" si="6"/>
        <v>5</v>
      </c>
      <c r="BM9" s="5">
        <f t="shared" si="23"/>
        <v>25</v>
      </c>
      <c r="BN9" s="5">
        <f t="shared" ref="BN9:BN11" si="29">0.5*1</f>
        <v>0.5</v>
      </c>
      <c r="BO9" s="5">
        <f t="shared" si="15"/>
        <v>5</v>
      </c>
      <c r="BP9" s="5">
        <f t="shared" si="24"/>
        <v>25</v>
      </c>
      <c r="BQ9" s="5">
        <v>4.0</v>
      </c>
      <c r="BR9" s="5">
        <f t="shared" si="25"/>
        <v>0.25</v>
      </c>
      <c r="BS9" s="5">
        <f t="shared" si="16"/>
        <v>0.5</v>
      </c>
      <c r="BT9" s="5">
        <f t="shared" si="7"/>
        <v>2.5</v>
      </c>
      <c r="BU9" s="5">
        <f t="shared" si="8"/>
        <v>0.25</v>
      </c>
      <c r="BV9" s="5">
        <f t="shared" si="17"/>
        <v>50</v>
      </c>
      <c r="BW9" s="5">
        <v>95.45</v>
      </c>
      <c r="BX9" s="5">
        <v>6.13</v>
      </c>
      <c r="BY9" s="5">
        <f t="shared" si="9"/>
        <v>5</v>
      </c>
      <c r="BZ9" s="5">
        <v>63.0</v>
      </c>
      <c r="CA9" s="5">
        <v>2.0</v>
      </c>
      <c r="CB9" s="5">
        <f t="shared" si="26"/>
        <v>5</v>
      </c>
      <c r="CC9" s="5">
        <f t="shared" ref="CC9:CC10" si="30">0.5*50</f>
        <v>25</v>
      </c>
      <c r="CD9" s="5">
        <v>6.0</v>
      </c>
      <c r="CE9" s="5">
        <f t="shared" si="27"/>
        <v>0.25</v>
      </c>
      <c r="CF9" s="5">
        <v>3.0</v>
      </c>
      <c r="CG9" s="5">
        <f t="shared" si="10"/>
        <v>2.5</v>
      </c>
      <c r="CH9" s="5">
        <f t="shared" si="11"/>
        <v>0.25</v>
      </c>
      <c r="CI9" s="5">
        <v>2380.0</v>
      </c>
      <c r="CJ9" s="5"/>
      <c r="CK9" s="5"/>
      <c r="CL9" s="5">
        <f>0.5*0.005</f>
        <v>0.0025</v>
      </c>
      <c r="CM9" s="5"/>
      <c r="CN9" s="5"/>
      <c r="CO9" s="5">
        <v>16190.48</v>
      </c>
      <c r="CP9" s="5">
        <v>13.61</v>
      </c>
      <c r="CQ9" s="5"/>
      <c r="CR9" s="5"/>
      <c r="CS9" s="5">
        <v>659.86</v>
      </c>
      <c r="CT9" s="5"/>
      <c r="CU9" s="5"/>
      <c r="CV9" s="5">
        <v>428.57</v>
      </c>
      <c r="CW9" s="5">
        <v>122.04</v>
      </c>
      <c r="CX9" s="5"/>
      <c r="CY9" s="5">
        <v>1.43</v>
      </c>
      <c r="CZ9" s="5">
        <v>20.41</v>
      </c>
      <c r="DA9" s="5"/>
      <c r="DB9" s="5"/>
    </row>
    <row r="10">
      <c r="A10" s="5" t="s">
        <v>163</v>
      </c>
      <c r="B10" s="5" t="s">
        <v>164</v>
      </c>
      <c r="C10" s="6" t="s">
        <v>165</v>
      </c>
      <c r="D10" s="6" t="s">
        <v>166</v>
      </c>
      <c r="E10" s="6" t="s">
        <v>110</v>
      </c>
      <c r="F10" s="5" t="s">
        <v>111</v>
      </c>
      <c r="G10" s="5" t="s">
        <v>112</v>
      </c>
      <c r="H10" s="5" t="s">
        <v>126</v>
      </c>
      <c r="I10" s="5" t="s">
        <v>167</v>
      </c>
      <c r="J10" s="5" t="s">
        <v>168</v>
      </c>
      <c r="K10" s="5" t="s">
        <v>169</v>
      </c>
      <c r="L10" s="5">
        <v>-21.2588</v>
      </c>
      <c r="M10" s="5">
        <v>-63.5115</v>
      </c>
      <c r="N10" s="5">
        <v>0.271</v>
      </c>
      <c r="O10" s="5">
        <v>58.0</v>
      </c>
      <c r="P10" s="5">
        <v>470.0</v>
      </c>
      <c r="Q10" s="5">
        <v>214.0</v>
      </c>
      <c r="R10" s="5">
        <v>8.5</v>
      </c>
      <c r="S10" s="5">
        <v>-87.2</v>
      </c>
      <c r="T10" s="5">
        <v>1152.0</v>
      </c>
      <c r="U10" s="5">
        <v>0.5</v>
      </c>
      <c r="V10" s="5">
        <v>21.5</v>
      </c>
      <c r="W10" s="5">
        <v>8.77</v>
      </c>
      <c r="X10" s="5">
        <v>104.0</v>
      </c>
      <c r="Y10" s="5">
        <v>46.4</v>
      </c>
      <c r="Z10" s="5">
        <v>950.0</v>
      </c>
      <c r="AA10" s="5">
        <v>790.0</v>
      </c>
      <c r="AB10" s="5">
        <v>127.5</v>
      </c>
      <c r="AC10" s="5"/>
      <c r="AD10" s="5">
        <v>324.3</v>
      </c>
      <c r="AE10" s="5">
        <v>71.2</v>
      </c>
      <c r="AF10" s="5">
        <v>116.8</v>
      </c>
      <c r="AG10" s="5">
        <v>153.1</v>
      </c>
      <c r="AH10" s="5">
        <v>248.4</v>
      </c>
      <c r="AI10" s="5"/>
      <c r="AJ10" s="5"/>
      <c r="AK10" s="5">
        <v>80.1</v>
      </c>
      <c r="AL10" s="5">
        <v>38.5</v>
      </c>
      <c r="AM10" s="5">
        <f t="shared" si="4"/>
        <v>25</v>
      </c>
      <c r="AN10" s="5"/>
      <c r="AO10" s="5">
        <v>91.2</v>
      </c>
      <c r="AP10" s="5">
        <v>40.8</v>
      </c>
      <c r="AQ10" s="5"/>
      <c r="AR10" s="5"/>
      <c r="AS10" s="5"/>
      <c r="AT10" s="5"/>
      <c r="AU10" s="5">
        <v>2.0</v>
      </c>
      <c r="AV10" s="5"/>
      <c r="AW10" s="5"/>
      <c r="AX10" s="5">
        <v>3.0</v>
      </c>
      <c r="AY10" s="5">
        <v>5.0</v>
      </c>
      <c r="AZ10" s="5"/>
      <c r="BA10" s="5"/>
      <c r="BB10" s="5"/>
      <c r="BC10" s="5"/>
      <c r="BD10" s="5"/>
      <c r="BE10" s="5"/>
      <c r="BF10" s="5">
        <v>735.0</v>
      </c>
      <c r="BG10" s="5">
        <v>822.0</v>
      </c>
      <c r="BH10" s="5">
        <f t="shared" ref="BH10:BI10" si="28">0.5*1</f>
        <v>0.5</v>
      </c>
      <c r="BI10" s="5">
        <f t="shared" si="28"/>
        <v>0.5</v>
      </c>
      <c r="BJ10" s="5">
        <v>131.0</v>
      </c>
      <c r="BK10" s="5">
        <v>6.7</v>
      </c>
      <c r="BL10" s="5">
        <f t="shared" si="6"/>
        <v>5</v>
      </c>
      <c r="BM10" s="5">
        <f t="shared" si="23"/>
        <v>25</v>
      </c>
      <c r="BN10" s="5">
        <f t="shared" si="29"/>
        <v>0.5</v>
      </c>
      <c r="BO10" s="5">
        <f t="shared" si="15"/>
        <v>5</v>
      </c>
      <c r="BP10" s="5">
        <f t="shared" si="24"/>
        <v>25</v>
      </c>
      <c r="BQ10" s="5">
        <v>3.0</v>
      </c>
      <c r="BR10" s="5">
        <f t="shared" si="25"/>
        <v>0.25</v>
      </c>
      <c r="BS10" s="5">
        <f t="shared" si="16"/>
        <v>0.5</v>
      </c>
      <c r="BT10" s="5">
        <f t="shared" si="7"/>
        <v>2.5</v>
      </c>
      <c r="BU10" s="5">
        <f t="shared" si="8"/>
        <v>0.25</v>
      </c>
      <c r="BV10" s="5">
        <f t="shared" si="17"/>
        <v>50</v>
      </c>
      <c r="BW10" s="5">
        <v>135.0</v>
      </c>
      <c r="BX10" s="5">
        <v>21.6</v>
      </c>
      <c r="BY10" s="5">
        <f t="shared" si="9"/>
        <v>5</v>
      </c>
      <c r="BZ10" s="5">
        <v>70.0</v>
      </c>
      <c r="CA10" s="5">
        <f>0.5*1</f>
        <v>0.5</v>
      </c>
      <c r="CB10" s="5">
        <f t="shared" si="26"/>
        <v>5</v>
      </c>
      <c r="CC10" s="5">
        <f t="shared" si="30"/>
        <v>25</v>
      </c>
      <c r="CD10" s="5">
        <v>5.0</v>
      </c>
      <c r="CE10" s="5">
        <f t="shared" si="27"/>
        <v>0.25</v>
      </c>
      <c r="CF10" s="5">
        <v>2.0</v>
      </c>
      <c r="CG10" s="5">
        <f t="shared" si="10"/>
        <v>2.5</v>
      </c>
      <c r="CH10" s="5">
        <f t="shared" si="11"/>
        <v>0.25</v>
      </c>
      <c r="CI10" s="5">
        <v>1100.0</v>
      </c>
      <c r="CJ10" s="5"/>
      <c r="CK10" s="5"/>
      <c r="CL10" s="5">
        <f t="shared" ref="CL10:CL11" si="32">0.5*1</f>
        <v>0.5</v>
      </c>
      <c r="CM10" s="5"/>
      <c r="CN10" s="5"/>
      <c r="CO10" s="5">
        <v>8627.45</v>
      </c>
      <c r="CP10" s="5"/>
      <c r="CQ10" s="5"/>
      <c r="CR10" s="5"/>
      <c r="CS10" s="5">
        <v>682.35</v>
      </c>
      <c r="CT10" s="5"/>
      <c r="CU10" s="5"/>
      <c r="CV10" s="5">
        <v>549.02</v>
      </c>
      <c r="CW10" s="5">
        <v>31.37</v>
      </c>
      <c r="CX10" s="5"/>
      <c r="CY10" s="5">
        <v>116.86</v>
      </c>
      <c r="CZ10" s="5">
        <v>15.69</v>
      </c>
      <c r="DA10" s="5"/>
      <c r="DB10" s="5"/>
    </row>
    <row r="11">
      <c r="A11" s="5" t="s">
        <v>170</v>
      </c>
      <c r="B11" s="5" t="s">
        <v>171</v>
      </c>
      <c r="C11" s="6" t="s">
        <v>165</v>
      </c>
      <c r="D11" s="6" t="s">
        <v>172</v>
      </c>
      <c r="E11" s="6" t="s">
        <v>110</v>
      </c>
      <c r="F11" s="5" t="s">
        <v>111</v>
      </c>
      <c r="G11" s="5" t="s">
        <v>112</v>
      </c>
      <c r="H11" s="5" t="s">
        <v>126</v>
      </c>
      <c r="I11" s="5" t="s">
        <v>173</v>
      </c>
      <c r="J11" s="5" t="s">
        <v>174</v>
      </c>
      <c r="K11" s="5" t="s">
        <v>175</v>
      </c>
      <c r="L11" s="5">
        <v>-22.3781</v>
      </c>
      <c r="M11" s="5">
        <v>-62.5186</v>
      </c>
      <c r="N11" s="5"/>
      <c r="O11" s="5"/>
      <c r="P11" s="5">
        <v>431.0</v>
      </c>
      <c r="Q11" s="5">
        <v>179.6</v>
      </c>
      <c r="R11" s="5">
        <v>8.04</v>
      </c>
      <c r="S11" s="5">
        <v>-62.5</v>
      </c>
      <c r="T11" s="5">
        <v>1102.0</v>
      </c>
      <c r="U11" s="5">
        <v>0.5</v>
      </c>
      <c r="V11" s="5">
        <v>21.4</v>
      </c>
      <c r="W11" s="5">
        <v>7.75</v>
      </c>
      <c r="X11" s="5">
        <v>90.2</v>
      </c>
      <c r="Y11" s="5">
        <v>791.0</v>
      </c>
      <c r="Z11" s="5">
        <v>3700.0</v>
      </c>
      <c r="AA11" s="5">
        <v>250.0</v>
      </c>
      <c r="AB11" s="5">
        <v>2845.0</v>
      </c>
      <c r="AC11" s="5"/>
      <c r="AD11" s="5">
        <v>308.9</v>
      </c>
      <c r="AE11" s="5">
        <v>64.0</v>
      </c>
      <c r="AF11" s="5">
        <v>104.9</v>
      </c>
      <c r="AG11" s="5">
        <v>149.3</v>
      </c>
      <c r="AH11" s="5">
        <v>267.2</v>
      </c>
      <c r="AI11" s="5"/>
      <c r="AJ11" s="5"/>
      <c r="AK11" s="5">
        <v>81.1</v>
      </c>
      <c r="AL11" s="5">
        <v>39.3</v>
      </c>
      <c r="AM11" s="5">
        <f t="shared" si="4"/>
        <v>25</v>
      </c>
      <c r="AN11" s="5"/>
      <c r="AO11" s="5">
        <v>92.3</v>
      </c>
      <c r="AP11" s="5">
        <v>41.8</v>
      </c>
      <c r="AQ11" s="5"/>
      <c r="AR11" s="5"/>
      <c r="AS11" s="5"/>
      <c r="AT11" s="5"/>
      <c r="AU11" s="5">
        <v>9.0</v>
      </c>
      <c r="AV11" s="5"/>
      <c r="AW11" s="5"/>
      <c r="AX11" s="5">
        <v>6.0</v>
      </c>
      <c r="AY11" s="5">
        <v>13.0</v>
      </c>
      <c r="AZ11" s="5"/>
      <c r="BA11" s="5"/>
      <c r="BB11" s="5"/>
      <c r="BC11" s="5"/>
      <c r="BD11" s="5"/>
      <c r="BE11" s="5"/>
      <c r="BF11" s="5">
        <v>675.0</v>
      </c>
      <c r="BG11" s="5">
        <v>853.0</v>
      </c>
      <c r="BH11" s="5">
        <f t="shared" ref="BH11:BI11" si="31">0.5*1</f>
        <v>0.5</v>
      </c>
      <c r="BI11" s="5">
        <f t="shared" si="31"/>
        <v>0.5</v>
      </c>
      <c r="BJ11" s="5">
        <v>122.0</v>
      </c>
      <c r="BK11" s="5">
        <v>6.6</v>
      </c>
      <c r="BL11" s="5">
        <f t="shared" si="6"/>
        <v>5</v>
      </c>
      <c r="BM11" s="5">
        <f t="shared" si="23"/>
        <v>25</v>
      </c>
      <c r="BN11" s="5">
        <f t="shared" si="29"/>
        <v>0.5</v>
      </c>
      <c r="BO11" s="5">
        <f t="shared" si="15"/>
        <v>5</v>
      </c>
      <c r="BP11" s="5">
        <f t="shared" si="24"/>
        <v>25</v>
      </c>
      <c r="BQ11" s="5">
        <v>2.0</v>
      </c>
      <c r="BR11" s="5">
        <f t="shared" si="25"/>
        <v>0.25</v>
      </c>
      <c r="BS11" s="5">
        <f t="shared" si="16"/>
        <v>0.5</v>
      </c>
      <c r="BT11" s="5">
        <f t="shared" si="7"/>
        <v>2.5</v>
      </c>
      <c r="BU11" s="5">
        <f t="shared" si="8"/>
        <v>0.25</v>
      </c>
      <c r="BV11" s="5">
        <f t="shared" si="17"/>
        <v>50</v>
      </c>
      <c r="BW11" s="5">
        <v>123.0</v>
      </c>
      <c r="BX11" s="5">
        <v>22.1</v>
      </c>
      <c r="BY11" s="5">
        <v>26.0</v>
      </c>
      <c r="BZ11" s="5">
        <v>705.0</v>
      </c>
      <c r="CA11" s="5">
        <v>31.0</v>
      </c>
      <c r="CB11" s="5">
        <v>33.0</v>
      </c>
      <c r="CC11" s="5">
        <v>136.0</v>
      </c>
      <c r="CD11" s="5">
        <v>18.0</v>
      </c>
      <c r="CE11" s="5">
        <f t="shared" si="27"/>
        <v>0.25</v>
      </c>
      <c r="CF11" s="5">
        <v>27.0</v>
      </c>
      <c r="CG11" s="5">
        <f t="shared" si="10"/>
        <v>2.5</v>
      </c>
      <c r="CH11" s="5">
        <f t="shared" si="11"/>
        <v>0.25</v>
      </c>
      <c r="CI11" s="5">
        <v>50139.0</v>
      </c>
      <c r="CJ11" s="5"/>
      <c r="CK11" s="5"/>
      <c r="CL11" s="5">
        <f t="shared" si="32"/>
        <v>0.5</v>
      </c>
      <c r="CM11" s="5"/>
      <c r="CN11" s="5"/>
      <c r="CO11" s="5">
        <v>17623.55</v>
      </c>
      <c r="CP11" s="5">
        <v>10.9</v>
      </c>
      <c r="CQ11" s="5"/>
      <c r="CR11" s="5">
        <v>11.6</v>
      </c>
      <c r="CS11" s="5">
        <v>62.57</v>
      </c>
      <c r="CT11" s="5"/>
      <c r="CU11" s="5">
        <v>47.8</v>
      </c>
      <c r="CV11" s="5">
        <v>247.8</v>
      </c>
      <c r="CW11" s="5">
        <v>0.35</v>
      </c>
      <c r="CX11" s="5"/>
      <c r="CY11" s="5">
        <v>5.45</v>
      </c>
      <c r="CZ11" s="5">
        <v>9.49</v>
      </c>
      <c r="DA11" s="5">
        <v>9.14</v>
      </c>
      <c r="DB11" s="5"/>
    </row>
    <row r="12">
      <c r="A12" s="5" t="s">
        <v>176</v>
      </c>
      <c r="B12" s="5" t="s">
        <v>177</v>
      </c>
      <c r="C12" s="6" t="s">
        <v>178</v>
      </c>
      <c r="D12" s="6" t="s">
        <v>179</v>
      </c>
      <c r="E12" s="6" t="s">
        <v>180</v>
      </c>
      <c r="F12" s="5" t="s">
        <v>111</v>
      </c>
      <c r="G12" s="5" t="s">
        <v>112</v>
      </c>
      <c r="H12" s="5" t="s">
        <v>126</v>
      </c>
      <c r="J12" s="5" t="s">
        <v>181</v>
      </c>
      <c r="K12" s="5" t="s">
        <v>182</v>
      </c>
      <c r="L12" s="5">
        <v>-23.7588</v>
      </c>
      <c r="M12" s="5">
        <v>-60.1301</v>
      </c>
      <c r="N12" s="5"/>
      <c r="O12" s="5"/>
      <c r="P12" s="5">
        <v>2430.0</v>
      </c>
      <c r="Q12" s="5">
        <v>96.5</v>
      </c>
      <c r="R12" s="5">
        <v>7.516</v>
      </c>
      <c r="S12" s="5">
        <v>-35.8</v>
      </c>
      <c r="T12" s="5">
        <v>413.0</v>
      </c>
      <c r="U12" s="5">
        <v>0.1</v>
      </c>
      <c r="V12" s="5">
        <v>26.7</v>
      </c>
      <c r="W12" s="5">
        <v>3.82</v>
      </c>
      <c r="X12" s="5">
        <v>48.4</v>
      </c>
      <c r="Y12" s="5">
        <v>24.2</v>
      </c>
      <c r="Z12" s="5">
        <v>312.4</v>
      </c>
      <c r="AA12" s="5">
        <v>293.0</v>
      </c>
      <c r="AB12" s="5">
        <v>19.4</v>
      </c>
      <c r="AC12" s="5">
        <v>100.0</v>
      </c>
      <c r="AD12" s="5">
        <v>145.0</v>
      </c>
      <c r="AE12" s="5">
        <v>0.0</v>
      </c>
      <c r="AF12" s="5">
        <v>147.0</v>
      </c>
      <c r="AG12" s="5">
        <v>15.13</v>
      </c>
      <c r="AH12" s="5">
        <v>5.1</v>
      </c>
      <c r="AI12" s="5">
        <v>57.3</v>
      </c>
      <c r="AJ12" s="5">
        <v>0.24</v>
      </c>
      <c r="AK12" s="5">
        <v>18.59</v>
      </c>
      <c r="AL12" s="5">
        <v>2.72</v>
      </c>
      <c r="AM12" s="5">
        <v>57.7</v>
      </c>
      <c r="AN12" s="5">
        <v>0.24</v>
      </c>
      <c r="AO12" s="5">
        <v>20.36</v>
      </c>
      <c r="AP12" s="5">
        <v>2.75</v>
      </c>
      <c r="AQ12" s="5">
        <v>1.82</v>
      </c>
      <c r="AR12" s="5">
        <v>0.557</v>
      </c>
      <c r="AS12" s="5">
        <v>0.1</v>
      </c>
      <c r="AT12" s="5">
        <v>0.076</v>
      </c>
      <c r="AU12" s="5">
        <v>1.19</v>
      </c>
      <c r="AV12" s="5">
        <v>0.426</v>
      </c>
      <c r="AW12" s="5"/>
      <c r="AX12" s="5">
        <v>6.6</v>
      </c>
      <c r="AY12" s="5">
        <v>44.92</v>
      </c>
      <c r="AZ12" s="5">
        <v>133340.0</v>
      </c>
      <c r="BA12" s="5">
        <v>61360.0</v>
      </c>
      <c r="BB12" s="5"/>
      <c r="BC12" s="5"/>
      <c r="BD12" s="5"/>
      <c r="BE12" s="5">
        <v>3480.0</v>
      </c>
      <c r="BF12" s="5">
        <v>167.0</v>
      </c>
      <c r="BG12" s="5">
        <v>188.0</v>
      </c>
      <c r="BH12" s="5">
        <f t="shared" ref="BH12:BI12" si="33">0.5*10</f>
        <v>5</v>
      </c>
      <c r="BI12" s="5">
        <f t="shared" si="33"/>
        <v>5</v>
      </c>
      <c r="BJ12" s="5">
        <v>3.0</v>
      </c>
      <c r="BK12" s="5">
        <f t="shared" ref="BK12:BK24" si="42">0.5*1</f>
        <v>0.5</v>
      </c>
      <c r="BL12" s="5">
        <f t="shared" ref="BL12:BL50" si="43">0.5*0.5</f>
        <v>0.25</v>
      </c>
      <c r="BM12" s="5">
        <f t="shared" si="23"/>
        <v>25</v>
      </c>
      <c r="BN12" s="5">
        <f t="shared" ref="BN12:BN23" si="44">0.5*50</f>
        <v>25</v>
      </c>
      <c r="BO12" s="5">
        <f t="shared" si="15"/>
        <v>5</v>
      </c>
      <c r="BP12" s="5">
        <f t="shared" ref="BP12:BP28" si="45">0.5*10</f>
        <v>5</v>
      </c>
      <c r="BQ12" s="5">
        <v>315.0</v>
      </c>
      <c r="BR12" s="5">
        <v>169.0</v>
      </c>
      <c r="BS12" s="5">
        <f t="shared" ref="BS12:BS50" si="46">0.5*5</f>
        <v>2.5</v>
      </c>
      <c r="BT12" s="5">
        <f t="shared" ref="BT12:BT22" si="47">0.5*0.5</f>
        <v>0.25</v>
      </c>
      <c r="BU12" s="5">
        <f t="shared" ref="BU12:BV12" si="34">0.5*1</f>
        <v>0.5</v>
      </c>
      <c r="BV12" s="5">
        <f t="shared" si="34"/>
        <v>0.5</v>
      </c>
      <c r="BW12" s="5">
        <v>4.0</v>
      </c>
      <c r="BX12" s="5">
        <f t="shared" ref="BX12:BX14" si="48">0.5*1</f>
        <v>0.5</v>
      </c>
      <c r="BY12" s="5">
        <f t="shared" ref="BY12:BY20" si="49">0.5*0.5</f>
        <v>0.25</v>
      </c>
      <c r="BZ12" s="5">
        <f t="shared" ref="BZ12:CA12" si="35">0.5*50</f>
        <v>25</v>
      </c>
      <c r="CA12" s="5">
        <f t="shared" si="35"/>
        <v>25</v>
      </c>
      <c r="CB12" s="5">
        <f t="shared" ref="CB12:CC12" si="36">0.5*10</f>
        <v>5</v>
      </c>
      <c r="CC12" s="5">
        <f t="shared" si="36"/>
        <v>5</v>
      </c>
      <c r="CD12" s="5">
        <v>364.0</v>
      </c>
      <c r="CE12" s="5">
        <v>911.0</v>
      </c>
      <c r="CF12" s="5">
        <f t="shared" ref="CF12:CF23" si="51">0.5*5</f>
        <v>2.5</v>
      </c>
      <c r="CG12" s="5">
        <f t="shared" ref="CG12:CG20" si="52">0.5*0.5</f>
        <v>0.25</v>
      </c>
      <c r="CH12" s="5">
        <f t="shared" ref="CH12:CI12" si="37">0.5*1</f>
        <v>0.5</v>
      </c>
      <c r="CI12" s="5">
        <f t="shared" si="37"/>
        <v>0.5</v>
      </c>
      <c r="CJ12" s="5">
        <f t="shared" ref="CJ12:CJ17" si="53">0.5*0.02</f>
        <v>0.01</v>
      </c>
      <c r="CK12" s="5"/>
      <c r="CL12" s="5">
        <f t="shared" ref="CL12:CM12" si="38">0.5*0.001</f>
        <v>0.0005</v>
      </c>
      <c r="CM12" s="5">
        <f t="shared" si="38"/>
        <v>0.0005</v>
      </c>
      <c r="CN12" s="5"/>
      <c r="CO12" s="5"/>
      <c r="CP12" s="5"/>
      <c r="CQ12" s="5">
        <v>18622.68</v>
      </c>
      <c r="CR12" s="5"/>
      <c r="CS12" s="5">
        <v>1082.47</v>
      </c>
      <c r="CT12" s="5"/>
      <c r="CU12" s="5"/>
      <c r="CV12" s="5"/>
      <c r="CW12" s="5">
        <v>51.55</v>
      </c>
      <c r="CX12" s="5"/>
      <c r="CY12" s="5"/>
      <c r="CZ12" s="5"/>
      <c r="DA12" s="5"/>
      <c r="DB12" s="5">
        <v>38247.42</v>
      </c>
    </row>
    <row r="13">
      <c r="A13" s="5" t="s">
        <v>183</v>
      </c>
      <c r="B13" s="5" t="s">
        <v>184</v>
      </c>
      <c r="C13" s="6" t="s">
        <v>185</v>
      </c>
      <c r="D13" s="6" t="s">
        <v>186</v>
      </c>
      <c r="E13" s="6" t="s">
        <v>187</v>
      </c>
      <c r="F13" s="5" t="s">
        <v>111</v>
      </c>
      <c r="G13" s="5" t="s">
        <v>112</v>
      </c>
      <c r="H13" s="5" t="s">
        <v>126</v>
      </c>
      <c r="I13" s="5" t="s">
        <v>188</v>
      </c>
      <c r="J13" s="5" t="s">
        <v>189</v>
      </c>
      <c r="K13" s="5" t="s">
        <v>190</v>
      </c>
      <c r="L13" s="5">
        <v>-24.7483</v>
      </c>
      <c r="M13" s="5">
        <v>-58.8331</v>
      </c>
      <c r="N13" s="5"/>
      <c r="O13" s="5"/>
      <c r="P13" s="5">
        <v>18.29</v>
      </c>
      <c r="Q13" s="5">
        <v>383.0</v>
      </c>
      <c r="R13" s="5">
        <v>9.306</v>
      </c>
      <c r="S13" s="5">
        <v>33.2</v>
      </c>
      <c r="T13" s="5">
        <v>54700.0</v>
      </c>
      <c r="U13" s="5">
        <v>35.8</v>
      </c>
      <c r="V13" s="5">
        <v>33.1</v>
      </c>
      <c r="W13" s="5">
        <v>13.62</v>
      </c>
      <c r="X13" s="5">
        <v>194.0</v>
      </c>
      <c r="Y13" s="5">
        <v>1.51</v>
      </c>
      <c r="Z13" s="5">
        <v>39870.1</v>
      </c>
      <c r="AA13" s="5">
        <v>39800.0</v>
      </c>
      <c r="AB13" s="5">
        <v>70.1</v>
      </c>
      <c r="AC13" s="5">
        <v>45.0</v>
      </c>
      <c r="AD13" s="5">
        <v>1770.0</v>
      </c>
      <c r="AE13" s="5">
        <v>86.0</v>
      </c>
      <c r="AF13" s="5">
        <v>216.0</v>
      </c>
      <c r="AG13" s="5">
        <v>14121.6</v>
      </c>
      <c r="AH13" s="5">
        <v>15290.0</v>
      </c>
      <c r="AI13" s="5">
        <v>480.9</v>
      </c>
      <c r="AJ13" s="5">
        <v>138.6</v>
      </c>
      <c r="AK13" s="5">
        <v>17059.1</v>
      </c>
      <c r="AL13" s="5">
        <v>11.6</v>
      </c>
      <c r="AM13" s="5">
        <v>484.9</v>
      </c>
      <c r="AN13" s="5">
        <v>138.6</v>
      </c>
      <c r="AO13" s="5">
        <v>17981.4</v>
      </c>
      <c r="AP13" s="5">
        <v>18.29</v>
      </c>
      <c r="AQ13" s="5">
        <v>0.58</v>
      </c>
      <c r="AR13" s="5">
        <v>0.185</v>
      </c>
      <c r="AS13" s="5">
        <f t="shared" ref="AS13:AT13" si="39">0.5*0.005</f>
        <v>0.0025</v>
      </c>
      <c r="AT13" s="5">
        <f t="shared" si="39"/>
        <v>0.0025</v>
      </c>
      <c r="AU13" s="5">
        <v>0.332</v>
      </c>
      <c r="AV13" s="5">
        <v>0.05</v>
      </c>
      <c r="AW13" s="5"/>
      <c r="AX13" s="5">
        <v>8.9</v>
      </c>
      <c r="AY13" s="5">
        <v>2141.18</v>
      </c>
      <c r="AZ13" s="5">
        <v>540082.0</v>
      </c>
      <c r="BA13" s="5">
        <v>330180.0</v>
      </c>
      <c r="BB13" s="5"/>
      <c r="BC13" s="5"/>
      <c r="BD13" s="5"/>
      <c r="BE13" s="5">
        <v>38280.0</v>
      </c>
      <c r="BF13" s="5">
        <f t="shared" ref="BF13:BG13" si="40">0.5*50</f>
        <v>25</v>
      </c>
      <c r="BG13" s="5">
        <f t="shared" si="40"/>
        <v>25</v>
      </c>
      <c r="BH13" s="5">
        <f t="shared" ref="BH13:BI13" si="41">0.5*10</f>
        <v>5</v>
      </c>
      <c r="BI13" s="5">
        <f t="shared" si="41"/>
        <v>5</v>
      </c>
      <c r="BJ13" s="5">
        <v>4.0</v>
      </c>
      <c r="BK13" s="5">
        <f t="shared" si="42"/>
        <v>0.5</v>
      </c>
      <c r="BL13" s="5">
        <f t="shared" si="43"/>
        <v>0.25</v>
      </c>
      <c r="BM13" s="5">
        <f t="shared" si="23"/>
        <v>25</v>
      </c>
      <c r="BN13" s="5">
        <f t="shared" si="44"/>
        <v>25</v>
      </c>
      <c r="BO13" s="5">
        <f t="shared" si="15"/>
        <v>5</v>
      </c>
      <c r="BP13" s="5">
        <f t="shared" si="45"/>
        <v>5</v>
      </c>
      <c r="BQ13" s="5">
        <v>6723.0</v>
      </c>
      <c r="BR13" s="5">
        <f t="shared" ref="BR13:BR16" si="56">0.5*100</f>
        <v>50</v>
      </c>
      <c r="BS13" s="5">
        <f t="shared" si="46"/>
        <v>2.5</v>
      </c>
      <c r="BT13" s="5">
        <f t="shared" si="47"/>
        <v>0.25</v>
      </c>
      <c r="BU13" s="5">
        <v>2.0</v>
      </c>
      <c r="BV13" s="5">
        <v>13.0</v>
      </c>
      <c r="BW13" s="5">
        <v>8.0</v>
      </c>
      <c r="BX13" s="5">
        <f t="shared" si="48"/>
        <v>0.5</v>
      </c>
      <c r="BY13" s="5">
        <f t="shared" si="49"/>
        <v>0.25</v>
      </c>
      <c r="BZ13" s="5">
        <f t="shared" ref="BZ13:CA13" si="50">0.5*50</f>
        <v>25</v>
      </c>
      <c r="CA13" s="5">
        <f t="shared" si="50"/>
        <v>25</v>
      </c>
      <c r="CB13" s="5">
        <v>14.0</v>
      </c>
      <c r="CC13" s="5">
        <f>0.5*10</f>
        <v>5</v>
      </c>
      <c r="CD13" s="5">
        <v>7151.0</v>
      </c>
      <c r="CE13" s="5">
        <v>138.0</v>
      </c>
      <c r="CF13" s="5">
        <f t="shared" si="51"/>
        <v>2.5</v>
      </c>
      <c r="CG13" s="5">
        <f t="shared" si="52"/>
        <v>0.25</v>
      </c>
      <c r="CH13" s="5">
        <v>2.0</v>
      </c>
      <c r="CI13" s="5">
        <v>13.0</v>
      </c>
      <c r="CJ13" s="5">
        <f t="shared" si="53"/>
        <v>0.01</v>
      </c>
      <c r="CK13" s="5"/>
      <c r="CL13" s="5">
        <f t="shared" ref="CL13:CM13" si="54">0.5*0.001</f>
        <v>0.0005</v>
      </c>
      <c r="CM13" s="5">
        <f t="shared" si="54"/>
        <v>0.0005</v>
      </c>
      <c r="CN13" s="5"/>
      <c r="CO13" s="5">
        <v>0.0</v>
      </c>
      <c r="CP13" s="5"/>
      <c r="CQ13" s="5">
        <v>101845.93</v>
      </c>
      <c r="CR13" s="5">
        <v>199.71</v>
      </c>
      <c r="CS13" s="5"/>
      <c r="CT13" s="5">
        <v>0.0</v>
      </c>
      <c r="CU13" s="5"/>
      <c r="CV13" s="5"/>
      <c r="CW13" s="5">
        <v>57.06</v>
      </c>
      <c r="CX13" s="5"/>
      <c r="CY13" s="5"/>
      <c r="CZ13" s="5"/>
      <c r="DA13" s="5"/>
      <c r="DB13" s="5">
        <v>1968.62</v>
      </c>
    </row>
    <row r="14">
      <c r="A14" s="5" t="s">
        <v>191</v>
      </c>
      <c r="B14" s="5" t="s">
        <v>192</v>
      </c>
      <c r="C14" s="6" t="s">
        <v>185</v>
      </c>
      <c r="D14" s="6" t="s">
        <v>193</v>
      </c>
      <c r="E14" s="6" t="s">
        <v>187</v>
      </c>
      <c r="F14" s="5" t="s">
        <v>111</v>
      </c>
      <c r="G14" s="5" t="s">
        <v>112</v>
      </c>
      <c r="H14" s="5" t="s">
        <v>194</v>
      </c>
      <c r="I14" s="5" t="s">
        <v>195</v>
      </c>
      <c r="J14" s="5" t="s">
        <v>196</v>
      </c>
      <c r="K14" s="5" t="s">
        <v>197</v>
      </c>
      <c r="L14" s="5">
        <v>-25.2654</v>
      </c>
      <c r="M14" s="5">
        <v>-57.7288</v>
      </c>
      <c r="N14" s="5"/>
      <c r="O14" s="5"/>
      <c r="P14" s="5">
        <v>388.0</v>
      </c>
      <c r="Q14" s="5">
        <v>124.1</v>
      </c>
      <c r="R14" s="5">
        <v>7.87</v>
      </c>
      <c r="S14" s="5">
        <v>-58.2</v>
      </c>
      <c r="T14" s="5">
        <v>2580.0</v>
      </c>
      <c r="U14" s="5">
        <v>1.3</v>
      </c>
      <c r="V14" s="5">
        <v>31.1</v>
      </c>
      <c r="W14" s="5">
        <v>4.54</v>
      </c>
      <c r="X14" s="5">
        <v>62.1</v>
      </c>
      <c r="Y14" s="5">
        <v>36.6</v>
      </c>
      <c r="Z14" s="5">
        <v>1869.1</v>
      </c>
      <c r="AA14" s="5">
        <v>1830.0</v>
      </c>
      <c r="AB14" s="5">
        <v>39.1</v>
      </c>
      <c r="AC14" s="5">
        <v>75.0</v>
      </c>
      <c r="AD14" s="5">
        <v>365.0</v>
      </c>
      <c r="AE14" s="5">
        <v>0.0</v>
      </c>
      <c r="AF14" s="5">
        <v>222.0</v>
      </c>
      <c r="AG14" s="5">
        <v>290.5</v>
      </c>
      <c r="AH14" s="5">
        <v>603.89</v>
      </c>
      <c r="AI14" s="5">
        <v>72.1</v>
      </c>
      <c r="AJ14" s="5">
        <v>43.7</v>
      </c>
      <c r="AK14" s="5">
        <v>481.11</v>
      </c>
      <c r="AL14" s="5">
        <v>10.27</v>
      </c>
      <c r="AM14" s="5">
        <v>74.1</v>
      </c>
      <c r="AN14" s="5">
        <v>43.8</v>
      </c>
      <c r="AO14" s="5">
        <v>498.58</v>
      </c>
      <c r="AP14" s="5">
        <v>11.28</v>
      </c>
      <c r="AQ14" s="5">
        <v>1.11</v>
      </c>
      <c r="AR14" s="5">
        <v>0.332</v>
      </c>
      <c r="AS14" s="5">
        <v>0.094</v>
      </c>
      <c r="AT14" s="5">
        <v>0.023</v>
      </c>
      <c r="AU14" s="5">
        <v>1.39</v>
      </c>
      <c r="AV14" s="5">
        <v>0.237</v>
      </c>
      <c r="AW14" s="5"/>
      <c r="AX14" s="5">
        <v>2.3</v>
      </c>
      <c r="AY14" s="5">
        <v>101.96</v>
      </c>
      <c r="AZ14" s="5">
        <v>20540.0</v>
      </c>
      <c r="BA14" s="5">
        <v>1810.0</v>
      </c>
      <c r="BB14" s="5"/>
      <c r="BC14" s="5"/>
      <c r="BD14" s="5"/>
      <c r="BE14" s="5">
        <v>18120.0</v>
      </c>
      <c r="BF14" s="5">
        <f>0.5*50</f>
        <v>25</v>
      </c>
      <c r="BG14" s="5">
        <v>101.0</v>
      </c>
      <c r="BH14" s="5">
        <f t="shared" ref="BH14:BI14" si="55">0.5*10</f>
        <v>5</v>
      </c>
      <c r="BI14" s="5">
        <f t="shared" si="55"/>
        <v>5</v>
      </c>
      <c r="BJ14" s="5">
        <v>6.0</v>
      </c>
      <c r="BK14" s="5">
        <f t="shared" si="42"/>
        <v>0.5</v>
      </c>
      <c r="BL14" s="5">
        <f t="shared" si="43"/>
        <v>0.25</v>
      </c>
      <c r="BM14" s="5">
        <f t="shared" si="23"/>
        <v>25</v>
      </c>
      <c r="BN14" s="5">
        <f t="shared" si="44"/>
        <v>25</v>
      </c>
      <c r="BO14" s="5">
        <f t="shared" si="15"/>
        <v>5</v>
      </c>
      <c r="BP14" s="5">
        <f t="shared" si="45"/>
        <v>5</v>
      </c>
      <c r="BQ14" s="5">
        <v>1958.0</v>
      </c>
      <c r="BR14" s="5">
        <f t="shared" si="56"/>
        <v>50</v>
      </c>
      <c r="BS14" s="5">
        <f t="shared" si="46"/>
        <v>2.5</v>
      </c>
      <c r="BT14" s="5">
        <f t="shared" si="47"/>
        <v>0.25</v>
      </c>
      <c r="BU14" s="5">
        <v>2.0</v>
      </c>
      <c r="BV14" s="5">
        <v>1.0</v>
      </c>
      <c r="BW14" s="5">
        <v>8.0</v>
      </c>
      <c r="BX14" s="5">
        <f t="shared" si="48"/>
        <v>0.5</v>
      </c>
      <c r="BY14" s="5">
        <f t="shared" si="49"/>
        <v>0.25</v>
      </c>
      <c r="BZ14" s="5">
        <f t="shared" ref="BZ14:CA14" si="57">0.5*50</f>
        <v>25</v>
      </c>
      <c r="CA14" s="5">
        <f t="shared" si="57"/>
        <v>25</v>
      </c>
      <c r="CB14" s="5">
        <f t="shared" ref="CB14:CC14" si="58">0.5*10</f>
        <v>5</v>
      </c>
      <c r="CC14" s="5">
        <f t="shared" si="58"/>
        <v>5</v>
      </c>
      <c r="CD14" s="5">
        <v>2067.0</v>
      </c>
      <c r="CE14" s="5">
        <v>1963.0</v>
      </c>
      <c r="CF14" s="5">
        <f t="shared" si="51"/>
        <v>2.5</v>
      </c>
      <c r="CG14" s="5">
        <f t="shared" si="52"/>
        <v>0.25</v>
      </c>
      <c r="CH14" s="5">
        <v>3.0</v>
      </c>
      <c r="CI14" s="5">
        <v>2.0</v>
      </c>
      <c r="CJ14" s="5">
        <f t="shared" si="53"/>
        <v>0.01</v>
      </c>
      <c r="CK14" s="5"/>
      <c r="CL14" s="5">
        <f t="shared" ref="CL14:CM14" si="59">0.5*0.001</f>
        <v>0.0005</v>
      </c>
      <c r="CM14" s="5">
        <f t="shared" si="59"/>
        <v>0.0005</v>
      </c>
      <c r="CN14" s="5"/>
      <c r="CO14" s="5">
        <v>25.58</v>
      </c>
      <c r="CP14" s="5"/>
      <c r="CQ14" s="5">
        <v>52601.79</v>
      </c>
      <c r="CR14" s="5"/>
      <c r="CS14" s="5">
        <v>2583.12</v>
      </c>
      <c r="CT14" s="5">
        <v>25.58</v>
      </c>
      <c r="CU14" s="5"/>
      <c r="CV14" s="5"/>
      <c r="CW14" s="5">
        <v>51.15</v>
      </c>
      <c r="CX14" s="5"/>
      <c r="CY14" s="5"/>
      <c r="CZ14" s="5"/>
      <c r="DA14" s="5"/>
      <c r="DB14" s="5">
        <v>50204.6</v>
      </c>
    </row>
    <row r="15">
      <c r="A15" s="5" t="s">
        <v>198</v>
      </c>
      <c r="B15" s="5" t="s">
        <v>199</v>
      </c>
      <c r="C15" s="6" t="s">
        <v>185</v>
      </c>
      <c r="D15" s="6" t="s">
        <v>179</v>
      </c>
      <c r="E15" s="6" t="s">
        <v>187</v>
      </c>
      <c r="F15" s="5" t="s">
        <v>111</v>
      </c>
      <c r="G15" s="5" t="s">
        <v>112</v>
      </c>
      <c r="H15" s="5" t="s">
        <v>200</v>
      </c>
      <c r="J15" s="5" t="s">
        <v>201</v>
      </c>
      <c r="K15" s="5" t="s">
        <v>202</v>
      </c>
      <c r="L15" s="5">
        <v>-25.7884</v>
      </c>
      <c r="M15" s="5">
        <v>-58.0215</v>
      </c>
      <c r="N15" s="5"/>
      <c r="O15" s="5"/>
      <c r="P15" s="5">
        <v>504.0</v>
      </c>
      <c r="Q15" s="5">
        <v>158.9</v>
      </c>
      <c r="R15" s="5">
        <v>8.18</v>
      </c>
      <c r="S15" s="5">
        <v>-76.0</v>
      </c>
      <c r="T15" s="5">
        <v>1985.0</v>
      </c>
      <c r="U15" s="5">
        <v>1.0</v>
      </c>
      <c r="V15" s="5">
        <v>30.9</v>
      </c>
      <c r="W15" s="5">
        <v>5.84</v>
      </c>
      <c r="X15" s="5">
        <v>79.5</v>
      </c>
      <c r="Y15" s="5">
        <v>118.0</v>
      </c>
      <c r="Z15" s="5">
        <v>1796.5</v>
      </c>
      <c r="AA15" s="5">
        <v>1710.0</v>
      </c>
      <c r="AB15" s="5">
        <v>86.5</v>
      </c>
      <c r="AC15" s="5">
        <v>75.0</v>
      </c>
      <c r="AD15" s="5">
        <v>495.0</v>
      </c>
      <c r="AE15" s="5">
        <v>22.0</v>
      </c>
      <c r="AF15" s="5">
        <v>300.0</v>
      </c>
      <c r="AG15" s="5">
        <v>298.57</v>
      </c>
      <c r="AH15" s="5">
        <v>592.34</v>
      </c>
      <c r="AI15" s="5">
        <v>108.2</v>
      </c>
      <c r="AJ15" s="5">
        <v>53.5</v>
      </c>
      <c r="AK15" s="5">
        <v>438.53</v>
      </c>
      <c r="AL15" s="5">
        <v>15.22</v>
      </c>
      <c r="AM15" s="5">
        <v>110.2</v>
      </c>
      <c r="AN15" s="5">
        <v>53.5</v>
      </c>
      <c r="AO15" s="5">
        <v>440.28</v>
      </c>
      <c r="AP15" s="5">
        <v>16.71</v>
      </c>
      <c r="AQ15" s="5">
        <v>2.48</v>
      </c>
      <c r="AR15" s="5">
        <v>0.718</v>
      </c>
      <c r="AS15" s="5">
        <v>0.142</v>
      </c>
      <c r="AT15" s="5">
        <v>0.006</v>
      </c>
      <c r="AU15" s="5">
        <v>0.31</v>
      </c>
      <c r="AV15" s="5">
        <v>0.342</v>
      </c>
      <c r="AW15" s="5"/>
      <c r="AX15" s="5">
        <v>5.3</v>
      </c>
      <c r="AY15" s="5">
        <v>133.33</v>
      </c>
      <c r="AZ15" s="5">
        <v>496920.0</v>
      </c>
      <c r="BA15" s="5">
        <v>4240.0</v>
      </c>
      <c r="BB15" s="5"/>
      <c r="BC15" s="5"/>
      <c r="BD15" s="5"/>
      <c r="BE15" s="5">
        <v>21820.0</v>
      </c>
      <c r="BF15" s="5">
        <v>316.0</v>
      </c>
      <c r="BG15" s="5">
        <v>237.0</v>
      </c>
      <c r="BH15" s="5">
        <f t="shared" ref="BH15:BI15" si="60">0.5*10</f>
        <v>5</v>
      </c>
      <c r="BI15" s="5">
        <f t="shared" si="60"/>
        <v>5</v>
      </c>
      <c r="BJ15" s="5">
        <v>11.0</v>
      </c>
      <c r="BK15" s="5">
        <f t="shared" si="42"/>
        <v>0.5</v>
      </c>
      <c r="BL15" s="5">
        <f t="shared" si="43"/>
        <v>0.25</v>
      </c>
      <c r="BM15" s="5">
        <f t="shared" si="23"/>
        <v>25</v>
      </c>
      <c r="BN15" s="5">
        <f t="shared" si="44"/>
        <v>25</v>
      </c>
      <c r="BO15" s="5">
        <f t="shared" si="15"/>
        <v>5</v>
      </c>
      <c r="BP15" s="5">
        <f t="shared" si="45"/>
        <v>5</v>
      </c>
      <c r="BQ15" s="5">
        <v>1428.0</v>
      </c>
      <c r="BR15" s="5">
        <f t="shared" si="56"/>
        <v>50</v>
      </c>
      <c r="BS15" s="5">
        <f t="shared" si="46"/>
        <v>2.5</v>
      </c>
      <c r="BT15" s="5">
        <f t="shared" si="47"/>
        <v>0.25</v>
      </c>
      <c r="BU15" s="5">
        <v>3.0</v>
      </c>
      <c r="BV15" s="5">
        <f>0.5*1</f>
        <v>0.5</v>
      </c>
      <c r="BW15" s="5">
        <v>11.0</v>
      </c>
      <c r="BX15" s="5">
        <v>2.0</v>
      </c>
      <c r="BY15" s="5">
        <f t="shared" si="49"/>
        <v>0.25</v>
      </c>
      <c r="BZ15" s="5">
        <f t="shared" ref="BZ15:CA15" si="61">0.5*50</f>
        <v>25</v>
      </c>
      <c r="CA15" s="5">
        <f t="shared" si="61"/>
        <v>25</v>
      </c>
      <c r="CB15" s="5">
        <v>10.0</v>
      </c>
      <c r="CC15" s="5">
        <f>0.5*10</f>
        <v>5</v>
      </c>
      <c r="CD15" s="5">
        <v>1410.0</v>
      </c>
      <c r="CE15" s="5">
        <v>5018.0</v>
      </c>
      <c r="CF15" s="5">
        <f t="shared" si="51"/>
        <v>2.5</v>
      </c>
      <c r="CG15" s="5">
        <f t="shared" si="52"/>
        <v>0.25</v>
      </c>
      <c r="CH15" s="5">
        <v>7.0</v>
      </c>
      <c r="CI15" s="5">
        <v>1.0</v>
      </c>
      <c r="CJ15" s="5">
        <f t="shared" si="53"/>
        <v>0.01</v>
      </c>
      <c r="CK15" s="5"/>
      <c r="CL15" s="5">
        <f t="shared" ref="CL15:CM15" si="62">0.5*0.001</f>
        <v>0.0005</v>
      </c>
      <c r="CM15" s="5">
        <f t="shared" si="62"/>
        <v>0.0005</v>
      </c>
      <c r="CN15" s="5"/>
      <c r="CO15" s="5">
        <v>11.56</v>
      </c>
      <c r="CP15" s="5"/>
      <c r="CQ15" s="5">
        <v>16124.62</v>
      </c>
      <c r="CR15" s="5">
        <v>115.61</v>
      </c>
      <c r="CS15" s="5"/>
      <c r="CT15" s="5">
        <v>46.24</v>
      </c>
      <c r="CU15" s="5"/>
      <c r="CV15" s="5"/>
      <c r="CW15" s="5">
        <v>0.0</v>
      </c>
      <c r="CX15" s="5"/>
      <c r="CY15" s="5">
        <v>23.12</v>
      </c>
      <c r="CZ15" s="5"/>
      <c r="DA15" s="5"/>
      <c r="DB15" s="5">
        <v>58011.56</v>
      </c>
    </row>
    <row r="16">
      <c r="A16" s="5" t="s">
        <v>203</v>
      </c>
      <c r="B16" s="5" t="s">
        <v>204</v>
      </c>
      <c r="C16" s="6" t="s">
        <v>205</v>
      </c>
      <c r="D16" s="6" t="s">
        <v>206</v>
      </c>
      <c r="E16" s="6" t="s">
        <v>187</v>
      </c>
      <c r="F16" s="5" t="s">
        <v>111</v>
      </c>
      <c r="G16" s="5" t="s">
        <v>112</v>
      </c>
      <c r="H16" s="5" t="s">
        <v>126</v>
      </c>
      <c r="I16" s="5" t="s">
        <v>207</v>
      </c>
      <c r="J16" s="5" t="s">
        <v>208</v>
      </c>
      <c r="K16" s="5" t="s">
        <v>209</v>
      </c>
      <c r="L16" s="5">
        <v>-25.2641</v>
      </c>
      <c r="M16" s="5">
        <v>-57.7244</v>
      </c>
      <c r="N16" s="5"/>
      <c r="O16" s="5"/>
      <c r="P16" s="5">
        <v>153.1</v>
      </c>
      <c r="Q16" s="5">
        <v>108.1</v>
      </c>
      <c r="R16" s="5">
        <v>8.05</v>
      </c>
      <c r="S16" s="5">
        <v>-68.2</v>
      </c>
      <c r="T16" s="5">
        <v>6550.0</v>
      </c>
      <c r="U16" s="5">
        <v>13.6</v>
      </c>
      <c r="V16" s="5">
        <v>31.2</v>
      </c>
      <c r="W16" s="5">
        <v>3.96</v>
      </c>
      <c r="X16" s="5">
        <v>54.1</v>
      </c>
      <c r="Y16" s="5">
        <v>14.6</v>
      </c>
      <c r="Z16" s="5">
        <v>4606.0</v>
      </c>
      <c r="AA16" s="5">
        <v>4590.0</v>
      </c>
      <c r="AB16" s="5">
        <v>16.3</v>
      </c>
      <c r="AC16" s="5">
        <v>75.0</v>
      </c>
      <c r="AD16" s="5">
        <v>520.0</v>
      </c>
      <c r="AE16" s="5">
        <v>12.0</v>
      </c>
      <c r="AF16" s="5">
        <v>302.0</v>
      </c>
      <c r="AG16" s="5">
        <v>1200.34</v>
      </c>
      <c r="AH16" s="5">
        <v>940.34</v>
      </c>
      <c r="AI16" s="5">
        <v>136.2</v>
      </c>
      <c r="AJ16" s="5">
        <v>41.3</v>
      </c>
      <c r="AK16" s="5">
        <v>1308.98</v>
      </c>
      <c r="AL16" s="5">
        <v>11.92</v>
      </c>
      <c r="AM16" s="5">
        <v>140.3</v>
      </c>
      <c r="AN16" s="5">
        <v>41.3</v>
      </c>
      <c r="AO16" s="5">
        <v>1371.49</v>
      </c>
      <c r="AP16" s="5">
        <v>12.04</v>
      </c>
      <c r="AQ16" s="5">
        <v>3.37</v>
      </c>
      <c r="AR16" s="5">
        <v>1.0</v>
      </c>
      <c r="AS16" s="5">
        <v>0.103</v>
      </c>
      <c r="AT16" s="5">
        <v>0.01</v>
      </c>
      <c r="AU16" s="5">
        <v>0.452</v>
      </c>
      <c r="AV16" s="5">
        <v>0.266</v>
      </c>
      <c r="AW16" s="5"/>
      <c r="AX16" s="5">
        <v>2.9</v>
      </c>
      <c r="AY16" s="5">
        <v>303.92</v>
      </c>
      <c r="AZ16" s="5">
        <v>20880.0</v>
      </c>
      <c r="BA16" s="5">
        <v>1160.0</v>
      </c>
      <c r="BB16" s="5"/>
      <c r="BC16" s="5"/>
      <c r="BD16" s="5"/>
      <c r="BE16" s="5">
        <v>17980.0</v>
      </c>
      <c r="BF16" s="5">
        <v>247.0</v>
      </c>
      <c r="BG16" s="5">
        <v>470.0</v>
      </c>
      <c r="BH16" s="5">
        <f t="shared" ref="BH16:BI16" si="63">0.5*10</f>
        <v>5</v>
      </c>
      <c r="BI16" s="5">
        <f t="shared" si="63"/>
        <v>5</v>
      </c>
      <c r="BJ16" s="5">
        <v>8.0</v>
      </c>
      <c r="BK16" s="5">
        <f t="shared" si="42"/>
        <v>0.5</v>
      </c>
      <c r="BL16" s="5">
        <f t="shared" si="43"/>
        <v>0.25</v>
      </c>
      <c r="BM16" s="5">
        <f t="shared" si="23"/>
        <v>25</v>
      </c>
      <c r="BN16" s="5">
        <f t="shared" si="44"/>
        <v>25</v>
      </c>
      <c r="BO16" s="5">
        <f t="shared" si="15"/>
        <v>5</v>
      </c>
      <c r="BP16" s="5">
        <f t="shared" si="45"/>
        <v>5</v>
      </c>
      <c r="BQ16" s="5">
        <v>1362.0</v>
      </c>
      <c r="BR16" s="5">
        <f t="shared" si="56"/>
        <v>50</v>
      </c>
      <c r="BS16" s="5">
        <f t="shared" si="46"/>
        <v>2.5</v>
      </c>
      <c r="BT16" s="5">
        <f t="shared" si="47"/>
        <v>0.25</v>
      </c>
      <c r="BU16" s="5">
        <v>2.0</v>
      </c>
      <c r="BV16" s="5">
        <v>3.0</v>
      </c>
      <c r="BW16" s="5">
        <v>10.0</v>
      </c>
      <c r="BX16" s="5">
        <f t="shared" ref="BX16:BX17" si="68">0.5*1</f>
        <v>0.5</v>
      </c>
      <c r="BY16" s="5">
        <f t="shared" si="49"/>
        <v>0.25</v>
      </c>
      <c r="BZ16" s="5">
        <f t="shared" ref="BZ16:CA16" si="64">0.5*50</f>
        <v>25</v>
      </c>
      <c r="CA16" s="5">
        <f t="shared" si="64"/>
        <v>25</v>
      </c>
      <c r="CB16" s="5">
        <f t="shared" ref="CB16:CC16" si="65">0.5*10</f>
        <v>5</v>
      </c>
      <c r="CC16" s="5">
        <f t="shared" si="65"/>
        <v>5</v>
      </c>
      <c r="CD16" s="5">
        <v>1479.0</v>
      </c>
      <c r="CE16" s="5">
        <v>285.0</v>
      </c>
      <c r="CF16" s="5">
        <f t="shared" si="51"/>
        <v>2.5</v>
      </c>
      <c r="CG16" s="5">
        <f t="shared" si="52"/>
        <v>0.25</v>
      </c>
      <c r="CH16" s="5">
        <v>3.0</v>
      </c>
      <c r="CI16" s="5">
        <v>3.0</v>
      </c>
      <c r="CJ16" s="5">
        <f t="shared" si="53"/>
        <v>0.01</v>
      </c>
      <c r="CK16" s="5"/>
      <c r="CL16" s="5">
        <f t="shared" ref="CL16:CM16" si="66">0.5*0.001</f>
        <v>0.0005</v>
      </c>
      <c r="CM16" s="5">
        <f t="shared" si="66"/>
        <v>0.0005</v>
      </c>
      <c r="CN16" s="5"/>
      <c r="CO16" s="5">
        <v>0.0</v>
      </c>
      <c r="CP16" s="5"/>
      <c r="CQ16" s="5">
        <v>90004.91</v>
      </c>
      <c r="CR16" s="5"/>
      <c r="CS16" s="5">
        <v>13680.98</v>
      </c>
      <c r="CT16" s="5">
        <v>61.35</v>
      </c>
      <c r="CU16" s="5"/>
      <c r="CV16" s="5"/>
      <c r="CW16" s="5">
        <v>122.7</v>
      </c>
      <c r="CX16" s="5"/>
      <c r="CY16" s="5"/>
      <c r="CZ16" s="5"/>
      <c r="DA16" s="5"/>
      <c r="DB16" s="5">
        <v>17484.66</v>
      </c>
    </row>
    <row r="17">
      <c r="A17" s="5" t="s">
        <v>210</v>
      </c>
      <c r="B17" s="5" t="s">
        <v>211</v>
      </c>
      <c r="C17" s="6" t="s">
        <v>205</v>
      </c>
      <c r="D17" s="6" t="s">
        <v>212</v>
      </c>
      <c r="E17" s="6" t="s">
        <v>187</v>
      </c>
      <c r="F17" s="5" t="s">
        <v>111</v>
      </c>
      <c r="G17" s="5" t="s">
        <v>112</v>
      </c>
      <c r="H17" s="5" t="s">
        <v>213</v>
      </c>
      <c r="J17" s="5" t="s">
        <v>214</v>
      </c>
      <c r="K17" s="5" t="s">
        <v>215</v>
      </c>
      <c r="L17" s="5">
        <v>-25.1072</v>
      </c>
      <c r="M17" s="5">
        <v>-57.5466</v>
      </c>
      <c r="N17" s="5"/>
      <c r="O17" s="5"/>
      <c r="P17" s="5">
        <v>355.0</v>
      </c>
      <c r="Q17" s="5">
        <v>34.4</v>
      </c>
      <c r="R17" s="5">
        <v>7.0</v>
      </c>
      <c r="S17" s="5">
        <v>-7.6</v>
      </c>
      <c r="T17" s="5">
        <v>2830.0</v>
      </c>
      <c r="U17" s="5">
        <v>1.4</v>
      </c>
      <c r="V17" s="5">
        <v>31.0</v>
      </c>
      <c r="W17" s="5">
        <v>1.25</v>
      </c>
      <c r="X17" s="5">
        <v>17.2</v>
      </c>
      <c r="Y17" s="5">
        <v>15.1</v>
      </c>
      <c r="Z17" s="5">
        <v>2031.6</v>
      </c>
      <c r="AA17" s="5">
        <v>2010.0</v>
      </c>
      <c r="AB17" s="5">
        <v>21.5</v>
      </c>
      <c r="AC17" s="5">
        <v>90.0</v>
      </c>
      <c r="AD17" s="5">
        <v>380.0</v>
      </c>
      <c r="AE17" s="5">
        <v>0.0</v>
      </c>
      <c r="AF17" s="5">
        <v>74.0</v>
      </c>
      <c r="AG17" s="5">
        <v>817.04</v>
      </c>
      <c r="AH17" s="5">
        <v>86.34</v>
      </c>
      <c r="AI17" s="5">
        <v>78.1</v>
      </c>
      <c r="AJ17" s="5">
        <v>31.6</v>
      </c>
      <c r="AK17" s="5">
        <v>490.14</v>
      </c>
      <c r="AL17" s="5">
        <v>11.47</v>
      </c>
      <c r="AM17" s="5">
        <v>80.2</v>
      </c>
      <c r="AN17" s="5">
        <v>31.6</v>
      </c>
      <c r="AO17" s="5">
        <v>501.64</v>
      </c>
      <c r="AP17" s="5">
        <v>12.35</v>
      </c>
      <c r="AQ17" s="5">
        <v>0.88</v>
      </c>
      <c r="AR17" s="5">
        <v>0.245</v>
      </c>
      <c r="AS17" s="5">
        <v>0.116</v>
      </c>
      <c r="AT17" s="5">
        <f>0.5*0.005</f>
        <v>0.0025</v>
      </c>
      <c r="AU17" s="5">
        <v>0.16</v>
      </c>
      <c r="AV17" s="5">
        <v>0.242</v>
      </c>
      <c r="AW17" s="5"/>
      <c r="AX17" s="5">
        <v>2.7</v>
      </c>
      <c r="AY17" s="5">
        <v>213.73</v>
      </c>
      <c r="AZ17" s="5">
        <v>21320.0</v>
      </c>
      <c r="BA17" s="5">
        <v>1760.0</v>
      </c>
      <c r="BB17" s="5"/>
      <c r="BC17" s="5"/>
      <c r="BD17" s="5"/>
      <c r="BE17" s="5">
        <v>20060.0</v>
      </c>
      <c r="BF17" s="5">
        <v>869.0</v>
      </c>
      <c r="BG17" s="5">
        <v>882.0</v>
      </c>
      <c r="BH17" s="5">
        <f t="shared" ref="BH17:BI17" si="67">0.5*10</f>
        <v>5</v>
      </c>
      <c r="BI17" s="5">
        <f t="shared" si="67"/>
        <v>5</v>
      </c>
      <c r="BJ17" s="5">
        <v>4.0</v>
      </c>
      <c r="BK17" s="5">
        <f t="shared" si="42"/>
        <v>0.5</v>
      </c>
      <c r="BL17" s="5">
        <f t="shared" si="43"/>
        <v>0.25</v>
      </c>
      <c r="BM17" s="5">
        <f t="shared" si="23"/>
        <v>25</v>
      </c>
      <c r="BN17" s="5">
        <f t="shared" si="44"/>
        <v>25</v>
      </c>
      <c r="BO17" s="5">
        <f t="shared" si="15"/>
        <v>5</v>
      </c>
      <c r="BP17" s="5">
        <f t="shared" si="45"/>
        <v>5</v>
      </c>
      <c r="BQ17" s="5">
        <v>122.0</v>
      </c>
      <c r="BR17" s="5">
        <v>251.0</v>
      </c>
      <c r="BS17" s="5">
        <f t="shared" si="46"/>
        <v>2.5</v>
      </c>
      <c r="BT17" s="5">
        <f t="shared" si="47"/>
        <v>0.25</v>
      </c>
      <c r="BU17" s="5">
        <v>2.0</v>
      </c>
      <c r="BV17" s="5">
        <v>1.0</v>
      </c>
      <c r="BW17" s="5">
        <v>8.0</v>
      </c>
      <c r="BX17" s="5">
        <f t="shared" si="68"/>
        <v>0.5</v>
      </c>
      <c r="BY17" s="5">
        <f t="shared" si="49"/>
        <v>0.25</v>
      </c>
      <c r="BZ17" s="5">
        <f t="shared" ref="BZ17:CA17" si="69">0.5*50</f>
        <v>25</v>
      </c>
      <c r="CA17" s="5">
        <f t="shared" si="69"/>
        <v>25</v>
      </c>
      <c r="CB17" s="5">
        <f t="shared" ref="CB17:CC17" si="70">0.5*10</f>
        <v>5</v>
      </c>
      <c r="CC17" s="5">
        <f t="shared" si="70"/>
        <v>5</v>
      </c>
      <c r="CD17" s="5">
        <v>136.0</v>
      </c>
      <c r="CE17" s="5">
        <v>908.0</v>
      </c>
      <c r="CF17" s="5">
        <f t="shared" si="51"/>
        <v>2.5</v>
      </c>
      <c r="CG17" s="5">
        <f t="shared" si="52"/>
        <v>0.25</v>
      </c>
      <c r="CH17" s="5">
        <v>2.0</v>
      </c>
      <c r="CI17" s="5">
        <v>1.0</v>
      </c>
      <c r="CJ17" s="5">
        <f t="shared" si="53"/>
        <v>0.01</v>
      </c>
      <c r="CK17" s="5"/>
      <c r="CL17" s="5">
        <f t="shared" ref="CL17:CM17" si="71">0.5*0.001</f>
        <v>0.0005</v>
      </c>
      <c r="CM17" s="5">
        <f t="shared" si="71"/>
        <v>0.0005</v>
      </c>
      <c r="CN17" s="5"/>
      <c r="CO17" s="5">
        <v>0.0</v>
      </c>
      <c r="CP17" s="5"/>
      <c r="CQ17" s="5">
        <v>5792.09</v>
      </c>
      <c r="CR17" s="5"/>
      <c r="CS17" s="5">
        <v>604.65</v>
      </c>
      <c r="CT17" s="5">
        <v>0.0</v>
      </c>
      <c r="CU17" s="5"/>
      <c r="CV17" s="5"/>
      <c r="CW17" s="5">
        <v>186.05</v>
      </c>
      <c r="CX17" s="5"/>
      <c r="CY17" s="5"/>
      <c r="CZ17" s="5"/>
      <c r="DA17" s="5"/>
      <c r="DB17" s="5">
        <v>30558.14</v>
      </c>
    </row>
    <row r="18">
      <c r="A18" s="5" t="s">
        <v>216</v>
      </c>
      <c r="B18" s="5" t="s">
        <v>217</v>
      </c>
      <c r="C18" s="6" t="s">
        <v>218</v>
      </c>
      <c r="D18" s="6" t="s">
        <v>219</v>
      </c>
      <c r="E18" s="6" t="s">
        <v>187</v>
      </c>
      <c r="F18" s="5" t="s">
        <v>111</v>
      </c>
      <c r="G18" s="5" t="s">
        <v>112</v>
      </c>
      <c r="H18" s="5" t="s">
        <v>200</v>
      </c>
      <c r="J18" s="5" t="s">
        <v>220</v>
      </c>
      <c r="K18" s="5" t="s">
        <v>221</v>
      </c>
      <c r="L18" s="5">
        <v>-25.1487</v>
      </c>
      <c r="M18" s="5">
        <v>-59.6794</v>
      </c>
      <c r="N18" s="5"/>
      <c r="O18" s="5"/>
      <c r="P18" s="5">
        <v>414.0</v>
      </c>
      <c r="Q18" s="5">
        <v>312.0</v>
      </c>
      <c r="R18" s="5">
        <v>8.72</v>
      </c>
      <c r="S18" s="5">
        <v>-107.9</v>
      </c>
      <c r="T18" s="5">
        <v>2410.0</v>
      </c>
      <c r="U18" s="5">
        <v>1.2</v>
      </c>
      <c r="V18" s="5">
        <v>35.6</v>
      </c>
      <c r="W18" s="5">
        <v>10.72</v>
      </c>
      <c r="X18" s="5">
        <v>159.6</v>
      </c>
      <c r="Y18" s="5">
        <v>87.5</v>
      </c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>
        <v>316.0</v>
      </c>
      <c r="BG18" s="5">
        <v>422.0</v>
      </c>
      <c r="BH18" s="5">
        <f t="shared" ref="BH18:BI18" si="72">0.5*10</f>
        <v>5</v>
      </c>
      <c r="BI18" s="5">
        <f t="shared" si="72"/>
        <v>5</v>
      </c>
      <c r="BJ18" s="5">
        <v>11.0</v>
      </c>
      <c r="BK18" s="5">
        <f t="shared" si="42"/>
        <v>0.5</v>
      </c>
      <c r="BL18" s="5">
        <f t="shared" si="43"/>
        <v>0.25</v>
      </c>
      <c r="BM18" s="5">
        <f t="shared" si="23"/>
        <v>25</v>
      </c>
      <c r="BN18" s="5">
        <f t="shared" si="44"/>
        <v>25</v>
      </c>
      <c r="BO18" s="5">
        <f t="shared" si="15"/>
        <v>5</v>
      </c>
      <c r="BP18" s="5">
        <f t="shared" si="45"/>
        <v>5</v>
      </c>
      <c r="BQ18" s="5">
        <v>1428.0</v>
      </c>
      <c r="BR18" s="5">
        <f t="shared" ref="BR18:BR25" si="76">0.5*100</f>
        <v>50</v>
      </c>
      <c r="BS18" s="5">
        <f t="shared" si="46"/>
        <v>2.5</v>
      </c>
      <c r="BT18" s="5">
        <f t="shared" si="47"/>
        <v>0.25</v>
      </c>
      <c r="BU18" s="5">
        <v>3.0</v>
      </c>
      <c r="BV18" s="5">
        <f t="shared" ref="BV18:BV27" si="77">0.5*1</f>
        <v>0.5</v>
      </c>
      <c r="BW18" s="5">
        <v>13.0</v>
      </c>
      <c r="BX18" s="5">
        <v>1.0</v>
      </c>
      <c r="BY18" s="5">
        <f t="shared" si="49"/>
        <v>0.25</v>
      </c>
      <c r="BZ18" s="5">
        <f t="shared" ref="BZ18:CA18" si="73">0.5*50</f>
        <v>25</v>
      </c>
      <c r="CA18" s="5">
        <f t="shared" si="73"/>
        <v>25</v>
      </c>
      <c r="CB18" s="5">
        <f t="shared" ref="CB18:CC18" si="74">0.5*10</f>
        <v>5</v>
      </c>
      <c r="CC18" s="5">
        <f t="shared" si="74"/>
        <v>5</v>
      </c>
      <c r="CD18" s="5">
        <v>1729.0</v>
      </c>
      <c r="CE18" s="5">
        <v>2204.0</v>
      </c>
      <c r="CF18" s="5">
        <f t="shared" si="51"/>
        <v>2.5</v>
      </c>
      <c r="CG18" s="5">
        <f t="shared" si="52"/>
        <v>0.25</v>
      </c>
      <c r="CH18" s="5">
        <v>4.0</v>
      </c>
      <c r="CI18" s="5">
        <f t="shared" ref="CI18:CI20" si="80">0.5*1</f>
        <v>0.5</v>
      </c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</row>
    <row r="19">
      <c r="A19" s="5" t="s">
        <v>222</v>
      </c>
      <c r="B19" s="5" t="s">
        <v>223</v>
      </c>
      <c r="C19" s="6" t="s">
        <v>218</v>
      </c>
      <c r="D19" s="6" t="s">
        <v>224</v>
      </c>
      <c r="E19" s="6" t="s">
        <v>187</v>
      </c>
      <c r="F19" s="5" t="s">
        <v>111</v>
      </c>
      <c r="G19" s="5" t="s">
        <v>112</v>
      </c>
      <c r="H19" s="5" t="s">
        <v>225</v>
      </c>
      <c r="J19" s="5" t="s">
        <v>226</v>
      </c>
      <c r="K19" s="5" t="s">
        <v>227</v>
      </c>
      <c r="L19" s="5">
        <v>-24.6963</v>
      </c>
      <c r="M19" s="5">
        <v>-59.8175</v>
      </c>
      <c r="N19" s="5"/>
      <c r="O19" s="5"/>
      <c r="P19" s="5">
        <v>1008.0</v>
      </c>
      <c r="Q19" s="5">
        <v>131.0</v>
      </c>
      <c r="R19" s="5">
        <v>7.74</v>
      </c>
      <c r="S19" s="5">
        <v>-50.55</v>
      </c>
      <c r="T19" s="5">
        <v>991.0</v>
      </c>
      <c r="U19" s="5">
        <v>0.4</v>
      </c>
      <c r="V19" s="5">
        <v>32.2</v>
      </c>
      <c r="W19" s="5">
        <v>4.71</v>
      </c>
      <c r="X19" s="5">
        <v>66.3</v>
      </c>
      <c r="Y19" s="5">
        <v>395.4</v>
      </c>
      <c r="Z19" s="5">
        <v>1042.3</v>
      </c>
      <c r="AA19" s="5">
        <v>703.0</v>
      </c>
      <c r="AB19" s="5">
        <v>339.3</v>
      </c>
      <c r="AC19" s="5">
        <v>90.0</v>
      </c>
      <c r="AD19" s="5">
        <v>280.0</v>
      </c>
      <c r="AE19" s="5">
        <v>0.0</v>
      </c>
      <c r="AF19" s="5">
        <v>228.0</v>
      </c>
      <c r="AG19" s="5">
        <v>76.66</v>
      </c>
      <c r="AH19" s="5">
        <v>176.88</v>
      </c>
      <c r="AI19" s="5">
        <v>52.1</v>
      </c>
      <c r="AJ19" s="5">
        <v>35.2</v>
      </c>
      <c r="AK19" s="5">
        <v>129.17</v>
      </c>
      <c r="AL19" s="5">
        <v>3.93</v>
      </c>
      <c r="AM19" s="5">
        <v>54.1</v>
      </c>
      <c r="AN19" s="5">
        <v>35.3</v>
      </c>
      <c r="AO19" s="5">
        <v>138.39</v>
      </c>
      <c r="AP19" s="5">
        <v>4.36</v>
      </c>
      <c r="AQ19" s="5">
        <v>3.05</v>
      </c>
      <c r="AR19" s="5">
        <v>0.793</v>
      </c>
      <c r="AS19" s="5">
        <v>0.077</v>
      </c>
      <c r="AT19" s="5">
        <v>0.02</v>
      </c>
      <c r="AU19" s="5">
        <v>0.77</v>
      </c>
      <c r="AV19" s="5">
        <v>0.18</v>
      </c>
      <c r="AW19" s="5"/>
      <c r="AX19" s="5">
        <v>2.0</v>
      </c>
      <c r="AY19" s="5">
        <v>92.16</v>
      </c>
      <c r="AZ19" s="5">
        <v>31720.0</v>
      </c>
      <c r="BA19" s="5">
        <v>610.0</v>
      </c>
      <c r="BB19" s="5"/>
      <c r="BC19" s="5"/>
      <c r="BD19" s="5"/>
      <c r="BE19" s="5">
        <v>18910.0</v>
      </c>
      <c r="BF19" s="5">
        <f>0.5*50</f>
        <v>25</v>
      </c>
      <c r="BG19" s="5">
        <v>319.0</v>
      </c>
      <c r="BH19" s="5">
        <f t="shared" ref="BH19:BI19" si="75">0.5*10</f>
        <v>5</v>
      </c>
      <c r="BI19" s="5">
        <f t="shared" si="75"/>
        <v>5</v>
      </c>
      <c r="BJ19" s="5">
        <v>6.0</v>
      </c>
      <c r="BK19" s="5">
        <f t="shared" si="42"/>
        <v>0.5</v>
      </c>
      <c r="BL19" s="5">
        <f t="shared" si="43"/>
        <v>0.25</v>
      </c>
      <c r="BM19" s="5">
        <f t="shared" si="23"/>
        <v>25</v>
      </c>
      <c r="BN19" s="5">
        <f t="shared" si="44"/>
        <v>25</v>
      </c>
      <c r="BO19" s="5">
        <f t="shared" si="15"/>
        <v>5</v>
      </c>
      <c r="BP19" s="5">
        <f t="shared" si="45"/>
        <v>5</v>
      </c>
      <c r="BQ19" s="5">
        <v>944.0</v>
      </c>
      <c r="BR19" s="5">
        <f t="shared" si="76"/>
        <v>50</v>
      </c>
      <c r="BS19" s="5">
        <f t="shared" si="46"/>
        <v>2.5</v>
      </c>
      <c r="BT19" s="5">
        <f t="shared" si="47"/>
        <v>0.25</v>
      </c>
      <c r="BU19" s="5">
        <v>2.0</v>
      </c>
      <c r="BV19" s="5">
        <f t="shared" si="77"/>
        <v>0.5</v>
      </c>
      <c r="BW19" s="5">
        <v>8.0</v>
      </c>
      <c r="BX19" s="5">
        <v>6.0</v>
      </c>
      <c r="BY19" s="5">
        <f t="shared" si="49"/>
        <v>0.25</v>
      </c>
      <c r="BZ19" s="5">
        <f t="shared" ref="BZ19:CA19" si="78">0.5*50</f>
        <v>25</v>
      </c>
      <c r="CA19" s="5">
        <f t="shared" si="78"/>
        <v>25</v>
      </c>
      <c r="CB19" s="5">
        <f t="shared" ref="CB19:CC19" si="79">0.5*10</f>
        <v>5</v>
      </c>
      <c r="CC19" s="5">
        <f t="shared" si="79"/>
        <v>5</v>
      </c>
      <c r="CD19" s="5">
        <v>1021.0</v>
      </c>
      <c r="CE19" s="5">
        <v>6207.0</v>
      </c>
      <c r="CF19" s="5">
        <f t="shared" si="51"/>
        <v>2.5</v>
      </c>
      <c r="CG19" s="5">
        <f t="shared" si="52"/>
        <v>0.25</v>
      </c>
      <c r="CH19" s="5">
        <v>7.0</v>
      </c>
      <c r="CI19" s="5">
        <f t="shared" si="80"/>
        <v>0.5</v>
      </c>
      <c r="CJ19" s="5">
        <f t="shared" ref="CJ19:CJ21" si="85">0.5*0.02</f>
        <v>0.01</v>
      </c>
      <c r="CK19" s="5"/>
      <c r="CL19" s="5">
        <f t="shared" ref="CL19:CM19" si="81">0.5*0.001</f>
        <v>0.0005</v>
      </c>
      <c r="CM19" s="5">
        <f t="shared" si="81"/>
        <v>0.0005</v>
      </c>
      <c r="CN19" s="5"/>
      <c r="CO19" s="5"/>
      <c r="CP19" s="5"/>
      <c r="CQ19" s="5">
        <v>2997.55</v>
      </c>
      <c r="CR19" s="5"/>
      <c r="CS19" s="5">
        <v>940.17</v>
      </c>
      <c r="CT19" s="5">
        <v>14.74</v>
      </c>
      <c r="CU19" s="5"/>
      <c r="CV19" s="5"/>
      <c r="CW19" s="5">
        <v>5.89</v>
      </c>
      <c r="CX19" s="5"/>
      <c r="CY19" s="5">
        <v>17.68</v>
      </c>
      <c r="CZ19" s="5"/>
      <c r="DA19" s="5"/>
      <c r="DB19" s="5">
        <v>18293.55</v>
      </c>
    </row>
    <row r="20">
      <c r="A20" s="5" t="s">
        <v>228</v>
      </c>
      <c r="B20" s="5" t="s">
        <v>229</v>
      </c>
      <c r="C20" s="6" t="s">
        <v>218</v>
      </c>
      <c r="D20" s="6" t="s">
        <v>230</v>
      </c>
      <c r="E20" s="6" t="s">
        <v>187</v>
      </c>
      <c r="F20" s="5" t="s">
        <v>111</v>
      </c>
      <c r="G20" s="5" t="s">
        <v>112</v>
      </c>
      <c r="H20" s="5" t="s">
        <v>231</v>
      </c>
      <c r="I20" s="5" t="s">
        <v>232</v>
      </c>
      <c r="J20" s="5" t="s">
        <v>233</v>
      </c>
      <c r="K20" s="5" t="s">
        <v>234</v>
      </c>
      <c r="L20" s="5">
        <v>-24.3586</v>
      </c>
      <c r="M20" s="5">
        <v>-60.3064</v>
      </c>
      <c r="N20" s="5"/>
      <c r="O20" s="5"/>
      <c r="P20" s="5">
        <v>1000.0</v>
      </c>
      <c r="Q20" s="5">
        <v>22.9</v>
      </c>
      <c r="R20" s="5">
        <v>7.45</v>
      </c>
      <c r="S20" s="5">
        <v>-33.7</v>
      </c>
      <c r="T20" s="5">
        <v>996.0</v>
      </c>
      <c r="U20" s="5">
        <v>0.4</v>
      </c>
      <c r="V20" s="5">
        <v>31.5</v>
      </c>
      <c r="W20" s="5">
        <v>0.81</v>
      </c>
      <c r="X20" s="5">
        <v>11.3</v>
      </c>
      <c r="Y20" s="5">
        <v>8.75</v>
      </c>
      <c r="Z20" s="5">
        <v>725.7</v>
      </c>
      <c r="AA20" s="5">
        <v>717.0</v>
      </c>
      <c r="AB20" s="5">
        <v>8.7</v>
      </c>
      <c r="AC20" s="5">
        <v>120.0</v>
      </c>
      <c r="AD20" s="5">
        <v>305.0</v>
      </c>
      <c r="AE20" s="5">
        <v>0.0</v>
      </c>
      <c r="AF20" s="5">
        <v>228.0</v>
      </c>
      <c r="AG20" s="5">
        <v>76.66</v>
      </c>
      <c r="AH20" s="5">
        <v>198.74</v>
      </c>
      <c r="AI20" s="5">
        <v>108.2</v>
      </c>
      <c r="AJ20" s="5">
        <v>7.29</v>
      </c>
      <c r="AK20" s="5">
        <v>124.31</v>
      </c>
      <c r="AL20" s="5">
        <v>9.41</v>
      </c>
      <c r="AM20" s="5">
        <v>110.2</v>
      </c>
      <c r="AN20" s="5">
        <v>7.3</v>
      </c>
      <c r="AO20" s="5">
        <v>130.05</v>
      </c>
      <c r="AP20" s="5">
        <v>10.49</v>
      </c>
      <c r="AQ20" s="5">
        <v>3.06</v>
      </c>
      <c r="AR20" s="5">
        <v>0.958</v>
      </c>
      <c r="AS20" s="5">
        <v>0.129</v>
      </c>
      <c r="AT20" s="5">
        <f>0.5*0.005</f>
        <v>0.0025</v>
      </c>
      <c r="AU20" s="5">
        <v>0.33</v>
      </c>
      <c r="AV20" s="5">
        <v>0.316</v>
      </c>
      <c r="AW20" s="5"/>
      <c r="AX20" s="5">
        <v>2.6</v>
      </c>
      <c r="AY20" s="5">
        <v>113.73</v>
      </c>
      <c r="AZ20" s="5">
        <v>4880.0</v>
      </c>
      <c r="BA20" s="5">
        <v>3750.0</v>
      </c>
      <c r="BB20" s="5"/>
      <c r="BC20" s="5"/>
      <c r="BD20" s="5"/>
      <c r="BE20" s="5">
        <v>40260.0</v>
      </c>
      <c r="BF20" s="5">
        <v>122.0</v>
      </c>
      <c r="BG20" s="5">
        <v>163.0</v>
      </c>
      <c r="BH20" s="5">
        <f t="shared" ref="BH20:BI20" si="82">0.5*10</f>
        <v>5</v>
      </c>
      <c r="BI20" s="5">
        <f t="shared" si="82"/>
        <v>5</v>
      </c>
      <c r="BJ20" s="5">
        <v>4.0</v>
      </c>
      <c r="BK20" s="5">
        <f t="shared" si="42"/>
        <v>0.5</v>
      </c>
      <c r="BL20" s="5">
        <f t="shared" si="43"/>
        <v>0.25</v>
      </c>
      <c r="BM20" s="5">
        <f t="shared" si="23"/>
        <v>25</v>
      </c>
      <c r="BN20" s="5">
        <f t="shared" si="44"/>
        <v>25</v>
      </c>
      <c r="BO20" s="5">
        <f t="shared" si="15"/>
        <v>5</v>
      </c>
      <c r="BP20" s="5">
        <f t="shared" si="45"/>
        <v>5</v>
      </c>
      <c r="BQ20" s="5">
        <v>819.0</v>
      </c>
      <c r="BR20" s="5">
        <f t="shared" si="76"/>
        <v>50</v>
      </c>
      <c r="BS20" s="5">
        <f t="shared" si="46"/>
        <v>2.5</v>
      </c>
      <c r="BT20" s="5">
        <f t="shared" si="47"/>
        <v>0.25</v>
      </c>
      <c r="BU20" s="5">
        <v>1.0</v>
      </c>
      <c r="BV20" s="5">
        <f t="shared" si="77"/>
        <v>0.5</v>
      </c>
      <c r="BW20" s="5">
        <v>4.0</v>
      </c>
      <c r="BX20" s="5">
        <f>0.5*1</f>
        <v>0.5</v>
      </c>
      <c r="BY20" s="5">
        <f t="shared" si="49"/>
        <v>0.25</v>
      </c>
      <c r="BZ20" s="5">
        <f t="shared" ref="BZ20:CA20" si="83">0.5*50</f>
        <v>25</v>
      </c>
      <c r="CA20" s="5">
        <f t="shared" si="83"/>
        <v>25</v>
      </c>
      <c r="CB20" s="5">
        <f t="shared" ref="CB20:CC20" si="84">0.5*10</f>
        <v>5</v>
      </c>
      <c r="CC20" s="5">
        <f t="shared" si="84"/>
        <v>5</v>
      </c>
      <c r="CD20" s="5">
        <v>894.0</v>
      </c>
      <c r="CE20" s="5">
        <v>347.0</v>
      </c>
      <c r="CF20" s="5">
        <f t="shared" si="51"/>
        <v>2.5</v>
      </c>
      <c r="CG20" s="5">
        <f t="shared" si="52"/>
        <v>0.25</v>
      </c>
      <c r="CH20" s="5">
        <v>1.0</v>
      </c>
      <c r="CI20" s="5">
        <f t="shared" si="80"/>
        <v>0.5</v>
      </c>
      <c r="CJ20" s="5">
        <f t="shared" si="85"/>
        <v>0.01</v>
      </c>
      <c r="CK20" s="5"/>
      <c r="CL20" s="5">
        <f t="shared" ref="CL20:CM20" si="86">0.5*0.001</f>
        <v>0.0005</v>
      </c>
      <c r="CM20" s="5">
        <f t="shared" si="86"/>
        <v>0.0005</v>
      </c>
      <c r="CN20" s="5"/>
      <c r="CO20" s="5"/>
      <c r="CP20" s="5"/>
      <c r="CQ20" s="5">
        <v>101677.01</v>
      </c>
      <c r="CR20" s="5"/>
      <c r="CS20" s="5">
        <v>4712.64</v>
      </c>
      <c r="CT20" s="5">
        <v>0.0</v>
      </c>
      <c r="CU20" s="5"/>
      <c r="CV20" s="5"/>
      <c r="CW20" s="5">
        <v>0.0</v>
      </c>
      <c r="CX20" s="5"/>
      <c r="CY20" s="5"/>
      <c r="CZ20" s="5"/>
      <c r="DA20" s="5"/>
      <c r="DB20" s="5">
        <v>39885.06</v>
      </c>
    </row>
    <row r="21">
      <c r="A21" s="5" t="s">
        <v>235</v>
      </c>
      <c r="B21" s="5" t="s">
        <v>236</v>
      </c>
      <c r="C21" s="6" t="s">
        <v>237</v>
      </c>
      <c r="D21" s="6" t="s">
        <v>238</v>
      </c>
      <c r="E21" s="6" t="s">
        <v>187</v>
      </c>
      <c r="F21" s="5" t="s">
        <v>111</v>
      </c>
      <c r="G21" s="5" t="s">
        <v>112</v>
      </c>
      <c r="H21" s="5" t="s">
        <v>231</v>
      </c>
      <c r="I21" s="5" t="s">
        <v>232</v>
      </c>
      <c r="J21" s="5" t="s">
        <v>239</v>
      </c>
      <c r="K21" s="5" t="s">
        <v>240</v>
      </c>
      <c r="L21" s="5">
        <v>-23.1383</v>
      </c>
      <c r="M21" s="5">
        <v>-61.9642</v>
      </c>
      <c r="N21" s="5"/>
      <c r="O21" s="5"/>
      <c r="P21" s="5">
        <v>1775.0</v>
      </c>
      <c r="Q21" s="5">
        <v>83.0</v>
      </c>
      <c r="R21" s="5">
        <v>7.704</v>
      </c>
      <c r="S21" s="5">
        <v>-48.3</v>
      </c>
      <c r="T21" s="5">
        <v>563.0</v>
      </c>
      <c r="U21" s="5">
        <v>0.2</v>
      </c>
      <c r="V21" s="5">
        <v>29.5</v>
      </c>
      <c r="W21" s="5">
        <v>3.11</v>
      </c>
      <c r="X21" s="5">
        <v>42.0</v>
      </c>
      <c r="Y21" s="5">
        <f>1.5*1100</f>
        <v>1650</v>
      </c>
      <c r="Z21" s="5">
        <v>39755.0</v>
      </c>
      <c r="AA21" s="5">
        <v>175.0</v>
      </c>
      <c r="AB21" s="5">
        <v>39390.0</v>
      </c>
      <c r="AC21" s="5">
        <v>56.0</v>
      </c>
      <c r="AD21" s="5">
        <v>201.8</v>
      </c>
      <c r="AE21" s="5">
        <f t="shared" ref="AE21:AE43" si="88">0.5*0.1</f>
        <v>0.05</v>
      </c>
      <c r="AF21" s="5">
        <v>105.5</v>
      </c>
      <c r="AG21" s="5">
        <v>27.7</v>
      </c>
      <c r="AH21" s="5">
        <v>127.6</v>
      </c>
      <c r="AI21" s="5">
        <v>51.9</v>
      </c>
      <c r="AJ21" s="5">
        <v>17.3</v>
      </c>
      <c r="AK21" s="5">
        <v>30.4</v>
      </c>
      <c r="AL21" s="5">
        <v>4.89</v>
      </c>
      <c r="AM21" s="5">
        <v>177.7</v>
      </c>
      <c r="AN21" s="5">
        <v>98.5</v>
      </c>
      <c r="AO21" s="5">
        <v>52.5</v>
      </c>
      <c r="AP21" s="5">
        <v>24.0</v>
      </c>
      <c r="AQ21" s="5">
        <v>0.23</v>
      </c>
      <c r="AR21" s="5">
        <v>0.1</v>
      </c>
      <c r="AS21" s="5">
        <f>0.5*0.3</f>
        <v>0.15</v>
      </c>
      <c r="AT21" s="5">
        <f>0.5*0.01</f>
        <v>0.005</v>
      </c>
      <c r="AU21" s="5">
        <v>3.9</v>
      </c>
      <c r="AV21" s="5">
        <v>0.83</v>
      </c>
      <c r="AW21" s="5"/>
      <c r="AX21" s="5">
        <v>10.0</v>
      </c>
      <c r="AY21" s="5">
        <v>27.4</v>
      </c>
      <c r="AZ21" s="5"/>
      <c r="BA21" s="5"/>
      <c r="BB21" s="5"/>
      <c r="BC21" s="5">
        <v>7000.0</v>
      </c>
      <c r="BD21" s="5">
        <v>200000.0</v>
      </c>
      <c r="BE21" s="7">
        <v>3.3E7</v>
      </c>
      <c r="BF21" s="5">
        <f>0.5*50</f>
        <v>25</v>
      </c>
      <c r="BG21" s="5">
        <v>16347.0</v>
      </c>
      <c r="BH21" s="5">
        <f t="shared" ref="BH21:BI21" si="87">0.5*10</f>
        <v>5</v>
      </c>
      <c r="BI21" s="5">
        <f t="shared" si="87"/>
        <v>5</v>
      </c>
      <c r="BJ21" s="5">
        <v>1.0</v>
      </c>
      <c r="BK21" s="5">
        <f t="shared" si="42"/>
        <v>0.5</v>
      </c>
      <c r="BL21" s="5">
        <f t="shared" si="43"/>
        <v>0.25</v>
      </c>
      <c r="BM21" s="5">
        <f t="shared" si="23"/>
        <v>25</v>
      </c>
      <c r="BN21" s="5">
        <f t="shared" si="44"/>
        <v>25</v>
      </c>
      <c r="BO21" s="5">
        <f t="shared" si="15"/>
        <v>5</v>
      </c>
      <c r="BP21" s="5">
        <f t="shared" si="45"/>
        <v>5</v>
      </c>
      <c r="BQ21" s="5">
        <v>517.0</v>
      </c>
      <c r="BR21" s="5">
        <f t="shared" si="76"/>
        <v>50</v>
      </c>
      <c r="BS21" s="5">
        <f t="shared" si="46"/>
        <v>2.5</v>
      </c>
      <c r="BT21" s="5">
        <f t="shared" si="47"/>
        <v>0.25</v>
      </c>
      <c r="BU21" s="5">
        <v>2.0</v>
      </c>
      <c r="BV21" s="5">
        <f t="shared" si="77"/>
        <v>0.5</v>
      </c>
      <c r="BW21" s="5">
        <v>320.0</v>
      </c>
      <c r="BX21" s="5">
        <v>499.0</v>
      </c>
      <c r="BY21" s="5">
        <v>0.8</v>
      </c>
      <c r="BZ21" s="5">
        <v>2531.0</v>
      </c>
      <c r="CA21" s="5">
        <f>0.5*50</f>
        <v>25</v>
      </c>
      <c r="CB21" s="5">
        <v>540.0</v>
      </c>
      <c r="CC21" s="5">
        <v>608.0</v>
      </c>
      <c r="CD21" s="5">
        <v>1111.0</v>
      </c>
      <c r="CE21" s="5">
        <v>1356310.0</v>
      </c>
      <c r="CF21" s="5">
        <f t="shared" si="51"/>
        <v>2.5</v>
      </c>
      <c r="CG21" s="5">
        <v>4.5</v>
      </c>
      <c r="CH21" s="5">
        <v>741.0</v>
      </c>
      <c r="CI21" s="5">
        <v>21.0</v>
      </c>
      <c r="CJ21" s="5">
        <f t="shared" si="85"/>
        <v>0.01</v>
      </c>
      <c r="CK21" s="5"/>
      <c r="CL21" s="5">
        <f>0.5*1</f>
        <v>0.5</v>
      </c>
      <c r="CM21" s="5"/>
      <c r="CN21" s="5"/>
      <c r="CO21" s="5">
        <v>0.53</v>
      </c>
      <c r="CP21" s="5"/>
      <c r="CQ21" s="5">
        <v>28.08</v>
      </c>
      <c r="CR21" s="5">
        <v>13.71</v>
      </c>
      <c r="CS21" s="5">
        <v>415.0</v>
      </c>
      <c r="CT21" s="5">
        <v>18.76</v>
      </c>
      <c r="CU21" s="5">
        <v>15.44</v>
      </c>
      <c r="CV21" s="5">
        <v>64.25</v>
      </c>
      <c r="CW21" s="5">
        <v>8.1</v>
      </c>
      <c r="CX21" s="5">
        <v>0.11</v>
      </c>
      <c r="CY21" s="5">
        <v>12.67</v>
      </c>
      <c r="CZ21" s="5"/>
      <c r="DA21" s="5">
        <v>0.02</v>
      </c>
      <c r="DB21" s="5">
        <v>34432.88</v>
      </c>
    </row>
    <row r="22">
      <c r="A22" s="5" t="s">
        <v>241</v>
      </c>
      <c r="B22" s="5" t="s">
        <v>242</v>
      </c>
      <c r="C22" s="6" t="s">
        <v>243</v>
      </c>
      <c r="D22" s="6" t="s">
        <v>244</v>
      </c>
      <c r="E22" s="6" t="s">
        <v>245</v>
      </c>
      <c r="F22" s="5" t="s">
        <v>111</v>
      </c>
      <c r="G22" s="5" t="s">
        <v>112</v>
      </c>
      <c r="H22" s="5" t="s">
        <v>241</v>
      </c>
      <c r="I22" s="5" t="s">
        <v>160</v>
      </c>
      <c r="J22" s="5" t="s">
        <v>246</v>
      </c>
      <c r="K22" s="5" t="s">
        <v>247</v>
      </c>
      <c r="L22" s="5">
        <v>-22.0975</v>
      </c>
      <c r="M22" s="5">
        <v>-65.586</v>
      </c>
      <c r="N22" s="5"/>
      <c r="O22" s="5"/>
      <c r="P22" s="5">
        <v>1130.0</v>
      </c>
      <c r="Q22" s="5">
        <v>67.75</v>
      </c>
      <c r="R22" s="5">
        <v>7.87</v>
      </c>
      <c r="S22" s="5">
        <v>-56.95</v>
      </c>
      <c r="T22" s="5">
        <v>889.5</v>
      </c>
      <c r="U22" s="5">
        <v>0.4</v>
      </c>
      <c r="V22" s="5">
        <v>27.0</v>
      </c>
      <c r="W22" s="5">
        <v>2.61</v>
      </c>
      <c r="X22" s="5">
        <v>50.1</v>
      </c>
      <c r="Y22" s="5">
        <v>73.0</v>
      </c>
      <c r="Z22" s="5">
        <v>560.0</v>
      </c>
      <c r="AA22" s="5">
        <v>548.0</v>
      </c>
      <c r="AB22" s="5">
        <v>9.0</v>
      </c>
      <c r="AC22" s="5">
        <v>23.0</v>
      </c>
      <c r="AD22" s="5">
        <v>197.9</v>
      </c>
      <c r="AE22" s="5">
        <f t="shared" si="88"/>
        <v>0.05</v>
      </c>
      <c r="AF22" s="5">
        <v>205.0</v>
      </c>
      <c r="AG22" s="5">
        <v>36.3</v>
      </c>
      <c r="AH22" s="5">
        <v>102.0</v>
      </c>
      <c r="AI22" s="5">
        <v>71.81</v>
      </c>
      <c r="AJ22" s="5">
        <v>13.72</v>
      </c>
      <c r="AK22" s="5">
        <v>29.76</v>
      </c>
      <c r="AL22" s="5">
        <v>26.24</v>
      </c>
      <c r="AM22" s="5">
        <v>72.32</v>
      </c>
      <c r="AN22" s="5">
        <v>13.9</v>
      </c>
      <c r="AO22" s="5">
        <v>30.61</v>
      </c>
      <c r="AP22" s="5">
        <v>26.33</v>
      </c>
      <c r="AQ22" s="5">
        <v>5.0</v>
      </c>
      <c r="AR22" s="5">
        <v>4.7</v>
      </c>
      <c r="AS22" s="5">
        <v>31.2</v>
      </c>
      <c r="AT22" s="5">
        <v>0.011</v>
      </c>
      <c r="AU22" s="5">
        <v>1.8</v>
      </c>
      <c r="AV22" s="5">
        <v>55.4</v>
      </c>
      <c r="AW22" s="5">
        <v>21.2</v>
      </c>
      <c r="AX22" s="5">
        <v>38.2</v>
      </c>
      <c r="AY22" s="5">
        <v>83.0</v>
      </c>
      <c r="AZ22" s="5">
        <v>290.0</v>
      </c>
      <c r="BA22" s="5">
        <v>190.0</v>
      </c>
      <c r="BB22" s="5"/>
      <c r="BC22" s="5"/>
      <c r="BD22" s="5"/>
      <c r="BE22" s="5">
        <v>58000.0</v>
      </c>
      <c r="BF22" s="5">
        <v>135.0</v>
      </c>
      <c r="BG22" s="5">
        <v>140.0</v>
      </c>
      <c r="BH22" s="5">
        <f t="shared" ref="BH22:BI22" si="89">0.5*10</f>
        <v>5</v>
      </c>
      <c r="BI22" s="5">
        <f t="shared" si="89"/>
        <v>5</v>
      </c>
      <c r="BJ22" s="5">
        <v>18.0</v>
      </c>
      <c r="BK22" s="5">
        <f t="shared" si="42"/>
        <v>0.5</v>
      </c>
      <c r="BL22" s="5">
        <f t="shared" si="43"/>
        <v>0.25</v>
      </c>
      <c r="BM22" s="5">
        <f t="shared" si="23"/>
        <v>25</v>
      </c>
      <c r="BN22" s="5">
        <f t="shared" si="44"/>
        <v>25</v>
      </c>
      <c r="BO22" s="5">
        <f t="shared" si="15"/>
        <v>5</v>
      </c>
      <c r="BP22" s="5">
        <f t="shared" si="45"/>
        <v>5</v>
      </c>
      <c r="BQ22" s="5">
        <v>1217.0</v>
      </c>
      <c r="BR22" s="5">
        <f t="shared" si="76"/>
        <v>50</v>
      </c>
      <c r="BS22" s="5">
        <f t="shared" si="46"/>
        <v>2.5</v>
      </c>
      <c r="BT22" s="5">
        <f t="shared" si="47"/>
        <v>0.25</v>
      </c>
      <c r="BU22" s="5">
        <v>2.0</v>
      </c>
      <c r="BV22" s="5">
        <f t="shared" si="77"/>
        <v>0.5</v>
      </c>
      <c r="BW22" s="5">
        <v>18.0</v>
      </c>
      <c r="BX22" s="5">
        <f>0.5*1</f>
        <v>0.5</v>
      </c>
      <c r="BY22" s="5">
        <f t="shared" ref="BY22:BY24" si="93">0.5*0.5</f>
        <v>0.25</v>
      </c>
      <c r="BZ22" s="5">
        <f t="shared" ref="BZ22:CA22" si="90">0.5*50</f>
        <v>25</v>
      </c>
      <c r="CA22" s="5">
        <f t="shared" si="90"/>
        <v>25</v>
      </c>
      <c r="CB22" s="5">
        <f t="shared" ref="CB22:CC22" si="91">0.5*10</f>
        <v>5</v>
      </c>
      <c r="CC22" s="5">
        <f t="shared" si="91"/>
        <v>5</v>
      </c>
      <c r="CD22" s="5">
        <v>1337.0</v>
      </c>
      <c r="CE22" s="5">
        <v>1386.0</v>
      </c>
      <c r="CF22" s="5">
        <f t="shared" si="51"/>
        <v>2.5</v>
      </c>
      <c r="CG22" s="5">
        <v>0.5</v>
      </c>
      <c r="CH22" s="5">
        <v>3.0</v>
      </c>
      <c r="CI22" s="5">
        <f>0.5*1</f>
        <v>0.5</v>
      </c>
      <c r="CJ22" s="5"/>
      <c r="CK22" s="5">
        <f t="shared" ref="CK22:CK32" si="94">0.5*0.002</f>
        <v>0.001</v>
      </c>
      <c r="CL22" s="5">
        <f t="shared" ref="CL22:CL37" si="95">0.5*0.005</f>
        <v>0.0025</v>
      </c>
      <c r="CM22" s="5">
        <v>0.05</v>
      </c>
      <c r="CN22" s="5"/>
      <c r="CO22" s="5"/>
      <c r="CP22" s="5"/>
      <c r="CQ22" s="5">
        <v>145640.0</v>
      </c>
      <c r="CR22" s="5"/>
      <c r="CS22" s="5">
        <v>555.56</v>
      </c>
      <c r="CT22" s="5">
        <v>111.11</v>
      </c>
      <c r="CU22" s="5"/>
      <c r="CV22" s="5"/>
      <c r="CW22" s="5">
        <v>0.0</v>
      </c>
      <c r="CX22" s="5">
        <v>55.56</v>
      </c>
      <c r="CY22" s="5"/>
      <c r="CZ22" s="5"/>
      <c r="DA22" s="5"/>
      <c r="DB22" s="5">
        <v>154000.0</v>
      </c>
    </row>
    <row r="23">
      <c r="A23" s="5" t="s">
        <v>248</v>
      </c>
      <c r="B23" s="5" t="s">
        <v>249</v>
      </c>
      <c r="C23" s="6" t="s">
        <v>243</v>
      </c>
      <c r="D23" s="6" t="s">
        <v>230</v>
      </c>
      <c r="E23" s="6" t="s">
        <v>245</v>
      </c>
      <c r="F23" s="5" t="s">
        <v>111</v>
      </c>
      <c r="G23" s="5" t="s">
        <v>112</v>
      </c>
      <c r="H23" s="5" t="s">
        <v>250</v>
      </c>
      <c r="J23" s="5" t="s">
        <v>251</v>
      </c>
      <c r="K23" s="5" t="s">
        <v>252</v>
      </c>
      <c r="L23" s="5">
        <v>-22.53</v>
      </c>
      <c r="M23" s="5">
        <v>-66.3493</v>
      </c>
      <c r="N23" s="5"/>
      <c r="O23" s="5"/>
      <c r="P23" s="5">
        <v>2290.0</v>
      </c>
      <c r="Q23" s="5">
        <v>132.6</v>
      </c>
      <c r="R23" s="5">
        <v>8.125</v>
      </c>
      <c r="S23" s="5">
        <v>-67.5</v>
      </c>
      <c r="T23" s="5">
        <v>437.0</v>
      </c>
      <c r="U23" s="5">
        <v>0.1</v>
      </c>
      <c r="V23" s="5">
        <v>10.2</v>
      </c>
      <c r="W23" s="5">
        <v>7.1</v>
      </c>
      <c r="X23" s="5">
        <v>100.0</v>
      </c>
      <c r="Y23" s="5">
        <v>846.0</v>
      </c>
      <c r="Z23" s="5">
        <v>690.0</v>
      </c>
      <c r="AA23" s="5">
        <v>314.0</v>
      </c>
      <c r="AB23" s="5">
        <v>372.0</v>
      </c>
      <c r="AC23" s="5">
        <v>41.0</v>
      </c>
      <c r="AD23" s="5">
        <v>115.6</v>
      </c>
      <c r="AE23" s="5">
        <f t="shared" si="88"/>
        <v>0.05</v>
      </c>
      <c r="AF23" s="5">
        <v>56.3</v>
      </c>
      <c r="AG23" s="5">
        <v>54.8</v>
      </c>
      <c r="AH23" s="5">
        <v>70.0</v>
      </c>
      <c r="AI23" s="5">
        <v>38.21</v>
      </c>
      <c r="AJ23" s="5">
        <v>14.42</v>
      </c>
      <c r="AK23" s="5">
        <v>19.37</v>
      </c>
      <c r="AL23" s="5">
        <v>7.06</v>
      </c>
      <c r="AM23" s="5">
        <v>42.62</v>
      </c>
      <c r="AN23" s="5">
        <v>17.3</v>
      </c>
      <c r="AO23" s="5">
        <v>21.85</v>
      </c>
      <c r="AP23" s="5">
        <v>8.56</v>
      </c>
      <c r="AQ23" s="5">
        <v>0.2</v>
      </c>
      <c r="AR23" s="5">
        <v>0.2</v>
      </c>
      <c r="AS23" s="5">
        <v>1.8</v>
      </c>
      <c r="AT23" s="5">
        <v>0.014</v>
      </c>
      <c r="AU23" s="5">
        <v>2.2</v>
      </c>
      <c r="AV23" s="5">
        <v>3.2</v>
      </c>
      <c r="AW23" s="5">
        <v>2.9</v>
      </c>
      <c r="AX23" s="5">
        <v>2.8</v>
      </c>
      <c r="AY23" s="5">
        <v>8.0</v>
      </c>
      <c r="AZ23" s="5">
        <v>24.0</v>
      </c>
      <c r="BA23" s="5">
        <v>12.0</v>
      </c>
      <c r="BB23" s="5"/>
      <c r="BC23" s="5"/>
      <c r="BD23" s="5"/>
      <c r="BE23" s="5">
        <v>3000.0</v>
      </c>
      <c r="BF23" s="5">
        <f t="shared" ref="BF23:BF25" si="96">0.5*50</f>
        <v>25</v>
      </c>
      <c r="BG23" s="5">
        <v>754.0</v>
      </c>
      <c r="BH23" s="5">
        <f t="shared" ref="BH23:BI23" si="92">0.5*10</f>
        <v>5</v>
      </c>
      <c r="BI23" s="5">
        <f t="shared" si="92"/>
        <v>5</v>
      </c>
      <c r="BJ23" s="5">
        <v>11.0</v>
      </c>
      <c r="BK23" s="5">
        <f t="shared" si="42"/>
        <v>0.5</v>
      </c>
      <c r="BL23" s="5">
        <f t="shared" si="43"/>
        <v>0.25</v>
      </c>
      <c r="BM23" s="5">
        <v>153.0</v>
      </c>
      <c r="BN23" s="5">
        <f t="shared" si="44"/>
        <v>25</v>
      </c>
      <c r="BO23" s="5">
        <f t="shared" si="15"/>
        <v>5</v>
      </c>
      <c r="BP23" s="5">
        <f t="shared" si="45"/>
        <v>5</v>
      </c>
      <c r="BQ23" s="5">
        <v>5617.0</v>
      </c>
      <c r="BR23" s="5">
        <f t="shared" si="76"/>
        <v>50</v>
      </c>
      <c r="BS23" s="5">
        <f t="shared" si="46"/>
        <v>2.5</v>
      </c>
      <c r="BT23" s="5">
        <v>1.0</v>
      </c>
      <c r="BU23" s="5">
        <v>4.0</v>
      </c>
      <c r="BV23" s="5">
        <f t="shared" si="77"/>
        <v>0.5</v>
      </c>
      <c r="BW23" s="5">
        <v>71.0</v>
      </c>
      <c r="BX23" s="5">
        <v>33.0</v>
      </c>
      <c r="BY23" s="5">
        <f t="shared" si="93"/>
        <v>0.25</v>
      </c>
      <c r="BZ23" s="5">
        <v>2290.0</v>
      </c>
      <c r="CA23" s="5">
        <f t="shared" ref="CA23:CA34" si="98">0.5*50</f>
        <v>25</v>
      </c>
      <c r="CB23" s="5">
        <v>39.0</v>
      </c>
      <c r="CC23" s="5">
        <v>45.0</v>
      </c>
      <c r="CD23" s="5">
        <v>5621.0</v>
      </c>
      <c r="CE23" s="5">
        <v>37324.0</v>
      </c>
      <c r="CF23" s="5">
        <f t="shared" si="51"/>
        <v>2.5</v>
      </c>
      <c r="CG23" s="5">
        <v>8.2</v>
      </c>
      <c r="CH23" s="5">
        <v>31.0</v>
      </c>
      <c r="CI23" s="5">
        <v>2.0</v>
      </c>
      <c r="CJ23" s="5"/>
      <c r="CK23" s="5">
        <f t="shared" si="94"/>
        <v>0.001</v>
      </c>
      <c r="CL23" s="5">
        <f t="shared" si="95"/>
        <v>0.0025</v>
      </c>
      <c r="CM23" s="5">
        <f>0.5*0.002</f>
        <v>0.001</v>
      </c>
      <c r="CN23" s="5"/>
      <c r="CO23" s="5">
        <v>5.38</v>
      </c>
      <c r="CP23" s="5"/>
      <c r="CQ23" s="5">
        <v>15091.24</v>
      </c>
      <c r="CR23" s="5">
        <v>104.84</v>
      </c>
      <c r="CS23" s="5">
        <v>2026.88</v>
      </c>
      <c r="CT23" s="5">
        <v>72.58</v>
      </c>
      <c r="CU23" s="5">
        <v>120.97</v>
      </c>
      <c r="CV23" s="5">
        <v>5744.62</v>
      </c>
      <c r="CW23" s="5">
        <v>161.29</v>
      </c>
      <c r="CX23" s="5">
        <v>19.35</v>
      </c>
      <c r="CY23" s="5">
        <v>88.71</v>
      </c>
      <c r="CZ23" s="5"/>
      <c r="DA23" s="5"/>
      <c r="DB23" s="5">
        <v>100333.33</v>
      </c>
    </row>
    <row r="24">
      <c r="A24" s="5" t="s">
        <v>253</v>
      </c>
      <c r="B24" s="5" t="s">
        <v>254</v>
      </c>
      <c r="C24" s="6" t="s">
        <v>255</v>
      </c>
      <c r="D24" s="6" t="s">
        <v>256</v>
      </c>
      <c r="E24" s="6" t="s">
        <v>245</v>
      </c>
      <c r="F24" s="5" t="s">
        <v>111</v>
      </c>
      <c r="G24" s="5" t="s">
        <v>112</v>
      </c>
      <c r="H24" s="5" t="s">
        <v>159</v>
      </c>
      <c r="I24" s="5" t="s">
        <v>160</v>
      </c>
      <c r="J24" s="5" t="s">
        <v>257</v>
      </c>
      <c r="K24" s="5" t="s">
        <v>258</v>
      </c>
      <c r="L24" s="5">
        <v>-21.5614</v>
      </c>
      <c r="M24" s="5">
        <v>-65.6478</v>
      </c>
      <c r="N24" s="5"/>
      <c r="O24" s="5"/>
      <c r="P24" s="5">
        <v>2000.0</v>
      </c>
      <c r="Q24" s="5">
        <v>141.9</v>
      </c>
      <c r="R24" s="5">
        <v>7.98</v>
      </c>
      <c r="S24" s="5">
        <v>-62.15</v>
      </c>
      <c r="T24" s="5">
        <v>500.0</v>
      </c>
      <c r="U24" s="5">
        <v>0.2</v>
      </c>
      <c r="V24" s="5">
        <v>20.8</v>
      </c>
      <c r="W24" s="5">
        <v>6.13</v>
      </c>
      <c r="X24" s="5">
        <v>97.0</v>
      </c>
      <c r="Y24" s="5">
        <f t="shared" ref="Y24:Y28" si="99">1.5*1100</f>
        <v>1650</v>
      </c>
      <c r="Z24" s="5">
        <v>950.0</v>
      </c>
      <c r="AA24" s="5">
        <v>390.0</v>
      </c>
      <c r="AB24" s="5">
        <v>532.0</v>
      </c>
      <c r="AC24" s="5">
        <v>13.0</v>
      </c>
      <c r="AD24" s="5">
        <v>218.2</v>
      </c>
      <c r="AE24" s="5">
        <f t="shared" si="88"/>
        <v>0.05</v>
      </c>
      <c r="AF24" s="5">
        <v>78.4</v>
      </c>
      <c r="AG24" s="5">
        <v>25.5</v>
      </c>
      <c r="AH24" s="5">
        <v>135.0</v>
      </c>
      <c r="AI24" s="5">
        <v>56.92</v>
      </c>
      <c r="AJ24" s="5">
        <v>23.33</v>
      </c>
      <c r="AK24" s="5">
        <v>10.73</v>
      </c>
      <c r="AL24" s="5">
        <v>3.72</v>
      </c>
      <c r="AM24" s="5">
        <v>59.14</v>
      </c>
      <c r="AN24" s="5">
        <v>24.28</v>
      </c>
      <c r="AO24" s="5">
        <v>12.77</v>
      </c>
      <c r="AP24" s="5">
        <v>6.77</v>
      </c>
      <c r="AQ24" s="5">
        <v>1.2</v>
      </c>
      <c r="AR24" s="5">
        <v>0.2</v>
      </c>
      <c r="AS24" s="5">
        <v>1.8</v>
      </c>
      <c r="AT24" s="5">
        <v>0.006</v>
      </c>
      <c r="AU24" s="5">
        <v>4.9</v>
      </c>
      <c r="AV24" s="5">
        <v>3.2</v>
      </c>
      <c r="AW24" s="5">
        <v>7.7</v>
      </c>
      <c r="AX24" s="5">
        <v>8.4</v>
      </c>
      <c r="AY24" s="5">
        <v>20.0</v>
      </c>
      <c r="AZ24" s="5">
        <v>180.0</v>
      </c>
      <c r="BA24" s="5">
        <v>120.0</v>
      </c>
      <c r="BB24" s="5"/>
      <c r="BC24" s="5"/>
      <c r="BD24" s="5"/>
      <c r="BE24" s="5">
        <v>28000.0</v>
      </c>
      <c r="BF24" s="5">
        <f t="shared" si="96"/>
        <v>25</v>
      </c>
      <c r="BG24" s="5">
        <v>13022.0</v>
      </c>
      <c r="BH24" s="5">
        <f t="shared" ref="BH24:BH50" si="100">0.5*10</f>
        <v>5</v>
      </c>
      <c r="BI24" s="5">
        <v>30.0</v>
      </c>
      <c r="BJ24" s="5">
        <v>4.0</v>
      </c>
      <c r="BK24" s="5">
        <f t="shared" si="42"/>
        <v>0.5</v>
      </c>
      <c r="BL24" s="5">
        <f t="shared" si="43"/>
        <v>0.25</v>
      </c>
      <c r="BM24" s="5">
        <f t="shared" ref="BM24:BN24" si="97">0.5*50</f>
        <v>25</v>
      </c>
      <c r="BN24" s="5">
        <f t="shared" si="97"/>
        <v>25</v>
      </c>
      <c r="BO24" s="5">
        <f t="shared" si="15"/>
        <v>5</v>
      </c>
      <c r="BP24" s="5">
        <f t="shared" si="45"/>
        <v>5</v>
      </c>
      <c r="BQ24" s="5">
        <v>2195.0</v>
      </c>
      <c r="BR24" s="5">
        <f t="shared" si="76"/>
        <v>50</v>
      </c>
      <c r="BS24" s="5">
        <f t="shared" si="46"/>
        <v>2.5</v>
      </c>
      <c r="BT24" s="5">
        <f t="shared" ref="BT24:BT25" si="103">0.5*0.5</f>
        <v>0.25</v>
      </c>
      <c r="BU24" s="5">
        <v>1.0</v>
      </c>
      <c r="BV24" s="5">
        <f t="shared" si="77"/>
        <v>0.5</v>
      </c>
      <c r="BW24" s="5">
        <v>290.0</v>
      </c>
      <c r="BX24" s="5">
        <v>543.0</v>
      </c>
      <c r="BY24" s="5">
        <f t="shared" si="93"/>
        <v>0.25</v>
      </c>
      <c r="BZ24" s="5">
        <v>2479.0</v>
      </c>
      <c r="CA24" s="5">
        <f t="shared" si="98"/>
        <v>25</v>
      </c>
      <c r="CB24" s="5">
        <v>492.0</v>
      </c>
      <c r="CC24" s="5">
        <v>398.0</v>
      </c>
      <c r="CD24" s="5">
        <v>2960.0</v>
      </c>
      <c r="CE24" s="5">
        <v>872284.0</v>
      </c>
      <c r="CF24" s="5">
        <v>7.0</v>
      </c>
      <c r="CG24" s="5">
        <v>7.7</v>
      </c>
      <c r="CH24" s="5">
        <v>478.0</v>
      </c>
      <c r="CI24" s="5">
        <v>18.0</v>
      </c>
      <c r="CJ24" s="5"/>
      <c r="CK24" s="5">
        <f t="shared" si="94"/>
        <v>0.001</v>
      </c>
      <c r="CL24" s="5">
        <f t="shared" si="95"/>
        <v>0.0025</v>
      </c>
      <c r="CM24" s="5">
        <v>0.004</v>
      </c>
      <c r="CN24" s="5">
        <v>56.39</v>
      </c>
      <c r="CO24" s="5">
        <v>33.83</v>
      </c>
      <c r="CP24" s="5"/>
      <c r="CQ24" s="5">
        <v>5556.92</v>
      </c>
      <c r="CR24" s="5">
        <v>924.81</v>
      </c>
      <c r="CS24" s="5">
        <v>24477.44</v>
      </c>
      <c r="CT24" s="5">
        <v>896.62</v>
      </c>
      <c r="CU24" s="5">
        <v>748.12</v>
      </c>
      <c r="CV24" s="5">
        <v>4659.77</v>
      </c>
      <c r="CW24" s="5">
        <v>537.59</v>
      </c>
      <c r="CX24" s="5">
        <v>14.47</v>
      </c>
      <c r="CY24" s="5">
        <v>1020.68</v>
      </c>
      <c r="CZ24" s="5">
        <v>13.16</v>
      </c>
      <c r="DA24" s="5"/>
      <c r="DB24" s="5">
        <v>1639631.58</v>
      </c>
    </row>
    <row r="25">
      <c r="A25" s="5" t="s">
        <v>259</v>
      </c>
      <c r="B25" s="5" t="s">
        <v>260</v>
      </c>
      <c r="C25" s="6" t="s">
        <v>255</v>
      </c>
      <c r="D25" s="6" t="s">
        <v>224</v>
      </c>
      <c r="E25" s="6" t="s">
        <v>245</v>
      </c>
      <c r="F25" s="5" t="s">
        <v>111</v>
      </c>
      <c r="G25" s="5" t="s">
        <v>112</v>
      </c>
      <c r="H25" s="5" t="s">
        <v>261</v>
      </c>
      <c r="I25" s="5" t="s">
        <v>160</v>
      </c>
      <c r="J25" s="5" t="s">
        <v>262</v>
      </c>
      <c r="K25" s="5" t="s">
        <v>263</v>
      </c>
      <c r="L25" s="5">
        <v>-21.4692</v>
      </c>
      <c r="M25" s="5">
        <v>-65.7148</v>
      </c>
      <c r="N25" s="5"/>
      <c r="O25" s="5"/>
      <c r="P25" s="5">
        <v>1802.0</v>
      </c>
      <c r="Q25" s="5">
        <v>144.0</v>
      </c>
      <c r="R25" s="5">
        <v>7.928</v>
      </c>
      <c r="S25" s="5">
        <v>-59.5</v>
      </c>
      <c r="T25" s="5">
        <v>555.0</v>
      </c>
      <c r="U25" s="5">
        <v>0.2</v>
      </c>
      <c r="V25" s="5">
        <v>22.1</v>
      </c>
      <c r="W25" s="5">
        <v>6.09</v>
      </c>
      <c r="X25" s="5">
        <v>99.6</v>
      </c>
      <c r="Y25" s="5">
        <f t="shared" si="99"/>
        <v>1650</v>
      </c>
      <c r="Z25" s="5">
        <v>753.0</v>
      </c>
      <c r="AA25" s="5">
        <v>378.0</v>
      </c>
      <c r="AB25" s="5">
        <v>370.0</v>
      </c>
      <c r="AC25" s="5">
        <v>5.0</v>
      </c>
      <c r="AD25" s="5">
        <v>219.3</v>
      </c>
      <c r="AE25" s="5">
        <f t="shared" si="88"/>
        <v>0.05</v>
      </c>
      <c r="AF25" s="5">
        <v>62.3</v>
      </c>
      <c r="AG25" s="5">
        <v>19.6</v>
      </c>
      <c r="AH25" s="5">
        <v>185.0</v>
      </c>
      <c r="AI25" s="5">
        <v>60.8</v>
      </c>
      <c r="AJ25" s="5">
        <v>23.92</v>
      </c>
      <c r="AK25" s="5">
        <v>6.29</v>
      </c>
      <c r="AL25" s="5">
        <v>4.23</v>
      </c>
      <c r="AM25" s="5">
        <v>66.82</v>
      </c>
      <c r="AN25" s="5">
        <v>25.78</v>
      </c>
      <c r="AO25" s="5">
        <v>7.57</v>
      </c>
      <c r="AP25" s="5">
        <v>7.74</v>
      </c>
      <c r="AQ25" s="5">
        <v>0.1</v>
      </c>
      <c r="AR25" s="5">
        <v>0.1</v>
      </c>
      <c r="AS25" s="5">
        <v>1.0</v>
      </c>
      <c r="AT25" s="5">
        <v>0.01</v>
      </c>
      <c r="AU25" s="5">
        <v>5.3</v>
      </c>
      <c r="AV25" s="5">
        <v>1.8</v>
      </c>
      <c r="AW25" s="5">
        <v>6.5</v>
      </c>
      <c r="AX25" s="5">
        <v>7.8</v>
      </c>
      <c r="AY25" s="5">
        <v>21.0</v>
      </c>
      <c r="AZ25" s="5">
        <v>230.0</v>
      </c>
      <c r="BA25" s="5">
        <v>140.0</v>
      </c>
      <c r="BB25" s="5"/>
      <c r="BC25" s="5"/>
      <c r="BD25" s="5"/>
      <c r="BE25" s="5">
        <v>57000.0</v>
      </c>
      <c r="BF25" s="5">
        <f t="shared" si="96"/>
        <v>25</v>
      </c>
      <c r="BG25" s="5">
        <v>17114.0</v>
      </c>
      <c r="BH25" s="5">
        <f t="shared" si="100"/>
        <v>5</v>
      </c>
      <c r="BI25" s="5">
        <f>0.5*10</f>
        <v>5</v>
      </c>
      <c r="BJ25" s="5">
        <f t="shared" ref="BJ25:BK25" si="101">0.5*1</f>
        <v>0.5</v>
      </c>
      <c r="BK25" s="5">
        <f t="shared" si="101"/>
        <v>0.5</v>
      </c>
      <c r="BL25" s="5">
        <f t="shared" si="43"/>
        <v>0.25</v>
      </c>
      <c r="BM25" s="5">
        <f t="shared" ref="BM25:BN25" si="102">0.5*50</f>
        <v>25</v>
      </c>
      <c r="BN25" s="5">
        <f t="shared" si="102"/>
        <v>25</v>
      </c>
      <c r="BO25" s="5">
        <f t="shared" si="15"/>
        <v>5</v>
      </c>
      <c r="BP25" s="5">
        <f t="shared" si="45"/>
        <v>5</v>
      </c>
      <c r="BQ25" s="5">
        <v>979.0</v>
      </c>
      <c r="BR25" s="5">
        <f t="shared" si="76"/>
        <v>50</v>
      </c>
      <c r="BS25" s="5">
        <f t="shared" si="46"/>
        <v>2.5</v>
      </c>
      <c r="BT25" s="5">
        <f t="shared" si="103"/>
        <v>0.25</v>
      </c>
      <c r="BU25" s="5">
        <v>2.0</v>
      </c>
      <c r="BV25" s="5">
        <f t="shared" si="77"/>
        <v>0.5</v>
      </c>
      <c r="BW25" s="5">
        <v>72.0</v>
      </c>
      <c r="BX25" s="5">
        <v>416.0</v>
      </c>
      <c r="BY25" s="5">
        <v>2.8</v>
      </c>
      <c r="BZ25" s="5">
        <v>5041.0</v>
      </c>
      <c r="CA25" s="5">
        <f t="shared" si="98"/>
        <v>25</v>
      </c>
      <c r="CB25" s="5">
        <v>64.0</v>
      </c>
      <c r="CC25" s="5">
        <v>159.0</v>
      </c>
      <c r="CD25" s="5">
        <v>1006.0</v>
      </c>
      <c r="CE25" s="5">
        <v>141999.0</v>
      </c>
      <c r="CF25" s="5">
        <v>12.0</v>
      </c>
      <c r="CG25" s="5">
        <v>20.4</v>
      </c>
      <c r="CH25" s="5">
        <v>238.0</v>
      </c>
      <c r="CI25" s="5">
        <v>5.0</v>
      </c>
      <c r="CJ25" s="5"/>
      <c r="CK25" s="5">
        <f t="shared" si="94"/>
        <v>0.001</v>
      </c>
      <c r="CL25" s="5">
        <f t="shared" si="95"/>
        <v>0.0025</v>
      </c>
      <c r="CM25" s="5">
        <v>0.002</v>
      </c>
      <c r="CN25" s="5"/>
      <c r="CO25" s="5">
        <v>13.51</v>
      </c>
      <c r="CP25" s="5"/>
      <c r="CQ25" s="5">
        <v>2707.49</v>
      </c>
      <c r="CR25" s="5">
        <v>172.97</v>
      </c>
      <c r="CS25" s="5">
        <v>46254.05</v>
      </c>
      <c r="CT25" s="5">
        <v>637.84</v>
      </c>
      <c r="CU25" s="5">
        <v>429.73</v>
      </c>
      <c r="CV25" s="5">
        <v>13624.32</v>
      </c>
      <c r="CW25" s="5">
        <v>194.59</v>
      </c>
      <c r="CX25" s="5">
        <v>55.14</v>
      </c>
      <c r="CY25" s="5">
        <v>1124.32</v>
      </c>
      <c r="CZ25" s="5">
        <v>32.43</v>
      </c>
      <c r="DA25" s="5">
        <v>7.57</v>
      </c>
      <c r="DB25" s="5">
        <v>383781.08</v>
      </c>
    </row>
    <row r="26">
      <c r="A26" s="5" t="s">
        <v>264</v>
      </c>
      <c r="B26" s="5" t="s">
        <v>265</v>
      </c>
      <c r="C26" s="6" t="s">
        <v>255</v>
      </c>
      <c r="D26" s="6" t="s">
        <v>266</v>
      </c>
      <c r="E26" s="6" t="s">
        <v>245</v>
      </c>
      <c r="F26" s="5" t="s">
        <v>111</v>
      </c>
      <c r="G26" s="5" t="s">
        <v>112</v>
      </c>
      <c r="H26" s="5" t="s">
        <v>264</v>
      </c>
      <c r="I26" s="5" t="s">
        <v>153</v>
      </c>
      <c r="J26" s="5" t="s">
        <v>267</v>
      </c>
      <c r="K26" s="5" t="s">
        <v>268</v>
      </c>
      <c r="L26" s="5">
        <v>-20.8211</v>
      </c>
      <c r="M26" s="5">
        <v>-65.6661</v>
      </c>
      <c r="N26" s="5"/>
      <c r="O26" s="5"/>
      <c r="P26" s="5">
        <v>1300.0</v>
      </c>
      <c r="Q26" s="5">
        <v>148.25</v>
      </c>
      <c r="R26" s="5">
        <v>6.37</v>
      </c>
      <c r="S26" s="5">
        <v>26.35</v>
      </c>
      <c r="T26" s="5">
        <v>770.0</v>
      </c>
      <c r="U26" s="5">
        <v>0.3</v>
      </c>
      <c r="V26" s="5">
        <v>16.2</v>
      </c>
      <c r="W26" s="5">
        <v>6.98</v>
      </c>
      <c r="X26" s="5">
        <v>97.4</v>
      </c>
      <c r="Y26" s="5">
        <f t="shared" si="99"/>
        <v>1650</v>
      </c>
      <c r="Z26" s="5">
        <v>1912.0</v>
      </c>
      <c r="AA26" s="5">
        <v>519.0</v>
      </c>
      <c r="AB26" s="5">
        <v>1370.0</v>
      </c>
      <c r="AC26" s="5">
        <v>2.0</v>
      </c>
      <c r="AD26" s="5">
        <v>368.2</v>
      </c>
      <c r="AE26" s="5">
        <f t="shared" si="88"/>
        <v>0.05</v>
      </c>
      <c r="AF26" s="5">
        <v>18.1</v>
      </c>
      <c r="AG26" s="5">
        <v>17.6</v>
      </c>
      <c r="AH26" s="5">
        <v>335.0</v>
      </c>
      <c r="AI26" s="5">
        <v>70.91</v>
      </c>
      <c r="AJ26" s="5">
        <v>46.41</v>
      </c>
      <c r="AK26" s="5">
        <v>14.04</v>
      </c>
      <c r="AL26" s="5">
        <v>5.17</v>
      </c>
      <c r="AM26" s="5">
        <v>82.52</v>
      </c>
      <c r="AN26" s="5">
        <v>50.3</v>
      </c>
      <c r="AO26" s="5">
        <v>16.01</v>
      </c>
      <c r="AP26" s="5">
        <v>7.81</v>
      </c>
      <c r="AQ26" s="5">
        <v>0.7</v>
      </c>
      <c r="AR26" s="5">
        <v>0.2</v>
      </c>
      <c r="AS26" s="5">
        <v>2.2</v>
      </c>
      <c r="AT26" s="5">
        <v>0.025</v>
      </c>
      <c r="AU26" s="5">
        <v>8.0</v>
      </c>
      <c r="AV26" s="5">
        <v>3.9</v>
      </c>
      <c r="AW26" s="5">
        <v>13.5</v>
      </c>
      <c r="AX26" s="5">
        <v>23.5</v>
      </c>
      <c r="AY26" s="5">
        <v>56.0</v>
      </c>
      <c r="AZ26" s="5">
        <v>360.0</v>
      </c>
      <c r="BA26" s="5">
        <v>270.0</v>
      </c>
      <c r="BB26" s="5"/>
      <c r="BC26" s="5"/>
      <c r="BD26" s="5"/>
      <c r="BE26" s="5">
        <v>110000.0</v>
      </c>
      <c r="BF26" s="5">
        <v>819.0</v>
      </c>
      <c r="BG26" s="5">
        <v>54533.0</v>
      </c>
      <c r="BH26" s="5">
        <f t="shared" si="100"/>
        <v>5</v>
      </c>
      <c r="BI26" s="5">
        <v>71.0</v>
      </c>
      <c r="BJ26" s="5">
        <f t="shared" ref="BJ26:BK26" si="104">0.5*1</f>
        <v>0.5</v>
      </c>
      <c r="BK26" s="5">
        <f t="shared" si="104"/>
        <v>0.5</v>
      </c>
      <c r="BL26" s="5">
        <f t="shared" si="43"/>
        <v>0.25</v>
      </c>
      <c r="BM26" s="5">
        <f t="shared" ref="BM26:BN26" si="105">0.5*50</f>
        <v>25</v>
      </c>
      <c r="BN26" s="5">
        <f t="shared" si="105"/>
        <v>25</v>
      </c>
      <c r="BO26" s="5">
        <f t="shared" si="15"/>
        <v>5</v>
      </c>
      <c r="BP26" s="5">
        <f t="shared" si="45"/>
        <v>5</v>
      </c>
      <c r="BQ26" s="5">
        <v>976.0</v>
      </c>
      <c r="BR26" s="5">
        <v>102.0</v>
      </c>
      <c r="BS26" s="5">
        <f t="shared" si="46"/>
        <v>2.5</v>
      </c>
      <c r="BT26" s="5">
        <v>0.5</v>
      </c>
      <c r="BU26" s="5">
        <v>29.0</v>
      </c>
      <c r="BV26" s="5">
        <f t="shared" si="77"/>
        <v>0.5</v>
      </c>
      <c r="BW26" s="5">
        <v>1106.0</v>
      </c>
      <c r="BX26" s="5">
        <v>840.0</v>
      </c>
      <c r="BY26" s="5">
        <v>1.9</v>
      </c>
      <c r="BZ26" s="5">
        <v>4170.0</v>
      </c>
      <c r="CA26" s="5">
        <f t="shared" si="98"/>
        <v>25</v>
      </c>
      <c r="CB26" s="5">
        <v>486.0</v>
      </c>
      <c r="CC26" s="5">
        <v>911.0</v>
      </c>
      <c r="CD26" s="5">
        <v>1712.0</v>
      </c>
      <c r="CE26" s="5">
        <v>1643160.0</v>
      </c>
      <c r="CF26" s="5">
        <v>7.0</v>
      </c>
      <c r="CG26" s="5">
        <v>15.2</v>
      </c>
      <c r="CH26" s="5">
        <v>1049.0</v>
      </c>
      <c r="CI26" s="5">
        <v>29.0</v>
      </c>
      <c r="CJ26" s="5"/>
      <c r="CK26" s="5">
        <f t="shared" si="94"/>
        <v>0.001</v>
      </c>
      <c r="CL26" s="5">
        <f t="shared" si="95"/>
        <v>0.0025</v>
      </c>
      <c r="CM26" s="5">
        <v>0.007</v>
      </c>
      <c r="CN26" s="5">
        <v>51.82</v>
      </c>
      <c r="CO26" s="5">
        <v>21.17</v>
      </c>
      <c r="CP26" s="5"/>
      <c r="CQ26" s="5">
        <v>1245.86</v>
      </c>
      <c r="CR26" s="5">
        <v>354.74</v>
      </c>
      <c r="CS26" s="5">
        <v>39207.3</v>
      </c>
      <c r="CT26" s="5">
        <v>744.53</v>
      </c>
      <c r="CU26" s="5">
        <v>664.96</v>
      </c>
      <c r="CV26" s="5">
        <v>3043.8</v>
      </c>
      <c r="CW26" s="5">
        <v>807.3</v>
      </c>
      <c r="CX26" s="5">
        <v>10.73</v>
      </c>
      <c r="CY26" s="5">
        <v>613.14</v>
      </c>
      <c r="CZ26" s="5">
        <v>5.11</v>
      </c>
      <c r="DA26" s="5">
        <v>1.39</v>
      </c>
      <c r="DB26" s="5">
        <v>1199316.06</v>
      </c>
    </row>
    <row r="27">
      <c r="A27" s="5" t="s">
        <v>152</v>
      </c>
      <c r="B27" s="5" t="s">
        <v>269</v>
      </c>
      <c r="C27" s="6" t="s">
        <v>270</v>
      </c>
      <c r="D27" s="6" t="s">
        <v>271</v>
      </c>
      <c r="E27" s="6" t="s">
        <v>245</v>
      </c>
      <c r="F27" s="5" t="s">
        <v>111</v>
      </c>
      <c r="G27" s="5" t="s">
        <v>112</v>
      </c>
      <c r="H27" s="5" t="s">
        <v>152</v>
      </c>
      <c r="I27" s="5" t="s">
        <v>153</v>
      </c>
      <c r="J27" s="5" t="s">
        <v>272</v>
      </c>
      <c r="K27" s="5" t="s">
        <v>273</v>
      </c>
      <c r="L27" s="5">
        <v>-20.487</v>
      </c>
      <c r="M27" s="5">
        <v>-65.6177</v>
      </c>
      <c r="N27" s="5"/>
      <c r="O27" s="5"/>
      <c r="P27" s="5">
        <v>1516.0</v>
      </c>
      <c r="Q27" s="5">
        <v>151.8</v>
      </c>
      <c r="R27" s="5">
        <v>8.44</v>
      </c>
      <c r="S27" s="5">
        <v>-71.1</v>
      </c>
      <c r="T27" s="5">
        <v>660.0</v>
      </c>
      <c r="U27" s="5">
        <v>0.3</v>
      </c>
      <c r="V27" s="5">
        <v>22.2</v>
      </c>
      <c r="W27" s="5">
        <v>6.3</v>
      </c>
      <c r="X27" s="5">
        <v>99.7</v>
      </c>
      <c r="Y27" s="5">
        <f t="shared" si="99"/>
        <v>1650</v>
      </c>
      <c r="Z27" s="5">
        <v>1130.0</v>
      </c>
      <c r="AA27" s="5">
        <v>454.0</v>
      </c>
      <c r="AB27" s="5">
        <v>669.0</v>
      </c>
      <c r="AC27" s="5">
        <v>4.0</v>
      </c>
      <c r="AD27" s="5">
        <v>221.3</v>
      </c>
      <c r="AE27" s="5">
        <f t="shared" si="88"/>
        <v>0.05</v>
      </c>
      <c r="AF27" s="5">
        <v>87.7</v>
      </c>
      <c r="AG27" s="5">
        <v>45.3</v>
      </c>
      <c r="AH27" s="5">
        <v>153.0</v>
      </c>
      <c r="AI27" s="5">
        <v>66.4</v>
      </c>
      <c r="AJ27" s="5">
        <v>20.92</v>
      </c>
      <c r="AK27" s="5">
        <v>19.59</v>
      </c>
      <c r="AL27" s="5">
        <v>5.74</v>
      </c>
      <c r="AM27" s="5">
        <v>69.12</v>
      </c>
      <c r="AN27" s="5">
        <v>24.54</v>
      </c>
      <c r="AO27" s="5">
        <v>23.63</v>
      </c>
      <c r="AP27" s="5">
        <v>8.13</v>
      </c>
      <c r="AQ27" s="5">
        <v>0.4</v>
      </c>
      <c r="AR27" s="5">
        <v>0.1</v>
      </c>
      <c r="AS27" s="5">
        <v>1.4</v>
      </c>
      <c r="AT27" s="5">
        <v>0.009</v>
      </c>
      <c r="AU27" s="5">
        <v>3.1</v>
      </c>
      <c r="AV27" s="5">
        <v>2.5</v>
      </c>
      <c r="AW27" s="5">
        <f t="shared" ref="AW27:AX27" si="106">0.5*2</f>
        <v>1</v>
      </c>
      <c r="AX27" s="5">
        <f t="shared" si="106"/>
        <v>1</v>
      </c>
      <c r="AY27" s="5">
        <v>4.0</v>
      </c>
      <c r="AZ27" s="5">
        <v>400.0</v>
      </c>
      <c r="BA27" s="5">
        <v>200.0</v>
      </c>
      <c r="BB27" s="5"/>
      <c r="BC27" s="5"/>
      <c r="BD27" s="5"/>
      <c r="BE27" s="5">
        <v>58000.0</v>
      </c>
      <c r="BF27" s="5">
        <f t="shared" ref="BF27:BF28" si="108">0.5*50</f>
        <v>25</v>
      </c>
      <c r="BG27" s="5">
        <v>8839.0</v>
      </c>
      <c r="BH27" s="5">
        <f t="shared" si="100"/>
        <v>5</v>
      </c>
      <c r="BI27" s="5">
        <f t="shared" ref="BI27:BI37" si="109">0.5*10</f>
        <v>5</v>
      </c>
      <c r="BJ27" s="5">
        <v>3.0</v>
      </c>
      <c r="BK27" s="5">
        <f t="shared" ref="BK27:BK28" si="110">0.5*1</f>
        <v>0.5</v>
      </c>
      <c r="BL27" s="5">
        <f t="shared" si="43"/>
        <v>0.25</v>
      </c>
      <c r="BM27" s="5">
        <f t="shared" ref="BM27:BN27" si="107">0.5*50</f>
        <v>25</v>
      </c>
      <c r="BN27" s="5">
        <f t="shared" si="107"/>
        <v>25</v>
      </c>
      <c r="BO27" s="5">
        <f t="shared" si="15"/>
        <v>5</v>
      </c>
      <c r="BP27" s="5">
        <f t="shared" si="45"/>
        <v>5</v>
      </c>
      <c r="BQ27" s="5">
        <v>1554.0</v>
      </c>
      <c r="BR27" s="5">
        <f t="shared" ref="BR27:BR28" si="112">0.5*100</f>
        <v>50</v>
      </c>
      <c r="BS27" s="5">
        <f t="shared" si="46"/>
        <v>2.5</v>
      </c>
      <c r="BT27" s="5">
        <f t="shared" ref="BT27:BT28" si="113">0.5*0.5</f>
        <v>0.25</v>
      </c>
      <c r="BU27" s="5">
        <v>2.0</v>
      </c>
      <c r="BV27" s="5">
        <f t="shared" si="77"/>
        <v>0.5</v>
      </c>
      <c r="BW27" s="5">
        <v>73.0</v>
      </c>
      <c r="BX27" s="5">
        <v>154.0</v>
      </c>
      <c r="BY27" s="5">
        <v>1.6</v>
      </c>
      <c r="BZ27" s="5">
        <v>3729.0</v>
      </c>
      <c r="CA27" s="5">
        <f t="shared" si="98"/>
        <v>25</v>
      </c>
      <c r="CB27" s="5">
        <v>133.0</v>
      </c>
      <c r="CC27" s="5">
        <v>153.0</v>
      </c>
      <c r="CD27" s="5">
        <v>1615.0</v>
      </c>
      <c r="CE27" s="5">
        <v>156604.0</v>
      </c>
      <c r="CF27" s="5">
        <f t="shared" ref="CF27:CF33" si="115">0.5*5</f>
        <v>2.5</v>
      </c>
      <c r="CG27" s="5">
        <v>7.5</v>
      </c>
      <c r="CH27" s="5">
        <v>181.0</v>
      </c>
      <c r="CI27" s="5">
        <v>8.0</v>
      </c>
      <c r="CJ27" s="5"/>
      <c r="CK27" s="5">
        <f t="shared" si="94"/>
        <v>0.001</v>
      </c>
      <c r="CL27" s="5">
        <f t="shared" si="95"/>
        <v>0.0025</v>
      </c>
      <c r="CM27" s="5">
        <f>0.5*0.002</f>
        <v>0.001</v>
      </c>
      <c r="CN27" s="5"/>
      <c r="CO27" s="5">
        <v>11.96</v>
      </c>
      <c r="CP27" s="5"/>
      <c r="CQ27" s="5">
        <v>2405.47</v>
      </c>
      <c r="CR27" s="5">
        <v>198.8</v>
      </c>
      <c r="CS27" s="5">
        <v>13212.26</v>
      </c>
      <c r="CT27" s="5">
        <v>267.56</v>
      </c>
      <c r="CU27" s="5">
        <v>228.7</v>
      </c>
      <c r="CV27" s="5">
        <v>5573.99</v>
      </c>
      <c r="CW27" s="5">
        <v>104.63</v>
      </c>
      <c r="CX27" s="5">
        <v>11.21</v>
      </c>
      <c r="CY27" s="5">
        <v>230.19</v>
      </c>
      <c r="CZ27" s="5"/>
      <c r="DA27" s="5">
        <v>2.39</v>
      </c>
      <c r="DB27" s="5">
        <v>234086.7</v>
      </c>
    </row>
    <row r="28">
      <c r="A28" s="5" t="s">
        <v>274</v>
      </c>
      <c r="B28" s="5" t="s">
        <v>275</v>
      </c>
      <c r="C28" s="6" t="s">
        <v>270</v>
      </c>
      <c r="D28" s="6" t="s">
        <v>276</v>
      </c>
      <c r="E28" s="6" t="s">
        <v>245</v>
      </c>
      <c r="F28" s="5" t="s">
        <v>111</v>
      </c>
      <c r="G28" s="5" t="s">
        <v>112</v>
      </c>
      <c r="H28" s="5" t="s">
        <v>126</v>
      </c>
      <c r="I28" s="5" t="s">
        <v>113</v>
      </c>
      <c r="J28" s="5" t="s">
        <v>277</v>
      </c>
      <c r="K28" s="5" t="s">
        <v>278</v>
      </c>
      <c r="L28" s="5">
        <v>-19.396</v>
      </c>
      <c r="M28" s="5">
        <v>-65.9067</v>
      </c>
      <c r="N28" s="5"/>
      <c r="O28" s="5"/>
      <c r="P28" s="5">
        <v>1854.0</v>
      </c>
      <c r="Q28" s="5">
        <v>140.9</v>
      </c>
      <c r="R28" s="5">
        <v>8.05</v>
      </c>
      <c r="S28" s="5">
        <v>-65.0</v>
      </c>
      <c r="T28" s="5">
        <v>540.0</v>
      </c>
      <c r="U28" s="5">
        <v>0.2</v>
      </c>
      <c r="V28" s="5">
        <v>14.8</v>
      </c>
      <c r="W28" s="5">
        <v>6.84</v>
      </c>
      <c r="X28" s="5">
        <v>101.1</v>
      </c>
      <c r="Y28" s="5">
        <f t="shared" si="99"/>
        <v>1650</v>
      </c>
      <c r="Z28" s="5">
        <v>410.0</v>
      </c>
      <c r="AA28" s="5">
        <v>372.0</v>
      </c>
      <c r="AB28" s="5">
        <v>35.0</v>
      </c>
      <c r="AC28" s="5">
        <v>22.0</v>
      </c>
      <c r="AD28" s="5">
        <v>174.8</v>
      </c>
      <c r="AE28" s="5">
        <f t="shared" si="88"/>
        <v>0.05</v>
      </c>
      <c r="AF28" s="5">
        <v>60.3</v>
      </c>
      <c r="AG28" s="5">
        <v>69.5</v>
      </c>
      <c r="AH28" s="5">
        <v>73.0</v>
      </c>
      <c r="AI28" s="5">
        <v>46.7</v>
      </c>
      <c r="AJ28" s="5">
        <v>6.83</v>
      </c>
      <c r="AK28" s="5">
        <v>43.07</v>
      </c>
      <c r="AL28" s="5">
        <v>4.67</v>
      </c>
      <c r="AM28" s="5">
        <v>49.92</v>
      </c>
      <c r="AN28" s="5">
        <v>6.94</v>
      </c>
      <c r="AO28" s="5">
        <v>43.22</v>
      </c>
      <c r="AP28" s="5">
        <v>5.04</v>
      </c>
      <c r="AQ28" s="5">
        <v>0.4</v>
      </c>
      <c r="AR28" s="5">
        <v>0.03</v>
      </c>
      <c r="AS28" s="5">
        <v>1.8</v>
      </c>
      <c r="AT28" s="5">
        <v>0.009</v>
      </c>
      <c r="AU28" s="5">
        <v>3.1</v>
      </c>
      <c r="AV28" s="5">
        <v>3.2</v>
      </c>
      <c r="AW28" s="5">
        <v>7.9</v>
      </c>
      <c r="AX28" s="5">
        <v>8.7</v>
      </c>
      <c r="AY28" s="5">
        <v>23.0</v>
      </c>
      <c r="AZ28" s="5">
        <v>370.0</v>
      </c>
      <c r="BA28" s="5">
        <v>300.0</v>
      </c>
      <c r="BB28" s="5">
        <v>47000.0</v>
      </c>
      <c r="BC28" s="5"/>
      <c r="BD28" s="5"/>
      <c r="BE28" s="5"/>
      <c r="BF28" s="5">
        <f t="shared" si="108"/>
        <v>25</v>
      </c>
      <c r="BG28" s="5">
        <v>5583.0</v>
      </c>
      <c r="BH28" s="5">
        <f t="shared" si="100"/>
        <v>5</v>
      </c>
      <c r="BI28" s="5">
        <f t="shared" si="109"/>
        <v>5</v>
      </c>
      <c r="BJ28" s="5">
        <v>10.0</v>
      </c>
      <c r="BK28" s="5">
        <f t="shared" si="110"/>
        <v>0.5</v>
      </c>
      <c r="BL28" s="5">
        <f t="shared" si="43"/>
        <v>0.25</v>
      </c>
      <c r="BM28" s="5">
        <f t="shared" ref="BM28:BN28" si="111">0.5*50</f>
        <v>25</v>
      </c>
      <c r="BN28" s="5">
        <f t="shared" si="111"/>
        <v>25</v>
      </c>
      <c r="BO28" s="5">
        <f t="shared" si="15"/>
        <v>5</v>
      </c>
      <c r="BP28" s="5">
        <f t="shared" si="45"/>
        <v>5</v>
      </c>
      <c r="BQ28" s="5">
        <v>760.0</v>
      </c>
      <c r="BR28" s="5">
        <f t="shared" si="112"/>
        <v>50</v>
      </c>
      <c r="BS28" s="5">
        <f t="shared" si="46"/>
        <v>2.5</v>
      </c>
      <c r="BT28" s="5">
        <f t="shared" si="113"/>
        <v>0.25</v>
      </c>
      <c r="BU28" s="5">
        <f t="shared" ref="BU28:BV28" si="114">0.5*1</f>
        <v>0.5</v>
      </c>
      <c r="BV28" s="5">
        <f t="shared" si="114"/>
        <v>0.5</v>
      </c>
      <c r="BW28" s="5">
        <v>105.0</v>
      </c>
      <c r="BX28" s="5">
        <v>138.0</v>
      </c>
      <c r="BY28" s="5">
        <f t="shared" ref="BY28:BY37" si="118">0.5*0.5</f>
        <v>0.25</v>
      </c>
      <c r="BZ28" s="5">
        <v>776.0</v>
      </c>
      <c r="CA28" s="5">
        <f t="shared" si="98"/>
        <v>25</v>
      </c>
      <c r="CB28" s="5">
        <v>420.0</v>
      </c>
      <c r="CC28" s="5">
        <v>205.0</v>
      </c>
      <c r="CD28" s="5">
        <v>1283.0</v>
      </c>
      <c r="CE28" s="5">
        <v>352250.0</v>
      </c>
      <c r="CF28" s="5">
        <f t="shared" si="115"/>
        <v>2.5</v>
      </c>
      <c r="CG28" s="5">
        <v>1.3</v>
      </c>
      <c r="CH28" s="5">
        <v>284.0</v>
      </c>
      <c r="CI28" s="5">
        <v>13.0</v>
      </c>
      <c r="CJ28" s="5"/>
      <c r="CK28" s="5">
        <f t="shared" si="94"/>
        <v>0.001</v>
      </c>
      <c r="CL28" s="5">
        <f t="shared" si="95"/>
        <v>0.0025</v>
      </c>
      <c r="CM28" s="5">
        <v>0.002</v>
      </c>
      <c r="CN28" s="5"/>
      <c r="CO28" s="5">
        <v>371.43</v>
      </c>
      <c r="CP28" s="5"/>
      <c r="CQ28" s="5">
        <v>36523.71</v>
      </c>
      <c r="CR28" s="5">
        <v>12000.0</v>
      </c>
      <c r="CS28" s="5">
        <v>159514.29</v>
      </c>
      <c r="CT28" s="5">
        <v>8114.29</v>
      </c>
      <c r="CU28" s="5">
        <v>5857.14</v>
      </c>
      <c r="CV28" s="5">
        <v>22171.43</v>
      </c>
      <c r="CW28" s="5">
        <v>2714.29</v>
      </c>
      <c r="CX28" s="5">
        <v>37.14</v>
      </c>
      <c r="CY28" s="5">
        <v>3942.86</v>
      </c>
      <c r="CZ28" s="5"/>
      <c r="DA28" s="5"/>
      <c r="DB28" s="7">
        <v>1.006428571E7</v>
      </c>
    </row>
    <row r="29">
      <c r="A29" s="5" t="s">
        <v>116</v>
      </c>
      <c r="B29" s="5" t="s">
        <v>117</v>
      </c>
      <c r="C29" s="6" t="s">
        <v>279</v>
      </c>
      <c r="D29" s="6" t="s">
        <v>280</v>
      </c>
      <c r="E29" s="6" t="s">
        <v>245</v>
      </c>
      <c r="F29" s="5" t="s">
        <v>111</v>
      </c>
      <c r="G29" s="5" t="s">
        <v>112</v>
      </c>
      <c r="H29" s="5" t="s">
        <v>119</v>
      </c>
      <c r="I29" s="5" t="s">
        <v>113</v>
      </c>
      <c r="J29" s="5" t="s">
        <v>281</v>
      </c>
      <c r="K29" s="5" t="s">
        <v>282</v>
      </c>
      <c r="L29" s="5">
        <v>-19.3213</v>
      </c>
      <c r="M29" s="5">
        <v>-65.5519</v>
      </c>
      <c r="N29" s="5"/>
      <c r="O29" s="5"/>
      <c r="P29" s="5">
        <v>2070.0</v>
      </c>
      <c r="Q29" s="5">
        <v>139.0</v>
      </c>
      <c r="R29" s="5">
        <v>3.37</v>
      </c>
      <c r="S29" s="5">
        <v>185.95</v>
      </c>
      <c r="T29" s="5">
        <v>483.5</v>
      </c>
      <c r="U29" s="5">
        <v>0.2</v>
      </c>
      <c r="V29" s="5">
        <v>12.2</v>
      </c>
      <c r="W29" s="5">
        <v>7.12</v>
      </c>
      <c r="X29" s="5">
        <v>102.3</v>
      </c>
      <c r="Y29" s="5">
        <v>116.7</v>
      </c>
      <c r="Z29" s="5">
        <v>350.0</v>
      </c>
      <c r="AA29" s="5">
        <v>319.0</v>
      </c>
      <c r="AB29" s="5">
        <v>30.0</v>
      </c>
      <c r="AC29" s="5">
        <f>0.5*1</f>
        <v>0.5</v>
      </c>
      <c r="AD29" s="5">
        <v>162.9</v>
      </c>
      <c r="AE29" s="5">
        <f t="shared" si="88"/>
        <v>0.05</v>
      </c>
      <c r="AF29" s="5">
        <f>0.5*0.1</f>
        <v>0.05</v>
      </c>
      <c r="AG29" s="5">
        <v>4.9</v>
      </c>
      <c r="AH29" s="5">
        <v>190.0</v>
      </c>
      <c r="AI29" s="5">
        <v>42.13</v>
      </c>
      <c r="AJ29" s="5">
        <v>20.62</v>
      </c>
      <c r="AK29" s="5">
        <v>1.19</v>
      </c>
      <c r="AL29" s="5">
        <v>1.16</v>
      </c>
      <c r="AM29" s="5">
        <v>44.12</v>
      </c>
      <c r="AN29" s="5">
        <v>20.8</v>
      </c>
      <c r="AO29" s="5">
        <v>1.57</v>
      </c>
      <c r="AP29" s="5">
        <v>1.73</v>
      </c>
      <c r="AQ29" s="5">
        <v>0.1</v>
      </c>
      <c r="AR29" s="5">
        <v>0.1</v>
      </c>
      <c r="AS29" s="5">
        <f t="shared" ref="AS29:AS31" si="119">0.5*0.1</f>
        <v>0.05</v>
      </c>
      <c r="AT29" s="5">
        <v>0.025</v>
      </c>
      <c r="AU29" s="5">
        <v>31.0</v>
      </c>
      <c r="AV29" s="5">
        <f t="shared" ref="AV29:AV31" si="120">0.5*0.1</f>
        <v>0.05</v>
      </c>
      <c r="AW29" s="5">
        <f t="shared" ref="AW29:AY29" si="116">0.5*2</f>
        <v>1</v>
      </c>
      <c r="AX29" s="5">
        <f t="shared" si="116"/>
        <v>1</v>
      </c>
      <c r="AY29" s="5">
        <f t="shared" si="116"/>
        <v>1</v>
      </c>
      <c r="AZ29" s="5">
        <f t="shared" ref="AZ29:BA29" si="117">0.5*1</f>
        <v>0.5</v>
      </c>
      <c r="BA29" s="5">
        <f t="shared" si="117"/>
        <v>0.5</v>
      </c>
      <c r="BB29" s="5"/>
      <c r="BC29" s="5"/>
      <c r="BD29" s="5"/>
      <c r="BE29" s="5">
        <v>50000.0</v>
      </c>
      <c r="BF29" s="5">
        <v>5104.0</v>
      </c>
      <c r="BG29" s="5">
        <v>5927.0</v>
      </c>
      <c r="BH29" s="5">
        <f t="shared" si="100"/>
        <v>5</v>
      </c>
      <c r="BI29" s="5">
        <f t="shared" si="109"/>
        <v>5</v>
      </c>
      <c r="BJ29" s="5">
        <f>0.5*1</f>
        <v>0.5</v>
      </c>
      <c r="BK29" s="5">
        <v>1.0</v>
      </c>
      <c r="BL29" s="5">
        <f t="shared" si="43"/>
        <v>0.25</v>
      </c>
      <c r="BM29" s="5">
        <v>1552.0</v>
      </c>
      <c r="BN29" s="5">
        <f>0.5*50</f>
        <v>25</v>
      </c>
      <c r="BO29" s="5">
        <f t="shared" si="15"/>
        <v>5</v>
      </c>
      <c r="BP29" s="5">
        <v>665.0</v>
      </c>
      <c r="BQ29" s="5">
        <v>59.0</v>
      </c>
      <c r="BR29" s="5">
        <v>14695.0</v>
      </c>
      <c r="BS29" s="5">
        <f t="shared" si="46"/>
        <v>2.5</v>
      </c>
      <c r="BT29" s="5">
        <v>5.1</v>
      </c>
      <c r="BU29" s="5">
        <v>28.0</v>
      </c>
      <c r="BV29" s="5">
        <f>0.5*1</f>
        <v>0.5</v>
      </c>
      <c r="BW29" s="5">
        <v>59.0</v>
      </c>
      <c r="BX29" s="5">
        <v>6.0</v>
      </c>
      <c r="BY29" s="5">
        <f t="shared" si="118"/>
        <v>0.25</v>
      </c>
      <c r="BZ29" s="5">
        <v>1687.0</v>
      </c>
      <c r="CA29" s="5">
        <f t="shared" si="98"/>
        <v>25</v>
      </c>
      <c r="CB29" s="5">
        <f>0.5*10</f>
        <v>5</v>
      </c>
      <c r="CC29" s="5">
        <v>754.0</v>
      </c>
      <c r="CD29" s="5">
        <v>107.0</v>
      </c>
      <c r="CE29" s="5">
        <v>32502.0</v>
      </c>
      <c r="CF29" s="5">
        <f t="shared" si="115"/>
        <v>2.5</v>
      </c>
      <c r="CG29" s="5">
        <v>5.8</v>
      </c>
      <c r="CH29" s="5">
        <v>29.0</v>
      </c>
      <c r="CI29" s="5">
        <f>0.5*1</f>
        <v>0.5</v>
      </c>
      <c r="CJ29" s="5"/>
      <c r="CK29" s="5">
        <f t="shared" si="94"/>
        <v>0.001</v>
      </c>
      <c r="CL29" s="5">
        <f t="shared" si="95"/>
        <v>0.0025</v>
      </c>
      <c r="CM29" s="5">
        <v>0.01</v>
      </c>
      <c r="CN29" s="5"/>
      <c r="CO29" s="5"/>
      <c r="CP29" s="5"/>
      <c r="CQ29" s="5">
        <v>3528.0</v>
      </c>
      <c r="CR29" s="5"/>
      <c r="CS29" s="5">
        <v>27433.33</v>
      </c>
      <c r="CT29" s="5">
        <v>33.33</v>
      </c>
      <c r="CU29" s="5">
        <v>2966.67</v>
      </c>
      <c r="CV29" s="5">
        <v>4500.0</v>
      </c>
      <c r="CW29" s="5">
        <v>1966.67</v>
      </c>
      <c r="CX29" s="5">
        <v>23.33</v>
      </c>
      <c r="CY29" s="5">
        <v>166.67</v>
      </c>
      <c r="CZ29" s="5"/>
      <c r="DA29" s="5"/>
      <c r="DB29" s="5">
        <v>593566.67</v>
      </c>
    </row>
    <row r="30">
      <c r="A30" s="5" t="s">
        <v>283</v>
      </c>
      <c r="B30" s="5" t="s">
        <v>284</v>
      </c>
      <c r="C30" s="6" t="s">
        <v>279</v>
      </c>
      <c r="D30" s="6" t="s">
        <v>285</v>
      </c>
      <c r="E30" s="6" t="s">
        <v>245</v>
      </c>
      <c r="F30" s="5" t="s">
        <v>111</v>
      </c>
      <c r="G30" s="5" t="s">
        <v>112</v>
      </c>
      <c r="H30" s="5" t="s">
        <v>126</v>
      </c>
      <c r="I30" s="5" t="s">
        <v>127</v>
      </c>
      <c r="J30" s="5" t="s">
        <v>286</v>
      </c>
      <c r="K30" s="5" t="s">
        <v>287</v>
      </c>
      <c r="L30" s="5">
        <v>-19.3582</v>
      </c>
      <c r="M30" s="5">
        <v>-65.1727</v>
      </c>
      <c r="N30" s="5"/>
      <c r="O30" s="5"/>
      <c r="P30" s="5">
        <v>2030.0</v>
      </c>
      <c r="Q30" s="5">
        <v>159.5</v>
      </c>
      <c r="R30" s="5">
        <v>8.279</v>
      </c>
      <c r="S30" s="5">
        <v>-77.5</v>
      </c>
      <c r="T30" s="5">
        <v>492.0</v>
      </c>
      <c r="U30" s="5">
        <v>0.2</v>
      </c>
      <c r="V30" s="5">
        <v>18.2</v>
      </c>
      <c r="W30" s="5">
        <v>7.24</v>
      </c>
      <c r="X30" s="5">
        <v>99.7</v>
      </c>
      <c r="Y30" s="5">
        <f>1.5*1100</f>
        <v>1650</v>
      </c>
      <c r="Z30" s="5">
        <v>980.0</v>
      </c>
      <c r="AA30" s="5">
        <v>353.0</v>
      </c>
      <c r="AB30" s="5">
        <v>624.0</v>
      </c>
      <c r="AC30" s="5">
        <v>8.0</v>
      </c>
      <c r="AD30" s="5">
        <v>138.8</v>
      </c>
      <c r="AE30" s="5">
        <f t="shared" si="88"/>
        <v>0.05</v>
      </c>
      <c r="AF30" s="5">
        <v>82.4</v>
      </c>
      <c r="AG30" s="5">
        <v>49.9</v>
      </c>
      <c r="AH30" s="5">
        <v>85.0</v>
      </c>
      <c r="AI30" s="5">
        <v>50.72</v>
      </c>
      <c r="AJ30" s="5">
        <v>12.74</v>
      </c>
      <c r="AK30" s="5">
        <v>19.06</v>
      </c>
      <c r="AL30" s="5">
        <v>4.49</v>
      </c>
      <c r="AM30" s="5">
        <v>61.51</v>
      </c>
      <c r="AN30" s="5">
        <v>14.92</v>
      </c>
      <c r="AO30" s="5">
        <v>20.4</v>
      </c>
      <c r="AP30" s="5">
        <v>10.21</v>
      </c>
      <c r="AQ30" s="5">
        <v>0.5</v>
      </c>
      <c r="AR30" s="5">
        <v>0.1</v>
      </c>
      <c r="AS30" s="5">
        <f t="shared" si="119"/>
        <v>0.05</v>
      </c>
      <c r="AT30" s="5">
        <v>0.04</v>
      </c>
      <c r="AU30" s="5">
        <v>11.1</v>
      </c>
      <c r="AV30" s="5">
        <f t="shared" si="120"/>
        <v>0.05</v>
      </c>
      <c r="AW30" s="5">
        <v>3.2</v>
      </c>
      <c r="AX30" s="5">
        <v>3.7</v>
      </c>
      <c r="AY30" s="5">
        <v>9.0</v>
      </c>
      <c r="AZ30" s="5">
        <v>330.0</v>
      </c>
      <c r="BA30" s="5">
        <v>260.0</v>
      </c>
      <c r="BB30" s="5"/>
      <c r="BC30" s="5"/>
      <c r="BD30" s="5"/>
      <c r="BE30" s="5">
        <v>38000.0</v>
      </c>
      <c r="BF30" s="5">
        <f t="shared" ref="BF30:BF32" si="124">0.5*50</f>
        <v>25</v>
      </c>
      <c r="BG30" s="5">
        <v>1448.0</v>
      </c>
      <c r="BH30" s="5">
        <f t="shared" si="100"/>
        <v>5</v>
      </c>
      <c r="BI30" s="5">
        <f t="shared" si="109"/>
        <v>5</v>
      </c>
      <c r="BJ30" s="5">
        <v>5.0</v>
      </c>
      <c r="BK30" s="5">
        <f t="shared" ref="BK30:BK35" si="125">0.5*1</f>
        <v>0.5</v>
      </c>
      <c r="BL30" s="5">
        <f t="shared" si="43"/>
        <v>0.25</v>
      </c>
      <c r="BM30" s="5">
        <f t="shared" ref="BM30:BN30" si="121">0.5*50</f>
        <v>25</v>
      </c>
      <c r="BN30" s="5">
        <f t="shared" si="121"/>
        <v>25</v>
      </c>
      <c r="BO30" s="5">
        <f t="shared" si="15"/>
        <v>5</v>
      </c>
      <c r="BP30" s="5">
        <f t="shared" ref="BP30:BP32" si="127">0.5*10</f>
        <v>5</v>
      </c>
      <c r="BQ30" s="5">
        <v>327.0</v>
      </c>
      <c r="BR30" s="5">
        <f t="shared" ref="BR30:BR33" si="128">0.5*100</f>
        <v>50</v>
      </c>
      <c r="BS30" s="5">
        <f t="shared" si="46"/>
        <v>2.5</v>
      </c>
      <c r="BT30" s="5">
        <f t="shared" ref="BT30:BT32" si="129">0.5*0.5</f>
        <v>0.25</v>
      </c>
      <c r="BU30" s="5">
        <f t="shared" ref="BU30:BV30" si="122">0.5*1</f>
        <v>0.5</v>
      </c>
      <c r="BV30" s="5">
        <f t="shared" si="122"/>
        <v>0.5</v>
      </c>
      <c r="BW30" s="5">
        <v>85.0</v>
      </c>
      <c r="BX30" s="5">
        <v>93.0</v>
      </c>
      <c r="BY30" s="5">
        <f t="shared" si="118"/>
        <v>0.25</v>
      </c>
      <c r="BZ30" s="5">
        <v>618.0</v>
      </c>
      <c r="CA30" s="5">
        <f t="shared" si="98"/>
        <v>25</v>
      </c>
      <c r="CB30" s="5">
        <v>62.0</v>
      </c>
      <c r="CC30" s="5">
        <v>58.0</v>
      </c>
      <c r="CD30" s="5">
        <v>413.0</v>
      </c>
      <c r="CE30" s="5">
        <v>116514.0</v>
      </c>
      <c r="CF30" s="5">
        <f t="shared" si="115"/>
        <v>2.5</v>
      </c>
      <c r="CG30" s="5">
        <v>1.8</v>
      </c>
      <c r="CH30" s="5">
        <v>53.0</v>
      </c>
      <c r="CI30" s="5">
        <v>2.0</v>
      </c>
      <c r="CJ30" s="5"/>
      <c r="CK30" s="5">
        <f t="shared" si="94"/>
        <v>0.001</v>
      </c>
      <c r="CL30" s="5">
        <f t="shared" si="95"/>
        <v>0.0025</v>
      </c>
      <c r="CM30" s="5">
        <f t="shared" ref="CM30:CM31" si="131">0.5*0.002</f>
        <v>0.001</v>
      </c>
      <c r="CN30" s="5"/>
      <c r="CO30" s="5">
        <v>3.21</v>
      </c>
      <c r="CP30" s="5"/>
      <c r="CQ30" s="5">
        <v>654.66</v>
      </c>
      <c r="CR30" s="5">
        <v>99.36</v>
      </c>
      <c r="CS30" s="5">
        <v>2320.51</v>
      </c>
      <c r="CT30" s="5">
        <v>84.94</v>
      </c>
      <c r="CU30" s="5">
        <v>92.95</v>
      </c>
      <c r="CV30" s="5">
        <v>990.38</v>
      </c>
      <c r="CW30" s="5">
        <v>128.21</v>
      </c>
      <c r="CX30" s="5">
        <v>2.88</v>
      </c>
      <c r="CY30" s="5">
        <v>149.04</v>
      </c>
      <c r="CZ30" s="5"/>
      <c r="DA30" s="5"/>
      <c r="DB30" s="5">
        <v>186721.15</v>
      </c>
    </row>
    <row r="31">
      <c r="A31" s="5" t="s">
        <v>122</v>
      </c>
      <c r="B31" s="5" t="s">
        <v>123</v>
      </c>
      <c r="C31" s="6" t="s">
        <v>288</v>
      </c>
      <c r="D31" s="6" t="s">
        <v>289</v>
      </c>
      <c r="E31" s="6" t="s">
        <v>245</v>
      </c>
      <c r="F31" s="5" t="s">
        <v>111</v>
      </c>
      <c r="G31" s="5" t="s">
        <v>112</v>
      </c>
      <c r="H31" s="5" t="s">
        <v>126</v>
      </c>
      <c r="I31" s="5" t="s">
        <v>127</v>
      </c>
      <c r="J31" s="5" t="s">
        <v>290</v>
      </c>
      <c r="K31" s="5" t="s">
        <v>291</v>
      </c>
      <c r="L31" s="5">
        <v>-19.4535</v>
      </c>
      <c r="M31" s="5">
        <v>-64.8411</v>
      </c>
      <c r="N31" s="5"/>
      <c r="O31" s="5"/>
      <c r="P31" s="5">
        <v>4265.0</v>
      </c>
      <c r="Q31" s="5">
        <v>166.0</v>
      </c>
      <c r="R31" s="5">
        <v>8.06</v>
      </c>
      <c r="S31" s="5">
        <v>-66.8</v>
      </c>
      <c r="T31" s="5">
        <v>234.0</v>
      </c>
      <c r="U31" s="5">
        <v>0.0</v>
      </c>
      <c r="V31" s="5">
        <v>20.9</v>
      </c>
      <c r="W31" s="5">
        <v>7.16</v>
      </c>
      <c r="X31" s="5">
        <v>101.5</v>
      </c>
      <c r="Y31" s="5">
        <v>1037.2</v>
      </c>
      <c r="Z31" s="5">
        <v>985.0</v>
      </c>
      <c r="AA31" s="5">
        <v>181.0</v>
      </c>
      <c r="AB31" s="5">
        <v>791.0</v>
      </c>
      <c r="AC31" s="5">
        <v>37.0</v>
      </c>
      <c r="AD31" s="5">
        <v>84.5</v>
      </c>
      <c r="AE31" s="5">
        <f t="shared" si="88"/>
        <v>0.05</v>
      </c>
      <c r="AF31" s="5">
        <v>44.2</v>
      </c>
      <c r="AG31" s="5">
        <v>14.7</v>
      </c>
      <c r="AH31" s="5">
        <v>60.0</v>
      </c>
      <c r="AI31" s="5">
        <v>27.7</v>
      </c>
      <c r="AJ31" s="5">
        <v>9.62</v>
      </c>
      <c r="AK31" s="5">
        <v>10.01</v>
      </c>
      <c r="AL31" s="5">
        <v>2.72</v>
      </c>
      <c r="AM31" s="5">
        <v>35.82</v>
      </c>
      <c r="AN31" s="5">
        <v>11.2</v>
      </c>
      <c r="AO31" s="5">
        <v>13.66</v>
      </c>
      <c r="AP31" s="5">
        <v>5.5</v>
      </c>
      <c r="AQ31" s="5">
        <v>2.1</v>
      </c>
      <c r="AR31" s="5">
        <v>0.5</v>
      </c>
      <c r="AS31" s="5">
        <f t="shared" si="119"/>
        <v>0.05</v>
      </c>
      <c r="AT31" s="5">
        <v>0.01</v>
      </c>
      <c r="AU31" s="5">
        <v>15.5</v>
      </c>
      <c r="AV31" s="5">
        <f t="shared" si="120"/>
        <v>0.05</v>
      </c>
      <c r="AW31" s="5">
        <f t="shared" ref="AW31:AY31" si="123">0.5*2</f>
        <v>1</v>
      </c>
      <c r="AX31" s="5">
        <f t="shared" si="123"/>
        <v>1</v>
      </c>
      <c r="AY31" s="5">
        <f t="shared" si="123"/>
        <v>1</v>
      </c>
      <c r="AZ31" s="5"/>
      <c r="BA31" s="5"/>
      <c r="BB31" s="5"/>
      <c r="BC31" s="5"/>
      <c r="BD31" s="5"/>
      <c r="BE31" s="5"/>
      <c r="BF31" s="5">
        <f t="shared" si="124"/>
        <v>25</v>
      </c>
      <c r="BG31" s="5">
        <v>953.0</v>
      </c>
      <c r="BH31" s="5">
        <f t="shared" si="100"/>
        <v>5</v>
      </c>
      <c r="BI31" s="5">
        <f t="shared" si="109"/>
        <v>5</v>
      </c>
      <c r="BJ31" s="5">
        <v>1.0</v>
      </c>
      <c r="BK31" s="5">
        <f t="shared" si="125"/>
        <v>0.5</v>
      </c>
      <c r="BL31" s="5">
        <f t="shared" si="43"/>
        <v>0.25</v>
      </c>
      <c r="BM31" s="5">
        <f t="shared" ref="BM31:BN31" si="126">0.5*50</f>
        <v>25</v>
      </c>
      <c r="BN31" s="5">
        <f t="shared" si="126"/>
        <v>25</v>
      </c>
      <c r="BO31" s="5">
        <f t="shared" si="15"/>
        <v>5</v>
      </c>
      <c r="BP31" s="5">
        <f t="shared" si="127"/>
        <v>5</v>
      </c>
      <c r="BQ31" s="5">
        <v>139.0</v>
      </c>
      <c r="BR31" s="5">
        <f t="shared" si="128"/>
        <v>50</v>
      </c>
      <c r="BS31" s="5">
        <f t="shared" si="46"/>
        <v>2.5</v>
      </c>
      <c r="BT31" s="5">
        <f t="shared" si="129"/>
        <v>0.25</v>
      </c>
      <c r="BU31" s="5">
        <f t="shared" ref="BU31:BV31" si="130">0.5*1</f>
        <v>0.5</v>
      </c>
      <c r="BV31" s="5">
        <f t="shared" si="130"/>
        <v>0.5</v>
      </c>
      <c r="BW31" s="5">
        <v>12.0</v>
      </c>
      <c r="BX31" s="5">
        <v>21.0</v>
      </c>
      <c r="BY31" s="5">
        <f t="shared" si="118"/>
        <v>0.25</v>
      </c>
      <c r="BZ31" s="5">
        <v>179.0</v>
      </c>
      <c r="CA31" s="5">
        <f t="shared" si="98"/>
        <v>25</v>
      </c>
      <c r="CB31" s="5">
        <v>21.0</v>
      </c>
      <c r="CC31" s="5">
        <v>18.0</v>
      </c>
      <c r="CD31" s="5">
        <v>180.0</v>
      </c>
      <c r="CE31" s="5">
        <v>15252.0</v>
      </c>
      <c r="CF31" s="5">
        <f t="shared" si="115"/>
        <v>2.5</v>
      </c>
      <c r="CG31" s="5">
        <f>0.5*0.5</f>
        <v>0.25</v>
      </c>
      <c r="CH31" s="5">
        <v>20.0</v>
      </c>
      <c r="CI31" s="5">
        <v>2.0</v>
      </c>
      <c r="CJ31" s="5"/>
      <c r="CK31" s="5">
        <f t="shared" si="94"/>
        <v>0.001</v>
      </c>
      <c r="CL31" s="5">
        <f t="shared" si="95"/>
        <v>0.0025</v>
      </c>
      <c r="CM31" s="5">
        <f t="shared" si="131"/>
        <v>0.001</v>
      </c>
      <c r="CN31" s="5"/>
      <c r="CO31" s="5">
        <v>2.53</v>
      </c>
      <c r="CP31" s="5"/>
      <c r="CQ31" s="5">
        <v>224.12</v>
      </c>
      <c r="CR31" s="5">
        <v>26.55</v>
      </c>
      <c r="CS31" s="5">
        <v>1204.8</v>
      </c>
      <c r="CT31" s="5">
        <v>25.28</v>
      </c>
      <c r="CU31" s="5">
        <v>22.76</v>
      </c>
      <c r="CV31" s="5">
        <v>226.3</v>
      </c>
      <c r="CW31" s="5">
        <v>13.91</v>
      </c>
      <c r="CX31" s="5"/>
      <c r="CY31" s="5">
        <v>26.55</v>
      </c>
      <c r="CZ31" s="5"/>
      <c r="DA31" s="5"/>
      <c r="DB31" s="5">
        <v>19281.92</v>
      </c>
    </row>
    <row r="32">
      <c r="A32" s="5" t="s">
        <v>130</v>
      </c>
      <c r="B32" s="5" t="s">
        <v>131</v>
      </c>
      <c r="C32" s="6" t="s">
        <v>292</v>
      </c>
      <c r="D32" s="6" t="s">
        <v>293</v>
      </c>
      <c r="E32" s="6" t="s">
        <v>245</v>
      </c>
      <c r="F32" s="5" t="s">
        <v>111</v>
      </c>
      <c r="G32" s="5" t="s">
        <v>112</v>
      </c>
      <c r="H32" s="5" t="s">
        <v>126</v>
      </c>
      <c r="I32" s="5" t="s">
        <v>113</v>
      </c>
      <c r="J32" s="5" t="s">
        <v>294</v>
      </c>
      <c r="K32" s="5" t="s">
        <v>295</v>
      </c>
      <c r="L32" s="5">
        <v>-19.1309</v>
      </c>
      <c r="M32" s="5">
        <v>-65.4505</v>
      </c>
      <c r="N32" s="5">
        <v>1.925</v>
      </c>
      <c r="O32" s="5">
        <v>22.0</v>
      </c>
      <c r="P32" s="5">
        <v>1500.0</v>
      </c>
      <c r="Q32" s="5">
        <v>156.1</v>
      </c>
      <c r="R32" s="5">
        <v>8.41</v>
      </c>
      <c r="S32" s="5">
        <v>-84.7</v>
      </c>
      <c r="T32" s="5">
        <v>667.0</v>
      </c>
      <c r="U32" s="5">
        <v>0.3</v>
      </c>
      <c r="V32" s="5">
        <v>17.9</v>
      </c>
      <c r="W32" s="5">
        <v>7.125</v>
      </c>
      <c r="X32" s="5">
        <v>102.4</v>
      </c>
      <c r="Y32" s="5">
        <f>1.5*1100</f>
        <v>1650</v>
      </c>
      <c r="Z32" s="5">
        <v>1040.0</v>
      </c>
      <c r="AA32" s="5">
        <v>467.0</v>
      </c>
      <c r="AB32" s="5">
        <v>572.0</v>
      </c>
      <c r="AC32" s="5">
        <v>8.0</v>
      </c>
      <c r="AD32" s="5">
        <v>183.1</v>
      </c>
      <c r="AE32" s="5">
        <f t="shared" si="88"/>
        <v>0.05</v>
      </c>
      <c r="AF32" s="5">
        <v>96.5</v>
      </c>
      <c r="AG32" s="5">
        <v>78.3</v>
      </c>
      <c r="AH32" s="5">
        <v>130.0</v>
      </c>
      <c r="AI32" s="5">
        <v>47.63</v>
      </c>
      <c r="AJ32" s="5">
        <v>15.6</v>
      </c>
      <c r="AK32" s="5">
        <v>69.67</v>
      </c>
      <c r="AL32" s="5">
        <v>6.37</v>
      </c>
      <c r="AM32" s="5">
        <v>51.5</v>
      </c>
      <c r="AN32" s="5">
        <v>16.12</v>
      </c>
      <c r="AO32" s="5">
        <v>72.68</v>
      </c>
      <c r="AP32" s="5">
        <v>8.45</v>
      </c>
      <c r="AQ32" s="5">
        <v>7.8</v>
      </c>
      <c r="AR32" s="5">
        <v>0.5</v>
      </c>
      <c r="AS32" s="5">
        <v>2.2</v>
      </c>
      <c r="AT32" s="5">
        <v>0.035</v>
      </c>
      <c r="AU32" s="5">
        <v>8.9</v>
      </c>
      <c r="AV32" s="5">
        <v>3.7</v>
      </c>
      <c r="AW32" s="5">
        <v>6.2</v>
      </c>
      <c r="AX32" s="5">
        <v>9.9</v>
      </c>
      <c r="AY32" s="5">
        <v>23.0</v>
      </c>
      <c r="AZ32" s="5"/>
      <c r="BA32" s="5"/>
      <c r="BB32" s="5"/>
      <c r="BC32" s="5"/>
      <c r="BD32" s="5"/>
      <c r="BE32" s="5"/>
      <c r="BF32" s="5">
        <f t="shared" si="124"/>
        <v>25</v>
      </c>
      <c r="BG32" s="5">
        <v>978.0</v>
      </c>
      <c r="BH32" s="5">
        <f t="shared" si="100"/>
        <v>5</v>
      </c>
      <c r="BI32" s="5">
        <f t="shared" si="109"/>
        <v>5</v>
      </c>
      <c r="BJ32" s="5">
        <v>5.0</v>
      </c>
      <c r="BK32" s="5">
        <f t="shared" si="125"/>
        <v>0.5</v>
      </c>
      <c r="BL32" s="5">
        <f t="shared" si="43"/>
        <v>0.25</v>
      </c>
      <c r="BM32" s="5">
        <f t="shared" ref="BM32:BN32" si="132">0.5*50</f>
        <v>25</v>
      </c>
      <c r="BN32" s="5">
        <f t="shared" si="132"/>
        <v>25</v>
      </c>
      <c r="BO32" s="5">
        <f t="shared" si="15"/>
        <v>5</v>
      </c>
      <c r="BP32" s="5">
        <f t="shared" si="127"/>
        <v>5</v>
      </c>
      <c r="BQ32" s="5">
        <v>557.0</v>
      </c>
      <c r="BR32" s="5">
        <f t="shared" si="128"/>
        <v>50</v>
      </c>
      <c r="BS32" s="5">
        <f t="shared" si="46"/>
        <v>2.5</v>
      </c>
      <c r="BT32" s="5">
        <f t="shared" si="129"/>
        <v>0.25</v>
      </c>
      <c r="BU32" s="5">
        <f t="shared" ref="BU32:BV32" si="133">0.5*1</f>
        <v>0.5</v>
      </c>
      <c r="BV32" s="5">
        <f t="shared" si="133"/>
        <v>0.5</v>
      </c>
      <c r="BW32" s="5">
        <v>20.0</v>
      </c>
      <c r="BX32" s="5">
        <v>19.0</v>
      </c>
      <c r="BY32" s="5">
        <f t="shared" si="118"/>
        <v>0.25</v>
      </c>
      <c r="BZ32" s="5">
        <v>302.0</v>
      </c>
      <c r="CA32" s="5">
        <f t="shared" si="98"/>
        <v>25</v>
      </c>
      <c r="CB32" s="5">
        <v>29.0</v>
      </c>
      <c r="CC32" s="5">
        <v>28.0</v>
      </c>
      <c r="CD32" s="5">
        <v>706.0</v>
      </c>
      <c r="CE32" s="5">
        <v>47849.0</v>
      </c>
      <c r="CF32" s="5">
        <f t="shared" si="115"/>
        <v>2.5</v>
      </c>
      <c r="CG32" s="5">
        <v>0.5</v>
      </c>
      <c r="CH32" s="5">
        <v>28.0</v>
      </c>
      <c r="CI32" s="5">
        <f t="shared" ref="CI32:CI33" si="134">0.5*1</f>
        <v>0.5</v>
      </c>
      <c r="CJ32" s="5"/>
      <c r="CK32" s="5">
        <f t="shared" si="94"/>
        <v>0.001</v>
      </c>
      <c r="CL32" s="5">
        <f t="shared" si="95"/>
        <v>0.0025</v>
      </c>
      <c r="CM32" s="5">
        <v>0.006</v>
      </c>
      <c r="CN32" s="5"/>
      <c r="CO32" s="5"/>
      <c r="CP32" s="5"/>
      <c r="CQ32" s="5">
        <v>1223.13</v>
      </c>
      <c r="CR32" s="5">
        <v>50.7</v>
      </c>
      <c r="CS32" s="5">
        <v>1709.79</v>
      </c>
      <c r="CT32" s="5">
        <v>48.95</v>
      </c>
      <c r="CU32" s="5">
        <v>48.95</v>
      </c>
      <c r="CV32" s="5">
        <v>527.97</v>
      </c>
      <c r="CW32" s="5">
        <v>26.22</v>
      </c>
      <c r="CX32" s="5">
        <v>0.87</v>
      </c>
      <c r="CY32" s="5">
        <v>33.22</v>
      </c>
      <c r="CZ32" s="5"/>
      <c r="DA32" s="5"/>
      <c r="DB32" s="5">
        <v>83652.1</v>
      </c>
    </row>
    <row r="33">
      <c r="A33" s="5" t="s">
        <v>106</v>
      </c>
      <c r="B33" s="5" t="s">
        <v>107</v>
      </c>
      <c r="C33" s="6" t="s">
        <v>296</v>
      </c>
      <c r="D33" s="6" t="s">
        <v>297</v>
      </c>
      <c r="E33" s="6" t="s">
        <v>245</v>
      </c>
      <c r="F33" s="5" t="s">
        <v>111</v>
      </c>
      <c r="G33" s="5" t="s">
        <v>112</v>
      </c>
      <c r="H33" s="5" t="s">
        <v>106</v>
      </c>
      <c r="I33" s="5" t="s">
        <v>113</v>
      </c>
      <c r="J33" s="5" t="s">
        <v>298</v>
      </c>
      <c r="K33" s="5" t="s">
        <v>299</v>
      </c>
      <c r="L33" s="5">
        <v>-19.4718</v>
      </c>
      <c r="M33" s="5">
        <v>-65.7944</v>
      </c>
      <c r="N33" s="5">
        <v>1.632</v>
      </c>
      <c r="O33" s="5">
        <v>5.0</v>
      </c>
      <c r="P33" s="5">
        <v>1384.5</v>
      </c>
      <c r="Q33" s="5">
        <v>129.4</v>
      </c>
      <c r="R33" s="5">
        <v>7.165</v>
      </c>
      <c r="S33" s="5">
        <v>-17.2</v>
      </c>
      <c r="T33" s="5">
        <v>722.0</v>
      </c>
      <c r="U33" s="5">
        <v>0.3</v>
      </c>
      <c r="V33" s="5">
        <v>21.2</v>
      </c>
      <c r="W33" s="5">
        <v>5.55</v>
      </c>
      <c r="X33" s="5">
        <v>94.3</v>
      </c>
      <c r="Y33" s="5">
        <v>802.2</v>
      </c>
      <c r="Z33" s="5">
        <v>960.0</v>
      </c>
      <c r="AA33" s="5">
        <v>425.0</v>
      </c>
      <c r="AB33" s="5">
        <v>530.0</v>
      </c>
      <c r="AC33" s="5">
        <v>14.0</v>
      </c>
      <c r="AD33" s="5">
        <v>245.0</v>
      </c>
      <c r="AE33" s="5">
        <f t="shared" si="88"/>
        <v>0.05</v>
      </c>
      <c r="AF33" s="5">
        <v>60.4</v>
      </c>
      <c r="AG33" s="5">
        <v>31.3</v>
      </c>
      <c r="AH33" s="5">
        <v>173.0</v>
      </c>
      <c r="AI33" s="5">
        <v>59.8</v>
      </c>
      <c r="AJ33" s="5">
        <v>29.03</v>
      </c>
      <c r="AK33" s="5">
        <v>1.2</v>
      </c>
      <c r="AL33" s="5">
        <v>5.782</v>
      </c>
      <c r="AM33" s="5">
        <v>68.6</v>
      </c>
      <c r="AN33" s="5">
        <v>31.11</v>
      </c>
      <c r="AO33" s="5">
        <v>2.26</v>
      </c>
      <c r="AP33" s="5">
        <v>8.77</v>
      </c>
      <c r="AQ33" s="5">
        <v>0.2</v>
      </c>
      <c r="AR33" s="5">
        <v>0.1</v>
      </c>
      <c r="AS33" s="5">
        <v>10.2</v>
      </c>
      <c r="AT33" s="5">
        <v>0.065</v>
      </c>
      <c r="AU33" s="5">
        <v>5.8</v>
      </c>
      <c r="AV33" s="5">
        <v>18.1</v>
      </c>
      <c r="AW33" s="5">
        <v>7.4</v>
      </c>
      <c r="AX33" s="5">
        <v>11.6</v>
      </c>
      <c r="AY33" s="5">
        <v>29.0</v>
      </c>
      <c r="AZ33" s="5">
        <v>66.0</v>
      </c>
      <c r="BA33" s="5">
        <v>33.0</v>
      </c>
      <c r="BB33" s="5"/>
      <c r="BC33" s="5"/>
      <c r="BD33" s="5"/>
      <c r="BE33" s="5">
        <v>14000.0</v>
      </c>
      <c r="BF33" s="5">
        <v>2371.0</v>
      </c>
      <c r="BG33" s="5">
        <v>2445.0</v>
      </c>
      <c r="BH33" s="5">
        <f t="shared" si="100"/>
        <v>5</v>
      </c>
      <c r="BI33" s="5">
        <f t="shared" si="109"/>
        <v>5</v>
      </c>
      <c r="BJ33" s="5">
        <v>20.0</v>
      </c>
      <c r="BK33" s="5">
        <f t="shared" si="125"/>
        <v>0.5</v>
      </c>
      <c r="BL33" s="5">
        <f t="shared" si="43"/>
        <v>0.25</v>
      </c>
      <c r="BM33" s="5">
        <v>9329.0</v>
      </c>
      <c r="BN33" s="5">
        <f t="shared" ref="BN33:BN34" si="135">0.5*50</f>
        <v>25</v>
      </c>
      <c r="BO33" s="5">
        <f t="shared" si="15"/>
        <v>5</v>
      </c>
      <c r="BP33" s="5">
        <v>13.0</v>
      </c>
      <c r="BQ33" s="5">
        <v>284.0</v>
      </c>
      <c r="BR33" s="5">
        <f t="shared" si="128"/>
        <v>50</v>
      </c>
      <c r="BS33" s="5">
        <f t="shared" si="46"/>
        <v>2.5</v>
      </c>
      <c r="BT33" s="5">
        <v>21.5</v>
      </c>
      <c r="BU33" s="5">
        <v>18.0</v>
      </c>
      <c r="BV33" s="5">
        <f>0.5*1</f>
        <v>0.5</v>
      </c>
      <c r="BW33" s="5">
        <v>73.0</v>
      </c>
      <c r="BX33" s="5">
        <v>42.0</v>
      </c>
      <c r="BY33" s="5">
        <f t="shared" si="118"/>
        <v>0.25</v>
      </c>
      <c r="BZ33" s="5">
        <v>10613.0</v>
      </c>
      <c r="CA33" s="5">
        <f t="shared" si="98"/>
        <v>25</v>
      </c>
      <c r="CB33" s="5">
        <f>0.5*10</f>
        <v>5</v>
      </c>
      <c r="CC33" s="5">
        <v>90.0</v>
      </c>
      <c r="CD33" s="5">
        <v>298.0</v>
      </c>
      <c r="CE33" s="5">
        <v>13103.0</v>
      </c>
      <c r="CF33" s="5">
        <f t="shared" si="115"/>
        <v>2.5</v>
      </c>
      <c r="CG33" s="5">
        <v>22.2</v>
      </c>
      <c r="CH33" s="5">
        <v>18.0</v>
      </c>
      <c r="CI33" s="5">
        <f t="shared" si="134"/>
        <v>0.5</v>
      </c>
      <c r="CJ33" s="5"/>
      <c r="CK33" s="5">
        <v>0.065</v>
      </c>
      <c r="CL33" s="5">
        <f t="shared" si="95"/>
        <v>0.0025</v>
      </c>
      <c r="CM33" s="5">
        <f t="shared" ref="CM33:CM34" si="136">0.5*0.002</f>
        <v>0.001</v>
      </c>
      <c r="CN33" s="5"/>
      <c r="CO33" s="5"/>
      <c r="CP33" s="5"/>
      <c r="CQ33" s="5">
        <v>551.36</v>
      </c>
      <c r="CR33" s="5"/>
      <c r="CS33" s="5">
        <v>139.62</v>
      </c>
      <c r="CT33" s="5">
        <v>0.0</v>
      </c>
      <c r="CU33" s="5">
        <v>145.28</v>
      </c>
      <c r="CV33" s="5">
        <v>2422.64</v>
      </c>
      <c r="CW33" s="5">
        <v>100.0</v>
      </c>
      <c r="CX33" s="5">
        <v>1.32</v>
      </c>
      <c r="CY33" s="5">
        <v>79.25</v>
      </c>
      <c r="CZ33" s="5"/>
      <c r="DA33" s="5"/>
      <c r="DB33" s="5">
        <v>24722.64</v>
      </c>
    </row>
    <row r="34">
      <c r="A34" s="5" t="s">
        <v>300</v>
      </c>
      <c r="B34" s="5" t="s">
        <v>301</v>
      </c>
      <c r="C34" s="6" t="s">
        <v>296</v>
      </c>
      <c r="D34" s="6" t="s">
        <v>238</v>
      </c>
      <c r="E34" s="6" t="s">
        <v>245</v>
      </c>
      <c r="F34" s="5" t="s">
        <v>111</v>
      </c>
      <c r="G34" s="5" t="s">
        <v>112</v>
      </c>
      <c r="H34" s="5" t="s">
        <v>302</v>
      </c>
      <c r="I34" s="5" t="s">
        <v>113</v>
      </c>
      <c r="J34" s="5" t="s">
        <v>303</v>
      </c>
      <c r="K34" s="5" t="s">
        <v>304</v>
      </c>
      <c r="L34" s="5">
        <v>-19.5782</v>
      </c>
      <c r="M34" s="5">
        <v>-65.8034</v>
      </c>
      <c r="N34" s="5">
        <v>1.405</v>
      </c>
      <c r="O34" s="5">
        <v>1.0</v>
      </c>
      <c r="P34" s="5">
        <v>726.0</v>
      </c>
      <c r="Q34" s="5">
        <v>132.1</v>
      </c>
      <c r="R34" s="5">
        <v>5.95</v>
      </c>
      <c r="S34" s="5">
        <v>49.0</v>
      </c>
      <c r="T34" s="5">
        <v>1380.0</v>
      </c>
      <c r="U34" s="5">
        <v>0.65</v>
      </c>
      <c r="V34" s="5">
        <v>18.1</v>
      </c>
      <c r="W34" s="5">
        <v>6.01</v>
      </c>
      <c r="X34" s="5">
        <v>98.2</v>
      </c>
      <c r="Y34" s="5">
        <v>824.0</v>
      </c>
      <c r="Z34" s="5">
        <v>1300.0</v>
      </c>
      <c r="AA34" s="5">
        <v>729.0</v>
      </c>
      <c r="AB34" s="5">
        <v>565.0</v>
      </c>
      <c r="AC34" s="5">
        <v>24.0</v>
      </c>
      <c r="AD34" s="5">
        <v>432.3</v>
      </c>
      <c r="AE34" s="5">
        <f t="shared" si="88"/>
        <v>0.05</v>
      </c>
      <c r="AF34" s="5">
        <v>114.6</v>
      </c>
      <c r="AG34" s="5">
        <v>65.8</v>
      </c>
      <c r="AH34" s="5">
        <v>295.0</v>
      </c>
      <c r="AI34" s="5">
        <v>120.6</v>
      </c>
      <c r="AJ34" s="5">
        <v>30.82</v>
      </c>
      <c r="AK34" s="5">
        <v>45.46</v>
      </c>
      <c r="AL34" s="5">
        <v>19.76</v>
      </c>
      <c r="AM34" s="5">
        <v>125.71</v>
      </c>
      <c r="AN34" s="5">
        <v>32.3</v>
      </c>
      <c r="AO34" s="5">
        <v>46.48</v>
      </c>
      <c r="AP34" s="5">
        <v>20.61</v>
      </c>
      <c r="AQ34" s="5">
        <v>2.5</v>
      </c>
      <c r="AR34" s="5">
        <v>0.1</v>
      </c>
      <c r="AS34" s="5">
        <v>35.5</v>
      </c>
      <c r="AT34" s="5">
        <v>0.12</v>
      </c>
      <c r="AU34" s="5">
        <v>18.1</v>
      </c>
      <c r="AV34" s="5">
        <v>63.1</v>
      </c>
      <c r="AW34" s="5">
        <v>31.3</v>
      </c>
      <c r="AX34" s="5">
        <v>46.6</v>
      </c>
      <c r="AY34" s="5">
        <v>106.0</v>
      </c>
      <c r="AZ34" s="5">
        <v>160.0</v>
      </c>
      <c r="BA34" s="5">
        <v>78.0</v>
      </c>
      <c r="BB34" s="5"/>
      <c r="BC34" s="5"/>
      <c r="BD34" s="5"/>
      <c r="BE34" s="5">
        <v>12000.0</v>
      </c>
      <c r="BF34" s="5">
        <v>7555.0</v>
      </c>
      <c r="BG34" s="5">
        <v>8694.0</v>
      </c>
      <c r="BH34" s="5">
        <f t="shared" si="100"/>
        <v>5</v>
      </c>
      <c r="BI34" s="5">
        <f t="shared" si="109"/>
        <v>5</v>
      </c>
      <c r="BJ34" s="5">
        <v>46.0</v>
      </c>
      <c r="BK34" s="5">
        <f t="shared" si="125"/>
        <v>0.5</v>
      </c>
      <c r="BL34" s="5">
        <f t="shared" si="43"/>
        <v>0.25</v>
      </c>
      <c r="BM34" s="5">
        <v>98025.0</v>
      </c>
      <c r="BN34" s="5">
        <f t="shared" si="135"/>
        <v>25</v>
      </c>
      <c r="BO34" s="5">
        <f t="shared" si="15"/>
        <v>5</v>
      </c>
      <c r="BP34" s="5">
        <v>112.0</v>
      </c>
      <c r="BQ34" s="5">
        <v>432.0</v>
      </c>
      <c r="BR34" s="5">
        <v>36537.0</v>
      </c>
      <c r="BS34" s="5">
        <f t="shared" si="46"/>
        <v>2.5</v>
      </c>
      <c r="BT34" s="5">
        <v>234.4</v>
      </c>
      <c r="BU34" s="5">
        <v>73.0</v>
      </c>
      <c r="BV34" s="5">
        <v>5.0</v>
      </c>
      <c r="BW34" s="5">
        <v>755.0</v>
      </c>
      <c r="BX34" s="5">
        <v>687.0</v>
      </c>
      <c r="BY34" s="5">
        <f t="shared" si="118"/>
        <v>0.25</v>
      </c>
      <c r="BZ34" s="5">
        <v>172374.0</v>
      </c>
      <c r="CA34" s="5">
        <f t="shared" si="98"/>
        <v>25</v>
      </c>
      <c r="CB34" s="5">
        <v>22.0</v>
      </c>
      <c r="CC34" s="5">
        <v>924.0</v>
      </c>
      <c r="CD34" s="5">
        <v>529.0</v>
      </c>
      <c r="CE34" s="5">
        <v>107845.0</v>
      </c>
      <c r="CF34" s="5">
        <v>15.0</v>
      </c>
      <c r="CG34" s="5">
        <v>246.2</v>
      </c>
      <c r="CH34" s="5">
        <v>81.0</v>
      </c>
      <c r="CI34" s="5">
        <v>7.0</v>
      </c>
      <c r="CJ34" s="5"/>
      <c r="CK34" s="5">
        <v>0.056</v>
      </c>
      <c r="CL34" s="5">
        <f t="shared" si="95"/>
        <v>0.0025</v>
      </c>
      <c r="CM34" s="5">
        <f t="shared" si="136"/>
        <v>0.001</v>
      </c>
      <c r="CN34" s="5"/>
      <c r="CO34" s="5">
        <v>3.54</v>
      </c>
      <c r="CP34" s="5"/>
      <c r="CQ34" s="5">
        <v>901.31</v>
      </c>
      <c r="CR34" s="5">
        <v>38.94</v>
      </c>
      <c r="CS34" s="5">
        <v>2015.93</v>
      </c>
      <c r="CT34" s="5">
        <v>14.16</v>
      </c>
      <c r="CU34" s="5">
        <v>1437.17</v>
      </c>
      <c r="CV34" s="5">
        <v>131591.15</v>
      </c>
      <c r="CW34" s="5">
        <v>1254.87</v>
      </c>
      <c r="CX34" s="5">
        <v>20.88</v>
      </c>
      <c r="CY34" s="5">
        <v>1215.93</v>
      </c>
      <c r="CZ34" s="5">
        <v>26.55</v>
      </c>
      <c r="DA34" s="5"/>
      <c r="DB34" s="5">
        <v>126208.85</v>
      </c>
    </row>
    <row r="35">
      <c r="A35" s="5" t="s">
        <v>305</v>
      </c>
      <c r="B35" s="5" t="s">
        <v>306</v>
      </c>
      <c r="C35" s="6" t="s">
        <v>296</v>
      </c>
      <c r="D35" s="6" t="s">
        <v>307</v>
      </c>
      <c r="E35" s="6" t="s">
        <v>245</v>
      </c>
      <c r="F35" s="5" t="s">
        <v>111</v>
      </c>
      <c r="G35" s="5" t="s">
        <v>112</v>
      </c>
      <c r="H35" s="5" t="s">
        <v>308</v>
      </c>
      <c r="I35" s="5" t="s">
        <v>113</v>
      </c>
      <c r="J35" s="5" t="s">
        <v>309</v>
      </c>
      <c r="K35" s="5" t="s">
        <v>310</v>
      </c>
      <c r="L35" s="5">
        <v>-19.5976</v>
      </c>
      <c r="M35" s="5">
        <v>-65.7313</v>
      </c>
      <c r="N35" s="5">
        <v>0.3</v>
      </c>
      <c r="O35" s="5">
        <v>0.0</v>
      </c>
      <c r="P35" s="5">
        <v>3720.0</v>
      </c>
      <c r="Q35" s="5">
        <v>123.1</v>
      </c>
      <c r="R35" s="5">
        <v>7.8</v>
      </c>
      <c r="S35" s="5">
        <v>-50.6</v>
      </c>
      <c r="T35" s="5">
        <v>269.0</v>
      </c>
      <c r="U35" s="5">
        <v>0.0</v>
      </c>
      <c r="V35" s="5">
        <v>9.5</v>
      </c>
      <c r="W35" s="5">
        <v>6.7</v>
      </c>
      <c r="X35" s="5">
        <v>98.1</v>
      </c>
      <c r="Y35" s="5">
        <v>3.47</v>
      </c>
      <c r="Z35" s="5">
        <v>230.0</v>
      </c>
      <c r="AA35" s="5">
        <v>174.0</v>
      </c>
      <c r="AB35" s="5">
        <v>55.0</v>
      </c>
      <c r="AC35" s="5">
        <v>17.0</v>
      </c>
      <c r="AD35" s="5">
        <v>111.1</v>
      </c>
      <c r="AE35" s="5">
        <f t="shared" si="88"/>
        <v>0.05</v>
      </c>
      <c r="AF35" s="5">
        <v>83.6</v>
      </c>
      <c r="AG35" s="5">
        <v>16.3</v>
      </c>
      <c r="AH35" s="5">
        <v>12.0</v>
      </c>
      <c r="AI35" s="5">
        <v>25.3</v>
      </c>
      <c r="AJ35" s="5">
        <v>4.43</v>
      </c>
      <c r="AK35" s="5">
        <v>10.62</v>
      </c>
      <c r="AL35" s="5">
        <v>2.706</v>
      </c>
      <c r="AM35" s="5">
        <v>26.8</v>
      </c>
      <c r="AN35" s="5">
        <v>4.52</v>
      </c>
      <c r="AO35" s="5">
        <v>10.71</v>
      </c>
      <c r="AP35" s="5">
        <v>2.77</v>
      </c>
      <c r="AQ35" s="5">
        <v>0.1</v>
      </c>
      <c r="AR35" s="5">
        <v>0.03</v>
      </c>
      <c r="AS35" s="5">
        <v>2.2</v>
      </c>
      <c r="AT35" s="5">
        <v>0.005</v>
      </c>
      <c r="AU35" s="5">
        <v>3.1</v>
      </c>
      <c r="AV35" s="5">
        <v>3.8</v>
      </c>
      <c r="AW35" s="5">
        <f t="shared" ref="AW35:AY35" si="137">0.5*2</f>
        <v>1</v>
      </c>
      <c r="AX35" s="5">
        <f t="shared" si="137"/>
        <v>1</v>
      </c>
      <c r="AY35" s="5">
        <f t="shared" si="137"/>
        <v>1</v>
      </c>
      <c r="AZ35" s="5">
        <v>12.0</v>
      </c>
      <c r="BA35" s="5">
        <v>10.0</v>
      </c>
      <c r="BB35" s="5"/>
      <c r="BC35" s="5"/>
      <c r="BD35" s="5"/>
      <c r="BE35" s="5">
        <v>2400.0</v>
      </c>
      <c r="BF35" s="5">
        <v>416.0</v>
      </c>
      <c r="BG35" s="5">
        <v>435.0</v>
      </c>
      <c r="BH35" s="5">
        <f t="shared" si="100"/>
        <v>5</v>
      </c>
      <c r="BI35" s="5">
        <f t="shared" si="109"/>
        <v>5</v>
      </c>
      <c r="BJ35" s="5">
        <v>4.0</v>
      </c>
      <c r="BK35" s="5">
        <f t="shared" si="125"/>
        <v>0.5</v>
      </c>
      <c r="BL35" s="5">
        <f t="shared" si="43"/>
        <v>0.25</v>
      </c>
      <c r="BM35" s="5">
        <f t="shared" ref="BM35:BN35" si="138">0.5*50</f>
        <v>25</v>
      </c>
      <c r="BN35" s="5">
        <f t="shared" si="138"/>
        <v>25</v>
      </c>
      <c r="BO35" s="5">
        <f t="shared" si="15"/>
        <v>5</v>
      </c>
      <c r="BP35" s="5">
        <f t="shared" ref="BP35:BP50" si="146">0.5*10</f>
        <v>5</v>
      </c>
      <c r="BQ35" s="5">
        <v>238.0</v>
      </c>
      <c r="BR35" s="5">
        <v>408.0</v>
      </c>
      <c r="BS35" s="5">
        <f t="shared" si="46"/>
        <v>2.5</v>
      </c>
      <c r="BT35" s="5">
        <f t="shared" ref="BT35:BT50" si="147">0.5*0.5</f>
        <v>0.25</v>
      </c>
      <c r="BU35" s="5">
        <f t="shared" ref="BU35:BV35" si="139">0.5*1</f>
        <v>0.5</v>
      </c>
      <c r="BV35" s="5">
        <f t="shared" si="139"/>
        <v>0.5</v>
      </c>
      <c r="BW35" s="5">
        <v>7.0</v>
      </c>
      <c r="BX35" s="5">
        <v>1.0</v>
      </c>
      <c r="BY35" s="5">
        <f t="shared" si="118"/>
        <v>0.25</v>
      </c>
      <c r="BZ35" s="5">
        <f t="shared" ref="BZ35:CA35" si="140">0.5*50</f>
        <v>25</v>
      </c>
      <c r="CA35" s="5">
        <f t="shared" si="140"/>
        <v>25</v>
      </c>
      <c r="CB35" s="5">
        <f t="shared" ref="CB35:CC35" si="141">0.5*10</f>
        <v>5</v>
      </c>
      <c r="CC35" s="5">
        <f t="shared" si="141"/>
        <v>5</v>
      </c>
      <c r="CD35" s="5">
        <v>245.0</v>
      </c>
      <c r="CE35" s="5">
        <v>771.0</v>
      </c>
      <c r="CF35" s="5">
        <f t="shared" ref="CF35:CF50" si="149">0.5*5</f>
        <v>2.5</v>
      </c>
      <c r="CG35" s="5">
        <f t="shared" ref="CG35:CG36" si="150">0.5*0.5</f>
        <v>0.25</v>
      </c>
      <c r="CH35" s="5">
        <f t="shared" ref="CH35:CI35" si="142">0.5*1</f>
        <v>0.5</v>
      </c>
      <c r="CI35" s="5">
        <f t="shared" si="142"/>
        <v>0.5</v>
      </c>
      <c r="CJ35" s="5"/>
      <c r="CK35" s="5">
        <f t="shared" ref="CK35:CK39" si="151">0.5*0.002</f>
        <v>0.001</v>
      </c>
      <c r="CL35" s="5">
        <f t="shared" si="95"/>
        <v>0.0025</v>
      </c>
      <c r="CM35" s="5">
        <v>0.01</v>
      </c>
      <c r="CN35" s="5"/>
      <c r="CO35" s="5"/>
      <c r="CP35" s="5"/>
      <c r="CQ35" s="5">
        <v>4405.27</v>
      </c>
      <c r="CR35" s="5"/>
      <c r="CS35" s="5">
        <v>345.45</v>
      </c>
      <c r="CT35" s="5"/>
      <c r="CU35" s="5"/>
      <c r="CV35" s="5"/>
      <c r="CW35" s="5">
        <v>54.55</v>
      </c>
      <c r="CX35" s="5"/>
      <c r="CY35" s="5">
        <v>18.18</v>
      </c>
      <c r="CZ35" s="5"/>
      <c r="DA35" s="5"/>
      <c r="DB35" s="5">
        <v>6600.0</v>
      </c>
    </row>
    <row r="36">
      <c r="A36" s="5" t="s">
        <v>136</v>
      </c>
      <c r="B36" s="5" t="s">
        <v>137</v>
      </c>
      <c r="C36" s="6" t="s">
        <v>311</v>
      </c>
      <c r="D36" s="6" t="s">
        <v>312</v>
      </c>
      <c r="E36" s="6" t="s">
        <v>245</v>
      </c>
      <c r="F36" s="5" t="s">
        <v>111</v>
      </c>
      <c r="G36" s="5" t="s">
        <v>112</v>
      </c>
      <c r="H36" s="5" t="s">
        <v>140</v>
      </c>
      <c r="J36" s="5" t="s">
        <v>313</v>
      </c>
      <c r="K36" s="5" t="s">
        <v>314</v>
      </c>
      <c r="L36" s="5">
        <v>-19.208</v>
      </c>
      <c r="M36" s="5">
        <v>-65.5534</v>
      </c>
      <c r="N36" s="5">
        <v>2.908</v>
      </c>
      <c r="O36" s="5">
        <v>56.0</v>
      </c>
      <c r="P36" s="5">
        <v>3090.0</v>
      </c>
      <c r="Q36" s="5">
        <v>144.9</v>
      </c>
      <c r="R36" s="5">
        <v>8.38</v>
      </c>
      <c r="S36" s="5">
        <v>-83.7</v>
      </c>
      <c r="T36" s="5">
        <v>324.0</v>
      </c>
      <c r="U36" s="5">
        <v>0.1</v>
      </c>
      <c r="V36" s="5">
        <v>20.3</v>
      </c>
      <c r="W36" s="5">
        <v>6.34</v>
      </c>
      <c r="X36" s="5">
        <v>101.0</v>
      </c>
      <c r="Y36" s="5">
        <f t="shared" ref="Y36:Y43" si="152">1.5*1100</f>
        <v>1650</v>
      </c>
      <c r="Z36" s="5">
        <v>1445.0</v>
      </c>
      <c r="AA36" s="5">
        <v>255.0</v>
      </c>
      <c r="AB36" s="5">
        <v>1176.0</v>
      </c>
      <c r="AC36" s="5">
        <v>2.0</v>
      </c>
      <c r="AD36" s="5">
        <v>145.4</v>
      </c>
      <c r="AE36" s="5">
        <f t="shared" si="88"/>
        <v>0.05</v>
      </c>
      <c r="AF36" s="5">
        <v>58.3</v>
      </c>
      <c r="AG36" s="5">
        <v>19.9</v>
      </c>
      <c r="AH36" s="5">
        <v>90.0</v>
      </c>
      <c r="AI36" s="5">
        <v>31.32</v>
      </c>
      <c r="AJ36" s="5">
        <v>18.41</v>
      </c>
      <c r="AK36" s="5">
        <v>13.66</v>
      </c>
      <c r="AL36" s="5">
        <v>4.35</v>
      </c>
      <c r="AM36" s="5">
        <v>45.21</v>
      </c>
      <c r="AN36" s="5">
        <v>19.4</v>
      </c>
      <c r="AO36" s="5">
        <v>18.24</v>
      </c>
      <c r="AP36" s="5">
        <v>12.2</v>
      </c>
      <c r="AQ36" s="5">
        <v>8.3</v>
      </c>
      <c r="AR36" s="5">
        <v>1.1</v>
      </c>
      <c r="AS36" s="5">
        <v>1.8</v>
      </c>
      <c r="AT36" s="5">
        <v>0.012</v>
      </c>
      <c r="AU36" s="5">
        <v>31.0</v>
      </c>
      <c r="AV36" s="5">
        <v>3.2</v>
      </c>
      <c r="AW36" s="5">
        <f t="shared" ref="AW36:AX36" si="143">0.5*2</f>
        <v>1</v>
      </c>
      <c r="AX36" s="5">
        <f t="shared" si="143"/>
        <v>1</v>
      </c>
      <c r="AY36" s="5">
        <v>4.0</v>
      </c>
      <c r="AZ36" s="5">
        <v>190.0</v>
      </c>
      <c r="BA36" s="5">
        <v>150.0</v>
      </c>
      <c r="BB36" s="5"/>
      <c r="BC36" s="5"/>
      <c r="BD36" s="5"/>
      <c r="BE36" s="5">
        <v>24000.0</v>
      </c>
      <c r="BF36" s="5">
        <v>111.0</v>
      </c>
      <c r="BG36" s="5">
        <v>1161.0</v>
      </c>
      <c r="BH36" s="5">
        <f t="shared" si="100"/>
        <v>5</v>
      </c>
      <c r="BI36" s="5">
        <f t="shared" si="109"/>
        <v>5</v>
      </c>
      <c r="BJ36" s="5">
        <f t="shared" ref="BJ36:BK36" si="144">0.5*1</f>
        <v>0.5</v>
      </c>
      <c r="BK36" s="5">
        <f t="shared" si="144"/>
        <v>0.5</v>
      </c>
      <c r="BL36" s="5">
        <f t="shared" si="43"/>
        <v>0.25</v>
      </c>
      <c r="BM36" s="5">
        <f t="shared" ref="BM36:BN36" si="145">0.5*50</f>
        <v>25</v>
      </c>
      <c r="BN36" s="5">
        <f t="shared" si="145"/>
        <v>25</v>
      </c>
      <c r="BO36" s="5">
        <f t="shared" si="15"/>
        <v>5</v>
      </c>
      <c r="BP36" s="5">
        <f t="shared" si="146"/>
        <v>5</v>
      </c>
      <c r="BQ36" s="5">
        <v>79.0</v>
      </c>
      <c r="BR36" s="5">
        <f t="shared" ref="BR36:BR39" si="154">0.5*100</f>
        <v>50</v>
      </c>
      <c r="BS36" s="5">
        <f t="shared" si="46"/>
        <v>2.5</v>
      </c>
      <c r="BT36" s="5">
        <f t="shared" si="147"/>
        <v>0.25</v>
      </c>
      <c r="BU36" s="5">
        <f t="shared" ref="BU36:BV36" si="148">0.5*1</f>
        <v>0.5</v>
      </c>
      <c r="BV36" s="5">
        <f t="shared" si="148"/>
        <v>0.5</v>
      </c>
      <c r="BW36" s="5">
        <v>25.0</v>
      </c>
      <c r="BX36" s="5">
        <v>40.0</v>
      </c>
      <c r="BY36" s="5">
        <f t="shared" si="118"/>
        <v>0.25</v>
      </c>
      <c r="BZ36" s="5">
        <v>190.0</v>
      </c>
      <c r="CA36" s="5">
        <f t="shared" ref="CA36:CA43" si="156">0.5*50</f>
        <v>25</v>
      </c>
      <c r="CB36" s="5">
        <v>53.0</v>
      </c>
      <c r="CC36" s="5">
        <v>61.0</v>
      </c>
      <c r="CD36" s="5">
        <v>86.0</v>
      </c>
      <c r="CE36" s="5">
        <v>126455.0</v>
      </c>
      <c r="CF36" s="5">
        <f t="shared" si="149"/>
        <v>2.5</v>
      </c>
      <c r="CG36" s="5">
        <f t="shared" si="150"/>
        <v>0.25</v>
      </c>
      <c r="CH36" s="5">
        <v>59.0</v>
      </c>
      <c r="CI36" s="5">
        <v>1.0</v>
      </c>
      <c r="CJ36" s="5"/>
      <c r="CK36" s="5">
        <f t="shared" si="151"/>
        <v>0.001</v>
      </c>
      <c r="CL36" s="5">
        <f t="shared" si="95"/>
        <v>0.0025</v>
      </c>
      <c r="CN36" s="5"/>
      <c r="CO36" s="5">
        <v>0.85</v>
      </c>
      <c r="CP36" s="5"/>
      <c r="CQ36" s="5">
        <v>69.43</v>
      </c>
      <c r="CR36" s="5">
        <v>45.07</v>
      </c>
      <c r="CS36" s="5">
        <v>892.86</v>
      </c>
      <c r="CT36" s="5">
        <v>50.17</v>
      </c>
      <c r="CU36" s="5">
        <v>51.87</v>
      </c>
      <c r="CV36" s="5">
        <v>161.56</v>
      </c>
      <c r="CW36" s="5">
        <v>21.26</v>
      </c>
      <c r="CX36" s="5"/>
      <c r="CY36" s="5">
        <v>34.01</v>
      </c>
      <c r="CZ36" s="5"/>
      <c r="DA36" s="5"/>
      <c r="DB36" s="5">
        <v>107529.76</v>
      </c>
    </row>
    <row r="37">
      <c r="A37" s="5" t="s">
        <v>143</v>
      </c>
      <c r="B37" s="5" t="s">
        <v>144</v>
      </c>
      <c r="C37" s="6" t="s">
        <v>311</v>
      </c>
      <c r="D37" s="6" t="s">
        <v>315</v>
      </c>
      <c r="E37" s="6" t="s">
        <v>245</v>
      </c>
      <c r="F37" s="5" t="s">
        <v>111</v>
      </c>
      <c r="G37" s="5" t="s">
        <v>112</v>
      </c>
      <c r="H37" s="5" t="s">
        <v>126</v>
      </c>
      <c r="J37" s="5" t="s">
        <v>316</v>
      </c>
      <c r="K37" s="5" t="s">
        <v>317</v>
      </c>
      <c r="L37" s="5">
        <v>-19.1323</v>
      </c>
      <c r="M37" s="5">
        <v>-65.5723</v>
      </c>
      <c r="N37" s="5"/>
      <c r="O37" s="5"/>
      <c r="P37" s="5">
        <v>1981.0</v>
      </c>
      <c r="Q37" s="5">
        <v>151.9</v>
      </c>
      <c r="R37" s="5">
        <v>8.3</v>
      </c>
      <c r="S37" s="5">
        <v>-79.2</v>
      </c>
      <c r="T37" s="5">
        <v>505.0</v>
      </c>
      <c r="U37" s="5">
        <v>0.2</v>
      </c>
      <c r="V37" s="5">
        <v>18.1</v>
      </c>
      <c r="W37" s="5">
        <v>6.89</v>
      </c>
      <c r="X37" s="5">
        <v>102.5</v>
      </c>
      <c r="Y37" s="5">
        <f t="shared" si="152"/>
        <v>1650</v>
      </c>
      <c r="Z37" s="5">
        <v>958.0</v>
      </c>
      <c r="AA37" s="5">
        <v>372.0</v>
      </c>
      <c r="AB37" s="5">
        <v>579.0</v>
      </c>
      <c r="AC37" s="5">
        <v>8.0</v>
      </c>
      <c r="AD37" s="5">
        <v>141.4</v>
      </c>
      <c r="AE37" s="5">
        <f t="shared" si="88"/>
        <v>0.05</v>
      </c>
      <c r="AF37" s="5">
        <v>80.4</v>
      </c>
      <c r="AG37" s="5">
        <v>48.9</v>
      </c>
      <c r="AH37" s="5">
        <v>72.0</v>
      </c>
      <c r="AI37" s="5">
        <v>53.5</v>
      </c>
      <c r="AJ37" s="5">
        <v>14.03</v>
      </c>
      <c r="AK37" s="5">
        <v>18.71</v>
      </c>
      <c r="AL37" s="5">
        <v>6.35</v>
      </c>
      <c r="AM37" s="5">
        <v>60.31</v>
      </c>
      <c r="AN37" s="5">
        <v>15.62</v>
      </c>
      <c r="AO37" s="5">
        <v>20.46</v>
      </c>
      <c r="AP37" s="5">
        <v>9.52</v>
      </c>
      <c r="AQ37" s="5">
        <v>4.2</v>
      </c>
      <c r="AR37" s="5">
        <v>0.9</v>
      </c>
      <c r="AS37" s="5">
        <v>2.2</v>
      </c>
      <c r="AT37" s="5">
        <v>0.014</v>
      </c>
      <c r="AU37" s="5">
        <v>26.6</v>
      </c>
      <c r="AV37" s="5">
        <v>3.9</v>
      </c>
      <c r="AW37" s="5">
        <v>6.5</v>
      </c>
      <c r="AX37" s="5">
        <v>8.2</v>
      </c>
      <c r="AY37" s="5">
        <v>21.0</v>
      </c>
      <c r="AZ37" s="5">
        <v>500.0</v>
      </c>
      <c r="BA37" s="5">
        <v>300.0</v>
      </c>
      <c r="BB37" s="5"/>
      <c r="BC37" s="5"/>
      <c r="BD37" s="5"/>
      <c r="BE37" s="5">
        <v>12000.0</v>
      </c>
      <c r="BF37" s="5">
        <f t="shared" ref="BF37:BF39" si="157">0.5*50</f>
        <v>25</v>
      </c>
      <c r="BG37" s="5">
        <v>13460.0</v>
      </c>
      <c r="BH37" s="5">
        <f t="shared" si="100"/>
        <v>5</v>
      </c>
      <c r="BI37" s="5">
        <f t="shared" si="109"/>
        <v>5</v>
      </c>
      <c r="BJ37" s="5">
        <v>3.0</v>
      </c>
      <c r="BK37" s="5">
        <f t="shared" ref="BK37:BK47" si="158">0.5*1</f>
        <v>0.5</v>
      </c>
      <c r="BL37" s="5">
        <f t="shared" si="43"/>
        <v>0.25</v>
      </c>
      <c r="BM37" s="5">
        <f t="shared" ref="BM37:BN37" si="153">0.5*50</f>
        <v>25</v>
      </c>
      <c r="BN37" s="5">
        <f t="shared" si="153"/>
        <v>25</v>
      </c>
      <c r="BO37" s="5">
        <f t="shared" si="15"/>
        <v>5</v>
      </c>
      <c r="BP37" s="5">
        <f t="shared" si="146"/>
        <v>5</v>
      </c>
      <c r="BQ37" s="5">
        <v>549.0</v>
      </c>
      <c r="BR37" s="5">
        <f t="shared" si="154"/>
        <v>50</v>
      </c>
      <c r="BS37" s="5">
        <f t="shared" si="46"/>
        <v>2.5</v>
      </c>
      <c r="BT37" s="5">
        <f t="shared" si="147"/>
        <v>0.25</v>
      </c>
      <c r="BU37" s="5">
        <f t="shared" ref="BU37:BV37" si="155">0.5*1</f>
        <v>0.5</v>
      </c>
      <c r="BV37" s="5">
        <f t="shared" si="155"/>
        <v>0.5</v>
      </c>
      <c r="BW37" s="5">
        <v>159.0</v>
      </c>
      <c r="BX37" s="5">
        <v>143.0</v>
      </c>
      <c r="BY37" s="5">
        <f t="shared" si="118"/>
        <v>0.25</v>
      </c>
      <c r="BZ37" s="5">
        <v>1111.0</v>
      </c>
      <c r="CA37" s="5">
        <f t="shared" si="156"/>
        <v>25</v>
      </c>
      <c r="CB37" s="5">
        <v>170.0</v>
      </c>
      <c r="CC37" s="5">
        <v>176.0</v>
      </c>
      <c r="CD37" s="5">
        <v>652.0</v>
      </c>
      <c r="CE37" s="5">
        <v>443104.0</v>
      </c>
      <c r="CF37" s="5">
        <f t="shared" si="149"/>
        <v>2.5</v>
      </c>
      <c r="CG37" s="5">
        <v>1.7</v>
      </c>
      <c r="CH37" s="5">
        <v>209.0</v>
      </c>
      <c r="CI37" s="5">
        <v>9.0</v>
      </c>
      <c r="CJ37" s="5"/>
      <c r="CK37" s="5">
        <f t="shared" si="151"/>
        <v>0.001</v>
      </c>
      <c r="CL37" s="5">
        <f t="shared" si="95"/>
        <v>0.0025</v>
      </c>
      <c r="CM37" s="5">
        <f t="shared" ref="CM37:CM40" si="160">0.5*0.002</f>
        <v>0.001</v>
      </c>
      <c r="CN37" s="5"/>
      <c r="CO37" s="5">
        <v>15.54</v>
      </c>
      <c r="CP37" s="5"/>
      <c r="CQ37" s="5">
        <v>1115.11</v>
      </c>
      <c r="CR37" s="5">
        <v>293.61</v>
      </c>
      <c r="CS37" s="5">
        <v>23246.98</v>
      </c>
      <c r="CT37" s="5">
        <v>360.97</v>
      </c>
      <c r="CU37" s="5">
        <v>303.97</v>
      </c>
      <c r="CV37" s="5">
        <v>1918.83</v>
      </c>
      <c r="CW37" s="5">
        <v>269.43</v>
      </c>
      <c r="CX37" s="5">
        <v>2.94</v>
      </c>
      <c r="CY37" s="5">
        <v>246.98</v>
      </c>
      <c r="CZ37" s="5"/>
      <c r="DA37" s="5"/>
      <c r="DB37" s="5">
        <v>765291.88</v>
      </c>
    </row>
    <row r="38">
      <c r="A38" s="5" t="s">
        <v>148</v>
      </c>
      <c r="B38" s="5" t="s">
        <v>149</v>
      </c>
      <c r="C38" s="6" t="s">
        <v>318</v>
      </c>
      <c r="D38" s="6" t="s">
        <v>244</v>
      </c>
      <c r="E38" s="6" t="s">
        <v>245</v>
      </c>
      <c r="F38" s="5" t="s">
        <v>111</v>
      </c>
      <c r="G38" s="5" t="s">
        <v>112</v>
      </c>
      <c r="H38" s="5" t="s">
        <v>152</v>
      </c>
      <c r="I38" s="5" t="s">
        <v>153</v>
      </c>
      <c r="J38" s="5" t="s">
        <v>319</v>
      </c>
      <c r="K38" s="5" t="s">
        <v>320</v>
      </c>
      <c r="L38" s="5">
        <v>-20.7423</v>
      </c>
      <c r="M38" s="5">
        <v>-65.2405</v>
      </c>
      <c r="N38" s="5"/>
      <c r="O38" s="5"/>
      <c r="P38" s="5">
        <v>1470.0</v>
      </c>
      <c r="Q38" s="5">
        <v>145.95</v>
      </c>
      <c r="R38" s="5">
        <v>7.85</v>
      </c>
      <c r="S38" s="5">
        <v>-54.9</v>
      </c>
      <c r="T38" s="5">
        <v>680.0</v>
      </c>
      <c r="U38" s="5">
        <v>0.3</v>
      </c>
      <c r="V38" s="5">
        <v>21.4</v>
      </c>
      <c r="W38" s="5">
        <v>6.24</v>
      </c>
      <c r="X38" s="5">
        <v>94.15</v>
      </c>
      <c r="Y38" s="5">
        <f t="shared" si="152"/>
        <v>1650</v>
      </c>
      <c r="Z38" s="5">
        <v>1346.0</v>
      </c>
      <c r="AA38" s="5">
        <v>467.0</v>
      </c>
      <c r="AB38" s="5">
        <v>845.0</v>
      </c>
      <c r="AC38" s="5">
        <v>8.0</v>
      </c>
      <c r="AD38" s="5">
        <v>305.8</v>
      </c>
      <c r="AE38" s="5">
        <f t="shared" si="88"/>
        <v>0.05</v>
      </c>
      <c r="AF38" s="5">
        <v>64.3</v>
      </c>
      <c r="AG38" s="5">
        <v>40.8</v>
      </c>
      <c r="AH38" s="5">
        <v>200.0</v>
      </c>
      <c r="AI38" s="5">
        <v>72.92</v>
      </c>
      <c r="AJ38" s="5">
        <v>21.9</v>
      </c>
      <c r="AK38" s="5">
        <v>30.52</v>
      </c>
      <c r="AL38" s="5">
        <v>16.75</v>
      </c>
      <c r="AM38" s="5">
        <v>81.9</v>
      </c>
      <c r="AN38" s="5">
        <v>22.87</v>
      </c>
      <c r="AO38" s="5">
        <v>38.73</v>
      </c>
      <c r="AP38" s="5">
        <v>17.36</v>
      </c>
      <c r="AQ38" s="5">
        <v>0.3</v>
      </c>
      <c r="AR38" s="5">
        <v>0.2</v>
      </c>
      <c r="AS38" s="5">
        <v>1.8</v>
      </c>
      <c r="AT38" s="5">
        <v>0.004</v>
      </c>
      <c r="AU38" s="5">
        <v>5.8</v>
      </c>
      <c r="AV38" s="5">
        <v>3.2</v>
      </c>
      <c r="AW38" s="5">
        <v>6.1</v>
      </c>
      <c r="AX38" s="5">
        <v>8.6</v>
      </c>
      <c r="AY38" s="5">
        <v>21.0</v>
      </c>
      <c r="AZ38" s="5">
        <v>290.0</v>
      </c>
      <c r="BA38" s="5">
        <v>230.0</v>
      </c>
      <c r="BB38" s="5"/>
      <c r="BC38" s="5"/>
      <c r="BD38" s="5"/>
      <c r="BE38" s="5">
        <v>61000.0</v>
      </c>
      <c r="BF38" s="5">
        <f t="shared" si="157"/>
        <v>25</v>
      </c>
      <c r="BG38" s="5">
        <v>8125.0</v>
      </c>
      <c r="BH38" s="5">
        <f t="shared" si="100"/>
        <v>5</v>
      </c>
      <c r="BI38" s="5">
        <v>12.0</v>
      </c>
      <c r="BJ38" s="5">
        <v>2.0</v>
      </c>
      <c r="BK38" s="5">
        <f t="shared" si="158"/>
        <v>0.5</v>
      </c>
      <c r="BL38" s="5">
        <f t="shared" si="43"/>
        <v>0.25</v>
      </c>
      <c r="BM38" s="5">
        <f t="shared" ref="BM38:BN38" si="159">0.5*50</f>
        <v>25</v>
      </c>
      <c r="BN38" s="5">
        <f t="shared" si="159"/>
        <v>25</v>
      </c>
      <c r="BO38" s="5">
        <f t="shared" si="15"/>
        <v>5</v>
      </c>
      <c r="BP38" s="5">
        <f t="shared" si="146"/>
        <v>5</v>
      </c>
      <c r="BQ38" s="5">
        <v>729.0</v>
      </c>
      <c r="BR38" s="5">
        <f t="shared" si="154"/>
        <v>50</v>
      </c>
      <c r="BS38" s="5">
        <f t="shared" si="46"/>
        <v>2.5</v>
      </c>
      <c r="BT38" s="5">
        <f t="shared" si="147"/>
        <v>0.25</v>
      </c>
      <c r="BU38" s="5">
        <v>2.0</v>
      </c>
      <c r="BV38" s="5">
        <f t="shared" ref="BV38:BV43" si="162">0.5*1</f>
        <v>0.5</v>
      </c>
      <c r="BW38" s="5">
        <v>222.0</v>
      </c>
      <c r="BX38" s="5">
        <v>313.0</v>
      </c>
      <c r="BY38" s="5">
        <v>1.9</v>
      </c>
      <c r="BZ38" s="5">
        <v>1219.0</v>
      </c>
      <c r="CA38" s="5">
        <f t="shared" si="156"/>
        <v>25</v>
      </c>
      <c r="CB38" s="5">
        <v>310.0</v>
      </c>
      <c r="CC38" s="5">
        <v>294.0</v>
      </c>
      <c r="CD38" s="5">
        <v>1231.0</v>
      </c>
      <c r="CE38" s="5">
        <v>579314.0</v>
      </c>
      <c r="CF38" s="5">
        <f t="shared" si="149"/>
        <v>2.5</v>
      </c>
      <c r="CG38" s="5">
        <v>3.2</v>
      </c>
      <c r="CH38" s="5">
        <v>303.0</v>
      </c>
      <c r="CI38" s="5">
        <v>11.0</v>
      </c>
      <c r="CJ38" s="5"/>
      <c r="CK38" s="5">
        <f t="shared" si="151"/>
        <v>0.001</v>
      </c>
      <c r="CL38" s="5">
        <v>0.009</v>
      </c>
      <c r="CM38" s="5">
        <f t="shared" si="160"/>
        <v>0.001</v>
      </c>
      <c r="CN38" s="5">
        <v>14.2</v>
      </c>
      <c r="CO38" s="5">
        <v>13.02</v>
      </c>
      <c r="CP38" s="5"/>
      <c r="CQ38" s="5">
        <v>1436.98</v>
      </c>
      <c r="CR38" s="5">
        <v>366.86</v>
      </c>
      <c r="CS38" s="5">
        <v>9615.38</v>
      </c>
      <c r="CT38" s="5">
        <v>356.21</v>
      </c>
      <c r="CU38" s="5">
        <v>347.93</v>
      </c>
      <c r="CV38" s="5">
        <v>1442.6</v>
      </c>
      <c r="CW38" s="5">
        <v>260.36</v>
      </c>
      <c r="CX38" s="5">
        <v>3.79</v>
      </c>
      <c r="CY38" s="5">
        <v>370.41</v>
      </c>
      <c r="CZ38" s="5"/>
      <c r="DA38" s="5">
        <v>2.25</v>
      </c>
      <c r="DB38" s="5">
        <v>685578.7</v>
      </c>
    </row>
    <row r="39">
      <c r="A39" s="5" t="s">
        <v>156</v>
      </c>
      <c r="B39" s="5" t="s">
        <v>157</v>
      </c>
      <c r="C39" s="6" t="s">
        <v>318</v>
      </c>
      <c r="D39" s="6" t="s">
        <v>321</v>
      </c>
      <c r="E39" s="6" t="s">
        <v>245</v>
      </c>
      <c r="F39" s="5" t="s">
        <v>111</v>
      </c>
      <c r="G39" s="5" t="s">
        <v>112</v>
      </c>
      <c r="H39" s="5" t="s">
        <v>159</v>
      </c>
      <c r="I39" s="5" t="s">
        <v>160</v>
      </c>
      <c r="J39" s="5" t="s">
        <v>322</v>
      </c>
      <c r="K39" s="5" t="s">
        <v>323</v>
      </c>
      <c r="L39" s="5">
        <v>-21.2393</v>
      </c>
      <c r="M39" s="5">
        <v>-65.2091</v>
      </c>
      <c r="N39" s="5"/>
      <c r="O39" s="5"/>
      <c r="P39" s="5">
        <v>1686.0</v>
      </c>
      <c r="Q39" s="5">
        <v>151.5</v>
      </c>
      <c r="R39" s="5">
        <v>8.04</v>
      </c>
      <c r="S39" s="5">
        <v>-65.7</v>
      </c>
      <c r="T39" s="5">
        <v>593.0</v>
      </c>
      <c r="U39" s="5">
        <v>0.2</v>
      </c>
      <c r="V39" s="5">
        <v>20.9</v>
      </c>
      <c r="W39" s="5">
        <v>6.54</v>
      </c>
      <c r="X39" s="5">
        <v>97.3</v>
      </c>
      <c r="Y39" s="5">
        <f t="shared" si="152"/>
        <v>1650</v>
      </c>
      <c r="Z39" s="5">
        <v>873.0</v>
      </c>
      <c r="AA39" s="5">
        <v>377.0</v>
      </c>
      <c r="AB39" s="5">
        <v>536.0</v>
      </c>
      <c r="AC39" s="5">
        <v>7.0</v>
      </c>
      <c r="AD39" s="5">
        <v>195.2</v>
      </c>
      <c r="AE39" s="5">
        <f t="shared" si="88"/>
        <v>0.05</v>
      </c>
      <c r="AF39" s="5">
        <v>80.4</v>
      </c>
      <c r="AG39" s="5">
        <v>47.4</v>
      </c>
      <c r="AH39" s="5">
        <v>95.0</v>
      </c>
      <c r="AI39" s="5">
        <v>45.3</v>
      </c>
      <c r="AJ39" s="5">
        <v>13.61</v>
      </c>
      <c r="AK39" s="5">
        <v>22.81</v>
      </c>
      <c r="AL39" s="5">
        <v>8.55</v>
      </c>
      <c r="AM39" s="5">
        <v>50.91</v>
      </c>
      <c r="AN39" s="5">
        <v>13.92</v>
      </c>
      <c r="AO39" s="5">
        <v>23.8</v>
      </c>
      <c r="AP39" s="5">
        <v>10.91</v>
      </c>
      <c r="AQ39" s="5">
        <v>5.6</v>
      </c>
      <c r="AR39" s="5">
        <v>0.8</v>
      </c>
      <c r="AS39" s="5">
        <v>2.2</v>
      </c>
      <c r="AT39" s="5">
        <v>0.008</v>
      </c>
      <c r="AU39" s="5">
        <v>6.6</v>
      </c>
      <c r="AV39" s="5">
        <v>3.9</v>
      </c>
      <c r="AW39" s="5">
        <v>4.3</v>
      </c>
      <c r="AX39" s="5">
        <v>6.2</v>
      </c>
      <c r="AY39" s="5">
        <v>16.0</v>
      </c>
      <c r="AZ39" s="5">
        <v>700.0</v>
      </c>
      <c r="BA39" s="5">
        <v>560.0</v>
      </c>
      <c r="BB39" s="5"/>
      <c r="BC39" s="5"/>
      <c r="BD39" s="5"/>
      <c r="BE39" s="5">
        <v>29000.0</v>
      </c>
      <c r="BF39" s="5">
        <f t="shared" si="157"/>
        <v>25</v>
      </c>
      <c r="BG39" s="5">
        <v>6958.0</v>
      </c>
      <c r="BH39" s="5">
        <f t="shared" si="100"/>
        <v>5</v>
      </c>
      <c r="BI39" s="5">
        <f t="shared" ref="BI39:BI41" si="163">0.5*10</f>
        <v>5</v>
      </c>
      <c r="BJ39" s="5">
        <v>3.0</v>
      </c>
      <c r="BK39" s="5">
        <f t="shared" si="158"/>
        <v>0.5</v>
      </c>
      <c r="BL39" s="5">
        <f t="shared" si="43"/>
        <v>0.25</v>
      </c>
      <c r="BM39" s="5">
        <f t="shared" ref="BM39:BN39" si="161">0.5*50</f>
        <v>25</v>
      </c>
      <c r="BN39" s="5">
        <f t="shared" si="161"/>
        <v>25</v>
      </c>
      <c r="BO39" s="5">
        <f t="shared" si="15"/>
        <v>5</v>
      </c>
      <c r="BP39" s="5">
        <f t="shared" si="146"/>
        <v>5</v>
      </c>
      <c r="BQ39" s="5">
        <v>1501.0</v>
      </c>
      <c r="BR39" s="5">
        <f t="shared" si="154"/>
        <v>50</v>
      </c>
      <c r="BS39" s="5">
        <f t="shared" si="46"/>
        <v>2.5</v>
      </c>
      <c r="BT39" s="5">
        <f t="shared" si="147"/>
        <v>0.25</v>
      </c>
      <c r="BU39" s="5">
        <v>1.0</v>
      </c>
      <c r="BV39" s="5">
        <f t="shared" si="162"/>
        <v>0.5</v>
      </c>
      <c r="BW39" s="5">
        <v>195.0</v>
      </c>
      <c r="BX39" s="5">
        <v>433.0</v>
      </c>
      <c r="BY39" s="5">
        <f t="shared" ref="BY39:BY41" si="165">0.5*0.5</f>
        <v>0.25</v>
      </c>
      <c r="BZ39" s="5">
        <v>1439.0</v>
      </c>
      <c r="CA39" s="5">
        <f t="shared" si="156"/>
        <v>25</v>
      </c>
      <c r="CB39" s="5">
        <v>264.0</v>
      </c>
      <c r="CC39" s="5">
        <v>291.0</v>
      </c>
      <c r="CD39" s="5">
        <v>1906.0</v>
      </c>
      <c r="CE39" s="5">
        <v>489527.0</v>
      </c>
      <c r="CF39" s="5">
        <f t="shared" si="149"/>
        <v>2.5</v>
      </c>
      <c r="CG39" s="5">
        <v>3.2</v>
      </c>
      <c r="CH39" s="5">
        <v>320.0</v>
      </c>
      <c r="CI39" s="5">
        <v>10.0</v>
      </c>
      <c r="CJ39" s="5"/>
      <c r="CK39" s="5">
        <f t="shared" si="151"/>
        <v>0.001</v>
      </c>
      <c r="CL39" s="5">
        <f>0.5*0.005</f>
        <v>0.0025</v>
      </c>
      <c r="CM39" s="5">
        <f t="shared" si="160"/>
        <v>0.001</v>
      </c>
      <c r="CN39" s="5"/>
      <c r="CO39" s="5">
        <v>18.66</v>
      </c>
      <c r="CP39" s="5"/>
      <c r="CQ39" s="5">
        <v>3540.02</v>
      </c>
      <c r="CR39" s="5">
        <v>492.54</v>
      </c>
      <c r="CS39" s="5">
        <v>12981.34</v>
      </c>
      <c r="CT39" s="5">
        <v>595.15</v>
      </c>
      <c r="CU39" s="5">
        <v>542.91</v>
      </c>
      <c r="CV39" s="5">
        <v>2684.7</v>
      </c>
      <c r="CW39" s="5">
        <v>358.21</v>
      </c>
      <c r="CX39" s="5">
        <v>5.97</v>
      </c>
      <c r="CY39" s="5">
        <v>807.84</v>
      </c>
      <c r="CZ39" s="5"/>
      <c r="DA39" s="5"/>
      <c r="DB39" s="5">
        <v>913296.64</v>
      </c>
    </row>
    <row r="40">
      <c r="A40" s="5" t="s">
        <v>324</v>
      </c>
      <c r="B40" s="5" t="s">
        <v>325</v>
      </c>
      <c r="C40" s="6" t="s">
        <v>326</v>
      </c>
      <c r="D40" s="6" t="s">
        <v>327</v>
      </c>
      <c r="E40" s="6" t="s">
        <v>245</v>
      </c>
      <c r="F40" s="5" t="s">
        <v>111</v>
      </c>
      <c r="G40" s="5" t="s">
        <v>112</v>
      </c>
      <c r="H40" s="5" t="s">
        <v>328</v>
      </c>
      <c r="I40" s="5" t="s">
        <v>329</v>
      </c>
      <c r="J40" s="5" t="s">
        <v>330</v>
      </c>
      <c r="K40" s="5" t="s">
        <v>331</v>
      </c>
      <c r="L40" s="5">
        <v>-21.1515</v>
      </c>
      <c r="M40" s="5">
        <v>-64.2383</v>
      </c>
      <c r="N40" s="5"/>
      <c r="O40" s="5"/>
      <c r="P40" s="5">
        <v>2770.0</v>
      </c>
      <c r="Q40" s="5">
        <v>190.5</v>
      </c>
      <c r="R40" s="5">
        <v>7.96</v>
      </c>
      <c r="S40" s="5">
        <v>-62.0</v>
      </c>
      <c r="T40" s="5">
        <v>361.0</v>
      </c>
      <c r="U40" s="5">
        <v>0.1</v>
      </c>
      <c r="V40" s="5">
        <v>24.4</v>
      </c>
      <c r="W40" s="5">
        <v>7.74</v>
      </c>
      <c r="X40" s="5">
        <v>102.7</v>
      </c>
      <c r="Y40" s="5">
        <f t="shared" si="152"/>
        <v>1650</v>
      </c>
      <c r="Z40" s="5">
        <v>8900.0</v>
      </c>
      <c r="AA40" s="5">
        <v>114.0</v>
      </c>
      <c r="AB40" s="5">
        <v>8790.0</v>
      </c>
      <c r="AC40" s="5">
        <v>205.0</v>
      </c>
      <c r="AD40" s="5">
        <v>140.3</v>
      </c>
      <c r="AE40" s="5">
        <f t="shared" si="88"/>
        <v>0.05</v>
      </c>
      <c r="AF40" s="5">
        <v>525.0</v>
      </c>
      <c r="AG40" s="5">
        <v>10.8</v>
      </c>
      <c r="AH40" s="5">
        <v>96.5</v>
      </c>
      <c r="AI40" s="5">
        <v>35.6</v>
      </c>
      <c r="AJ40" s="5">
        <v>12.3</v>
      </c>
      <c r="AK40" s="5">
        <v>14.8</v>
      </c>
      <c r="AL40" s="5">
        <v>3.4</v>
      </c>
      <c r="AM40" s="5">
        <v>95.7</v>
      </c>
      <c r="AN40" s="5">
        <v>43.4</v>
      </c>
      <c r="AO40" s="5">
        <v>17.1</v>
      </c>
      <c r="AP40" s="5">
        <v>12.0</v>
      </c>
      <c r="AQ40" s="5">
        <v>0.43</v>
      </c>
      <c r="AR40" s="5">
        <v>0.18</v>
      </c>
      <c r="AS40" s="5">
        <v>0.82</v>
      </c>
      <c r="AT40" s="5">
        <f t="shared" ref="AT40:AT43" si="166">0.5*0.01</f>
        <v>0.005</v>
      </c>
      <c r="AU40" s="5">
        <v>3.3</v>
      </c>
      <c r="AV40" s="5">
        <v>1.47</v>
      </c>
      <c r="AW40" s="5"/>
      <c r="AX40" s="5">
        <v>20.0</v>
      </c>
      <c r="AY40" s="5">
        <v>21.9</v>
      </c>
      <c r="AZ40" s="5"/>
      <c r="BA40" s="5"/>
      <c r="BB40" s="5"/>
      <c r="BC40" s="5">
        <v>9300000.0</v>
      </c>
      <c r="BD40" s="5">
        <v>70000.0</v>
      </c>
      <c r="BE40" s="5">
        <v>410000.0</v>
      </c>
      <c r="BF40" s="5">
        <v>274.0</v>
      </c>
      <c r="BG40" s="5">
        <v>4547.0</v>
      </c>
      <c r="BH40" s="5">
        <f t="shared" si="100"/>
        <v>5</v>
      </c>
      <c r="BI40" s="5">
        <f t="shared" si="163"/>
        <v>5</v>
      </c>
      <c r="BJ40" s="5">
        <v>1.0</v>
      </c>
      <c r="BK40" s="5">
        <f t="shared" si="158"/>
        <v>0.5</v>
      </c>
      <c r="BL40" s="5">
        <f t="shared" si="43"/>
        <v>0.25</v>
      </c>
      <c r="BM40" s="5">
        <f t="shared" ref="BM40:BN40" si="164">0.5*50</f>
        <v>25</v>
      </c>
      <c r="BN40" s="5">
        <f t="shared" si="164"/>
        <v>25</v>
      </c>
      <c r="BO40" s="5">
        <f t="shared" si="15"/>
        <v>5</v>
      </c>
      <c r="BP40" s="5">
        <f t="shared" si="146"/>
        <v>5</v>
      </c>
      <c r="BQ40" s="5">
        <v>487.0</v>
      </c>
      <c r="BR40" s="5">
        <v>917.0</v>
      </c>
      <c r="BS40" s="5">
        <f t="shared" si="46"/>
        <v>2.5</v>
      </c>
      <c r="BT40" s="5">
        <f t="shared" si="147"/>
        <v>0.25</v>
      </c>
      <c r="BU40" s="5">
        <v>6.0</v>
      </c>
      <c r="BV40" s="5">
        <f t="shared" si="162"/>
        <v>0.5</v>
      </c>
      <c r="BW40" s="5">
        <v>75.0</v>
      </c>
      <c r="BX40" s="5">
        <v>156.0</v>
      </c>
      <c r="BY40" s="5">
        <f t="shared" si="165"/>
        <v>0.25</v>
      </c>
      <c r="BZ40" s="5">
        <v>778.0</v>
      </c>
      <c r="CA40" s="5">
        <f t="shared" si="156"/>
        <v>25</v>
      </c>
      <c r="CB40" s="5">
        <v>109.0</v>
      </c>
      <c r="CC40" s="5">
        <v>134.0</v>
      </c>
      <c r="CD40" s="5">
        <v>593.0</v>
      </c>
      <c r="CE40" s="5">
        <v>188281.0</v>
      </c>
      <c r="CF40" s="5">
        <f t="shared" si="149"/>
        <v>2.5</v>
      </c>
      <c r="CG40" s="5">
        <v>2.7</v>
      </c>
      <c r="CH40" s="5">
        <v>144.0</v>
      </c>
      <c r="CI40" s="5">
        <v>5.0</v>
      </c>
      <c r="CJ40" s="5">
        <f t="shared" ref="CJ40:CJ50" si="168">0.5*0.02</f>
        <v>0.01</v>
      </c>
      <c r="CK40" s="5"/>
      <c r="CL40" s="5">
        <f t="shared" ref="CL40:CL43" si="169">0.5*1</f>
        <v>0.5</v>
      </c>
      <c r="CM40" s="5">
        <f t="shared" si="160"/>
        <v>0.001</v>
      </c>
      <c r="CN40" s="5"/>
      <c r="CO40" s="5">
        <v>0.57</v>
      </c>
      <c r="CP40" s="5"/>
      <c r="CQ40" s="5">
        <v>67.08</v>
      </c>
      <c r="CR40" s="5">
        <v>12.4</v>
      </c>
      <c r="CS40" s="5">
        <v>486.12</v>
      </c>
      <c r="CT40" s="5">
        <v>15.7</v>
      </c>
      <c r="CU40" s="5">
        <v>15.24</v>
      </c>
      <c r="CV40" s="5">
        <v>88.51</v>
      </c>
      <c r="CW40" s="5">
        <v>8.42</v>
      </c>
      <c r="CX40" s="5">
        <v>0.31</v>
      </c>
      <c r="CY40" s="5">
        <v>17.75</v>
      </c>
      <c r="CZ40" s="5"/>
      <c r="DA40" s="5"/>
      <c r="DB40" s="5">
        <v>21315.59</v>
      </c>
    </row>
    <row r="41">
      <c r="A41" s="5" t="s">
        <v>332</v>
      </c>
      <c r="B41" s="5" t="s">
        <v>333</v>
      </c>
      <c r="C41" s="6" t="s">
        <v>326</v>
      </c>
      <c r="D41" s="6" t="s">
        <v>334</v>
      </c>
      <c r="E41" s="6" t="s">
        <v>245</v>
      </c>
      <c r="F41" s="5" t="s">
        <v>111</v>
      </c>
      <c r="G41" s="5" t="s">
        <v>112</v>
      </c>
      <c r="H41" s="5" t="s">
        <v>126</v>
      </c>
      <c r="I41" s="5" t="s">
        <v>167</v>
      </c>
      <c r="J41" s="5" t="s">
        <v>335</v>
      </c>
      <c r="K41" s="5" t="s">
        <v>336</v>
      </c>
      <c r="L41" s="5">
        <v>-20.9138</v>
      </c>
      <c r="M41" s="5">
        <v>-64.1105</v>
      </c>
      <c r="N41" s="5"/>
      <c r="O41" s="5"/>
      <c r="P41" s="5">
        <v>3430.0</v>
      </c>
      <c r="Q41" s="5">
        <v>186.2</v>
      </c>
      <c r="R41" s="5">
        <v>8.15</v>
      </c>
      <c r="S41" s="5">
        <v>-72.4</v>
      </c>
      <c r="T41" s="5">
        <v>291.0</v>
      </c>
      <c r="U41" s="5">
        <v>0.05</v>
      </c>
      <c r="V41" s="5">
        <v>23.4</v>
      </c>
      <c r="W41" s="5">
        <v>7.69</v>
      </c>
      <c r="X41" s="5">
        <v>97.2</v>
      </c>
      <c r="Y41" s="5">
        <f t="shared" si="152"/>
        <v>1650</v>
      </c>
      <c r="Z41" s="5">
        <v>6930.0</v>
      </c>
      <c r="AA41" s="5">
        <v>257.0</v>
      </c>
      <c r="AB41" s="5">
        <v>6850.0</v>
      </c>
      <c r="AC41" s="5">
        <v>175.0</v>
      </c>
      <c r="AD41" s="5">
        <v>110.8</v>
      </c>
      <c r="AE41" s="5">
        <f t="shared" si="88"/>
        <v>0.05</v>
      </c>
      <c r="AF41" s="5">
        <v>49.9</v>
      </c>
      <c r="AG41" s="5">
        <v>12.6</v>
      </c>
      <c r="AH41" s="5">
        <v>68.1</v>
      </c>
      <c r="AI41" s="5">
        <v>27.2</v>
      </c>
      <c r="AJ41" s="5">
        <v>10.3</v>
      </c>
      <c r="AK41" s="5">
        <v>12.5</v>
      </c>
      <c r="AL41" s="5">
        <v>3.57</v>
      </c>
      <c r="AM41" s="5">
        <v>131.0</v>
      </c>
      <c r="AN41" s="5">
        <v>53.6</v>
      </c>
      <c r="AO41" s="5">
        <v>17.5</v>
      </c>
      <c r="AP41" s="5">
        <v>13.5</v>
      </c>
      <c r="AQ41" s="5">
        <v>0.4</v>
      </c>
      <c r="AR41" s="5">
        <v>0.09</v>
      </c>
      <c r="AS41" s="5">
        <v>0.61</v>
      </c>
      <c r="AT41" s="5">
        <f t="shared" si="166"/>
        <v>0.005</v>
      </c>
      <c r="AU41" s="5">
        <v>4.1</v>
      </c>
      <c r="AV41" s="5">
        <v>1.88</v>
      </c>
      <c r="AW41" s="5"/>
      <c r="AX41" s="5">
        <v>20.9</v>
      </c>
      <c r="AY41" s="5">
        <v>24.1</v>
      </c>
      <c r="AZ41" s="5"/>
      <c r="BA41" s="5"/>
      <c r="BB41" s="5"/>
      <c r="BC41" s="7">
        <v>1.1E7</v>
      </c>
      <c r="BD41" s="5">
        <v>150000.0</v>
      </c>
      <c r="BE41" s="5">
        <v>930000.0</v>
      </c>
      <c r="BF41" s="5">
        <f t="shared" ref="BF41:BF43" si="170">0.5*50</f>
        <v>25</v>
      </c>
      <c r="BG41" s="5">
        <v>9441.0</v>
      </c>
      <c r="BH41" s="5">
        <f t="shared" si="100"/>
        <v>5</v>
      </c>
      <c r="BI41" s="5">
        <f t="shared" si="163"/>
        <v>5</v>
      </c>
      <c r="BJ41" s="5">
        <v>2.0</v>
      </c>
      <c r="BK41" s="5">
        <f t="shared" si="158"/>
        <v>0.5</v>
      </c>
      <c r="BL41" s="5">
        <f t="shared" si="43"/>
        <v>0.25</v>
      </c>
      <c r="BM41" s="5">
        <f t="shared" ref="BM41:BN41" si="167">0.5*50</f>
        <v>25</v>
      </c>
      <c r="BN41" s="5">
        <f t="shared" si="167"/>
        <v>25</v>
      </c>
      <c r="BO41" s="5">
        <f t="shared" si="15"/>
        <v>5</v>
      </c>
      <c r="BP41" s="5">
        <f t="shared" si="146"/>
        <v>5</v>
      </c>
      <c r="BQ41" s="5">
        <v>209.0</v>
      </c>
      <c r="BR41" s="5">
        <f>0.5*100</f>
        <v>50</v>
      </c>
      <c r="BS41" s="5">
        <f t="shared" si="46"/>
        <v>2.5</v>
      </c>
      <c r="BT41" s="5">
        <f t="shared" si="147"/>
        <v>0.25</v>
      </c>
      <c r="BU41" s="5">
        <v>1.0</v>
      </c>
      <c r="BV41" s="5">
        <f t="shared" si="162"/>
        <v>0.5</v>
      </c>
      <c r="BW41" s="5">
        <v>140.0</v>
      </c>
      <c r="BX41" s="5">
        <v>216.0</v>
      </c>
      <c r="BY41" s="5">
        <f t="shared" si="165"/>
        <v>0.25</v>
      </c>
      <c r="BZ41" s="5">
        <v>950.0</v>
      </c>
      <c r="CA41" s="5">
        <f t="shared" si="156"/>
        <v>25</v>
      </c>
      <c r="CB41" s="5">
        <v>279.0</v>
      </c>
      <c r="CC41" s="5">
        <v>199.0</v>
      </c>
      <c r="CD41" s="5">
        <v>529.0</v>
      </c>
      <c r="CE41" s="5">
        <v>523253.0</v>
      </c>
      <c r="CF41" s="5">
        <f t="shared" si="149"/>
        <v>2.5</v>
      </c>
      <c r="CG41" s="5">
        <v>2.5</v>
      </c>
      <c r="CH41" s="5">
        <v>238.0</v>
      </c>
      <c r="CI41" s="5">
        <v>9.0</v>
      </c>
      <c r="CJ41" s="5">
        <f t="shared" si="168"/>
        <v>0.01</v>
      </c>
      <c r="CK41" s="5"/>
      <c r="CL41" s="5">
        <f t="shared" si="169"/>
        <v>0.5</v>
      </c>
      <c r="CM41" s="5">
        <v>0.004</v>
      </c>
      <c r="CN41" s="5"/>
      <c r="CO41" s="5">
        <v>1.31</v>
      </c>
      <c r="CP41" s="5"/>
      <c r="CQ41" s="5">
        <v>76.71</v>
      </c>
      <c r="CR41" s="5">
        <v>40.73</v>
      </c>
      <c r="CS41" s="5">
        <v>1378.25</v>
      </c>
      <c r="CT41" s="5">
        <v>34.6</v>
      </c>
      <c r="CU41" s="5">
        <v>29.05</v>
      </c>
      <c r="CV41" s="5">
        <v>138.69</v>
      </c>
      <c r="CW41" s="5">
        <v>20.15</v>
      </c>
      <c r="CX41" s="5">
        <v>0.36</v>
      </c>
      <c r="CY41" s="5">
        <v>31.53</v>
      </c>
      <c r="CZ41" s="5"/>
      <c r="DA41" s="5"/>
      <c r="DB41" s="5">
        <v>76387.3</v>
      </c>
    </row>
    <row r="42">
      <c r="A42" s="5" t="s">
        <v>163</v>
      </c>
      <c r="B42" s="5" t="s">
        <v>164</v>
      </c>
      <c r="C42" s="6" t="s">
        <v>337</v>
      </c>
      <c r="D42" s="6" t="s">
        <v>338</v>
      </c>
      <c r="E42" s="6" t="s">
        <v>245</v>
      </c>
      <c r="F42" s="5" t="s">
        <v>111</v>
      </c>
      <c r="G42" s="5" t="s">
        <v>112</v>
      </c>
      <c r="H42" s="5" t="s">
        <v>126</v>
      </c>
      <c r="I42" s="5" t="s">
        <v>167</v>
      </c>
      <c r="J42" s="5" t="s">
        <v>339</v>
      </c>
      <c r="K42" s="5" t="s">
        <v>340</v>
      </c>
      <c r="L42" s="5">
        <v>-21.2588</v>
      </c>
      <c r="M42" s="5">
        <v>-63.5116</v>
      </c>
      <c r="N42" s="5"/>
      <c r="O42" s="5"/>
      <c r="P42" s="5">
        <v>2245.0</v>
      </c>
      <c r="Q42" s="5">
        <v>197.3</v>
      </c>
      <c r="R42" s="5">
        <v>7.89</v>
      </c>
      <c r="S42" s="5">
        <v>-58.7</v>
      </c>
      <c r="T42" s="5">
        <v>444.0</v>
      </c>
      <c r="U42" s="5">
        <v>0.1</v>
      </c>
      <c r="V42" s="5">
        <v>27.6</v>
      </c>
      <c r="W42" s="5">
        <v>7.62</v>
      </c>
      <c r="X42" s="5">
        <v>101.9</v>
      </c>
      <c r="Y42" s="5">
        <f t="shared" si="152"/>
        <v>1650</v>
      </c>
      <c r="Z42" s="5">
        <v>25800.0</v>
      </c>
      <c r="AA42" s="5">
        <v>286.0</v>
      </c>
      <c r="AB42" s="5">
        <v>25600.0</v>
      </c>
      <c r="AC42" s="5">
        <v>116.0</v>
      </c>
      <c r="AD42" s="5">
        <v>181.6</v>
      </c>
      <c r="AE42" s="5">
        <f t="shared" si="88"/>
        <v>0.05</v>
      </c>
      <c r="AF42" s="5">
        <v>67.4</v>
      </c>
      <c r="AG42" s="5">
        <v>14.4</v>
      </c>
      <c r="AH42" s="5">
        <v>121.0</v>
      </c>
      <c r="AI42" s="5">
        <v>46.3</v>
      </c>
      <c r="AJ42" s="5">
        <v>15.8</v>
      </c>
      <c r="AK42" s="5">
        <v>15.6</v>
      </c>
      <c r="AL42" s="5">
        <v>4.37</v>
      </c>
      <c r="AM42" s="5">
        <v>259.0</v>
      </c>
      <c r="AN42" s="5">
        <v>110.0</v>
      </c>
      <c r="AO42" s="5">
        <v>24.1</v>
      </c>
      <c r="AP42" s="5">
        <v>24.5</v>
      </c>
      <c r="AQ42" s="5">
        <v>0.2</v>
      </c>
      <c r="AR42" s="5">
        <v>0.09</v>
      </c>
      <c r="AS42" s="5">
        <f t="shared" ref="AS42:AS43" si="172">0.5*0.3</f>
        <v>0.15</v>
      </c>
      <c r="AT42" s="5">
        <f t="shared" si="166"/>
        <v>0.005</v>
      </c>
      <c r="AU42" s="5">
        <v>1.5</v>
      </c>
      <c r="AV42" s="5">
        <v>1.65</v>
      </c>
      <c r="AW42" s="5"/>
      <c r="AX42" s="5">
        <v>19.0</v>
      </c>
      <c r="AY42" s="5">
        <v>20.2</v>
      </c>
      <c r="AZ42" s="5"/>
      <c r="BA42" s="5"/>
      <c r="BB42" s="5"/>
      <c r="BC42" s="5">
        <v>1100000.0</v>
      </c>
      <c r="BD42" s="5">
        <v>200000.0</v>
      </c>
      <c r="BE42" s="5">
        <v>81000.0</v>
      </c>
      <c r="BF42" s="5">
        <f t="shared" si="170"/>
        <v>25</v>
      </c>
      <c r="BG42" s="5">
        <v>14422.0</v>
      </c>
      <c r="BH42" s="5">
        <f t="shared" si="100"/>
        <v>5</v>
      </c>
      <c r="BI42" s="5">
        <v>17.0</v>
      </c>
      <c r="BJ42" s="5">
        <v>2.0</v>
      </c>
      <c r="BK42" s="5">
        <f t="shared" si="158"/>
        <v>0.5</v>
      </c>
      <c r="BL42" s="5">
        <f t="shared" si="43"/>
        <v>0.25</v>
      </c>
      <c r="BM42" s="5">
        <f t="shared" ref="BM42:BN42" si="171">0.5*50</f>
        <v>25</v>
      </c>
      <c r="BN42" s="5">
        <f t="shared" si="171"/>
        <v>25</v>
      </c>
      <c r="BO42" s="5">
        <f t="shared" si="15"/>
        <v>5</v>
      </c>
      <c r="BP42" s="5">
        <f t="shared" si="146"/>
        <v>5</v>
      </c>
      <c r="BQ42" s="5">
        <v>563.0</v>
      </c>
      <c r="BR42" s="5">
        <v>140.0</v>
      </c>
      <c r="BS42" s="5">
        <f t="shared" si="46"/>
        <v>2.5</v>
      </c>
      <c r="BT42" s="5">
        <f t="shared" si="147"/>
        <v>0.25</v>
      </c>
      <c r="BU42" s="5">
        <v>1.0</v>
      </c>
      <c r="BV42" s="5">
        <f t="shared" si="162"/>
        <v>0.5</v>
      </c>
      <c r="BW42" s="5">
        <v>334.0</v>
      </c>
      <c r="BX42" s="5">
        <v>558.0</v>
      </c>
      <c r="BY42" s="5">
        <v>2.5</v>
      </c>
      <c r="BZ42" s="5">
        <v>2413.0</v>
      </c>
      <c r="CA42" s="5">
        <f t="shared" si="156"/>
        <v>25</v>
      </c>
      <c r="CB42" s="5">
        <v>687.0</v>
      </c>
      <c r="CC42" s="5">
        <v>626.0</v>
      </c>
      <c r="CD42" s="5">
        <v>999.0</v>
      </c>
      <c r="CE42" s="5">
        <v>898954.0</v>
      </c>
      <c r="CF42" s="5">
        <f t="shared" si="149"/>
        <v>2.5</v>
      </c>
      <c r="CG42" s="5">
        <v>4.4</v>
      </c>
      <c r="CH42" s="5">
        <v>730.0</v>
      </c>
      <c r="CI42" s="5">
        <v>22.0</v>
      </c>
      <c r="CJ42" s="5">
        <f t="shared" si="168"/>
        <v>0.01</v>
      </c>
      <c r="CK42" s="5"/>
      <c r="CL42" s="5">
        <f t="shared" si="169"/>
        <v>0.5</v>
      </c>
      <c r="CM42" s="5">
        <f>0.5*0.002</f>
        <v>0.001</v>
      </c>
      <c r="CN42" s="5">
        <v>0.66</v>
      </c>
      <c r="CO42" s="5">
        <v>0.86</v>
      </c>
      <c r="CP42" s="5"/>
      <c r="CQ42" s="5">
        <v>38.85</v>
      </c>
      <c r="CR42" s="5">
        <v>26.84</v>
      </c>
      <c r="CS42" s="5">
        <v>563.36</v>
      </c>
      <c r="CT42" s="5">
        <v>28.48</v>
      </c>
      <c r="CU42" s="5">
        <v>24.45</v>
      </c>
      <c r="CV42" s="5">
        <v>94.26</v>
      </c>
      <c r="CW42" s="5">
        <v>12.97</v>
      </c>
      <c r="CX42" s="5">
        <v>0.17</v>
      </c>
      <c r="CY42" s="5">
        <v>21.8</v>
      </c>
      <c r="CZ42" s="5"/>
      <c r="DA42" s="5">
        <v>0.1</v>
      </c>
      <c r="DB42" s="5">
        <v>35109.92</v>
      </c>
    </row>
    <row r="43">
      <c r="A43" s="5" t="s">
        <v>170</v>
      </c>
      <c r="B43" s="5" t="s">
        <v>171</v>
      </c>
      <c r="C43" s="6" t="s">
        <v>337</v>
      </c>
      <c r="D43" s="6" t="s">
        <v>341</v>
      </c>
      <c r="E43" s="6" t="s">
        <v>245</v>
      </c>
      <c r="F43" s="5" t="s">
        <v>111</v>
      </c>
      <c r="G43" s="5" t="s">
        <v>112</v>
      </c>
      <c r="H43" s="5" t="s">
        <v>126</v>
      </c>
      <c r="I43" s="5" t="s">
        <v>173</v>
      </c>
      <c r="J43" s="5" t="s">
        <v>342</v>
      </c>
      <c r="K43" s="5" t="s">
        <v>343</v>
      </c>
      <c r="L43" s="5">
        <v>-22.3779</v>
      </c>
      <c r="M43" s="5">
        <v>-62.5185</v>
      </c>
      <c r="N43" s="5"/>
      <c r="O43" s="5"/>
      <c r="P43" s="5">
        <v>2050.0</v>
      </c>
      <c r="Q43" s="5">
        <v>101.4</v>
      </c>
      <c r="R43" s="5">
        <v>7.6</v>
      </c>
      <c r="S43" s="5">
        <v>-43.1</v>
      </c>
      <c r="T43" s="5">
        <v>488.0</v>
      </c>
      <c r="U43" s="5">
        <v>0.2</v>
      </c>
      <c r="V43" s="5">
        <v>29.4</v>
      </c>
      <c r="W43" s="5">
        <v>3.81</v>
      </c>
      <c r="X43" s="5">
        <v>51.6</v>
      </c>
      <c r="Y43" s="5">
        <f t="shared" si="152"/>
        <v>1650</v>
      </c>
      <c r="Z43" s="5">
        <v>11180.0</v>
      </c>
      <c r="AA43" s="5">
        <v>200.0</v>
      </c>
      <c r="AB43" s="5">
        <v>11090.0</v>
      </c>
      <c r="AC43" s="5">
        <v>121.0</v>
      </c>
      <c r="AD43" s="5">
        <v>182.2</v>
      </c>
      <c r="AE43" s="5">
        <f t="shared" si="88"/>
        <v>0.05</v>
      </c>
      <c r="AF43" s="5">
        <v>94.3</v>
      </c>
      <c r="AG43" s="5">
        <v>19.9</v>
      </c>
      <c r="AH43" s="5">
        <v>112.6</v>
      </c>
      <c r="AI43" s="5">
        <v>45.9</v>
      </c>
      <c r="AJ43" s="5">
        <v>16.2</v>
      </c>
      <c r="AK43" s="5">
        <v>23.5</v>
      </c>
      <c r="AL43" s="5">
        <v>4.25</v>
      </c>
      <c r="AM43" s="5">
        <v>117.0</v>
      </c>
      <c r="AN43" s="5">
        <v>53.6</v>
      </c>
      <c r="AO43" s="5">
        <v>26.9</v>
      </c>
      <c r="AP43" s="5">
        <v>13.5</v>
      </c>
      <c r="AQ43" s="5">
        <v>2.5</v>
      </c>
      <c r="AR43" s="5">
        <v>0.09</v>
      </c>
      <c r="AS43" s="5">
        <f t="shared" si="172"/>
        <v>0.15</v>
      </c>
      <c r="AT43" s="5">
        <f t="shared" si="166"/>
        <v>0.005</v>
      </c>
      <c r="AU43" s="5">
        <v>3.7</v>
      </c>
      <c r="AV43" s="5">
        <v>1.35</v>
      </c>
      <c r="AW43" s="5"/>
      <c r="AX43" s="5">
        <v>11.0</v>
      </c>
      <c r="AY43" s="5">
        <v>23.0</v>
      </c>
      <c r="AZ43" s="5"/>
      <c r="BA43" s="5"/>
      <c r="BB43" s="5"/>
      <c r="BC43" s="5">
        <v>4600000.0</v>
      </c>
      <c r="BD43" s="5">
        <v>150000.0</v>
      </c>
      <c r="BE43" s="5">
        <v>170000.0</v>
      </c>
      <c r="BF43" s="5">
        <f t="shared" si="170"/>
        <v>25</v>
      </c>
      <c r="BG43" s="5">
        <v>7862.0</v>
      </c>
      <c r="BH43" s="5">
        <f t="shared" si="100"/>
        <v>5</v>
      </c>
      <c r="BI43" s="5">
        <f t="shared" ref="BI43:BI45" si="174">0.5*10</f>
        <v>5</v>
      </c>
      <c r="BJ43" s="5">
        <v>2.0</v>
      </c>
      <c r="BK43" s="5">
        <f t="shared" si="158"/>
        <v>0.5</v>
      </c>
      <c r="BL43" s="5">
        <f t="shared" si="43"/>
        <v>0.25</v>
      </c>
      <c r="BM43" s="5">
        <f t="shared" ref="BM43:BN43" si="173">0.5*50</f>
        <v>25</v>
      </c>
      <c r="BN43" s="5">
        <f t="shared" si="173"/>
        <v>25</v>
      </c>
      <c r="BO43" s="5">
        <f t="shared" si="15"/>
        <v>5</v>
      </c>
      <c r="BP43" s="5">
        <f t="shared" si="146"/>
        <v>5</v>
      </c>
      <c r="BQ43" s="5">
        <v>417.0</v>
      </c>
      <c r="BR43" s="5">
        <f t="shared" ref="BR43:BR45" si="176">0.5*100</f>
        <v>50</v>
      </c>
      <c r="BS43" s="5">
        <f t="shared" si="46"/>
        <v>2.5</v>
      </c>
      <c r="BT43" s="5">
        <f t="shared" si="147"/>
        <v>0.25</v>
      </c>
      <c r="BU43" s="5">
        <v>2.0</v>
      </c>
      <c r="BV43" s="5">
        <f t="shared" si="162"/>
        <v>0.5</v>
      </c>
      <c r="BW43" s="5">
        <v>23.0</v>
      </c>
      <c r="BX43" s="5">
        <v>40.0</v>
      </c>
      <c r="BY43" s="5">
        <f t="shared" ref="BY43:BY44" si="177">0.5*0.5</f>
        <v>0.25</v>
      </c>
      <c r="BZ43" s="5">
        <v>795.0</v>
      </c>
      <c r="CA43" s="5">
        <f t="shared" si="156"/>
        <v>25</v>
      </c>
      <c r="CB43" s="5">
        <v>41.0</v>
      </c>
      <c r="CC43" s="5">
        <v>70.0</v>
      </c>
      <c r="CD43" s="5">
        <v>449.0</v>
      </c>
      <c r="CE43" s="5">
        <v>60188.0</v>
      </c>
      <c r="CF43" s="5">
        <f t="shared" si="149"/>
        <v>2.5</v>
      </c>
      <c r="CG43" s="5">
        <v>2.6</v>
      </c>
      <c r="CH43" s="5">
        <v>91.0</v>
      </c>
      <c r="CI43" s="5">
        <v>3.0</v>
      </c>
      <c r="CJ43" s="5">
        <f t="shared" si="168"/>
        <v>0.01</v>
      </c>
      <c r="CK43" s="5"/>
      <c r="CL43" s="5">
        <f t="shared" si="169"/>
        <v>0.5</v>
      </c>
      <c r="CM43" s="5">
        <v>0.004</v>
      </c>
      <c r="CN43" s="5"/>
      <c r="CO43" s="5">
        <v>0.27</v>
      </c>
      <c r="CP43" s="5"/>
      <c r="CQ43" s="5">
        <v>40.1</v>
      </c>
      <c r="CR43" s="5">
        <v>3.7</v>
      </c>
      <c r="CS43" s="5">
        <v>708.93</v>
      </c>
      <c r="CT43" s="5">
        <v>8.03</v>
      </c>
      <c r="CU43" s="5">
        <v>6.31</v>
      </c>
      <c r="CV43" s="5">
        <v>71.69</v>
      </c>
      <c r="CW43" s="5">
        <v>1.89</v>
      </c>
      <c r="CX43" s="5">
        <v>0.23</v>
      </c>
      <c r="CY43" s="5">
        <v>3.61</v>
      </c>
      <c r="CZ43" s="5"/>
      <c r="DA43" s="5"/>
      <c r="DB43" s="5">
        <v>5427.23</v>
      </c>
    </row>
    <row r="44">
      <c r="A44" s="5" t="s">
        <v>344</v>
      </c>
      <c r="B44" s="5" t="s">
        <v>345</v>
      </c>
      <c r="C44" s="6" t="s">
        <v>346</v>
      </c>
      <c r="D44" s="6" t="s">
        <v>145</v>
      </c>
      <c r="E44" s="6" t="s">
        <v>245</v>
      </c>
      <c r="F44" s="5" t="s">
        <v>111</v>
      </c>
      <c r="G44" s="5" t="s">
        <v>112</v>
      </c>
      <c r="H44" s="5" t="s">
        <v>200</v>
      </c>
      <c r="J44" s="5" t="s">
        <v>347</v>
      </c>
      <c r="K44" s="5" t="s">
        <v>348</v>
      </c>
      <c r="L44" s="5">
        <v>-23.8932</v>
      </c>
      <c r="M44" s="5">
        <v>-58.4464</v>
      </c>
      <c r="N44" s="5">
        <v>0.131</v>
      </c>
      <c r="O44" s="5">
        <v>0.0</v>
      </c>
      <c r="P44" s="5">
        <v>265.0</v>
      </c>
      <c r="Q44" s="5">
        <v>108.5</v>
      </c>
      <c r="R44" s="5">
        <v>7.64</v>
      </c>
      <c r="S44" s="5">
        <v>-47.5</v>
      </c>
      <c r="T44" s="5">
        <v>3770.0</v>
      </c>
      <c r="U44" s="5">
        <v>2.0</v>
      </c>
      <c r="V44" s="5">
        <v>29.4</v>
      </c>
      <c r="W44" s="5">
        <v>4.07</v>
      </c>
      <c r="X44" s="5">
        <v>54.0</v>
      </c>
      <c r="Y44" s="5">
        <v>126.2</v>
      </c>
      <c r="Z44" s="5">
        <v>2533.9</v>
      </c>
      <c r="AA44" s="5">
        <v>2400.0</v>
      </c>
      <c r="AB44" s="5">
        <v>133.9</v>
      </c>
      <c r="AC44" s="5">
        <v>100.0</v>
      </c>
      <c r="AD44" s="5">
        <v>320.0</v>
      </c>
      <c r="AE44" s="5">
        <v>0.0</v>
      </c>
      <c r="AF44" s="5">
        <v>36.5</v>
      </c>
      <c r="AG44" s="5">
        <v>879.73</v>
      </c>
      <c r="AH44" s="5">
        <v>453.61</v>
      </c>
      <c r="AI44" s="5">
        <v>78.1</v>
      </c>
      <c r="AJ44" s="5">
        <v>29.2</v>
      </c>
      <c r="AK44" s="5">
        <v>732.45</v>
      </c>
      <c r="AL44" s="5">
        <v>8.33</v>
      </c>
      <c r="AM44" s="5">
        <v>80.2</v>
      </c>
      <c r="AN44" s="5">
        <v>29.2</v>
      </c>
      <c r="AO44" s="5">
        <v>752.21</v>
      </c>
      <c r="AP44" s="5">
        <v>9.26</v>
      </c>
      <c r="AQ44" s="5">
        <v>4.42</v>
      </c>
      <c r="AR44" s="5">
        <v>1.4</v>
      </c>
      <c r="AS44" s="5">
        <v>0.037</v>
      </c>
      <c r="AT44" s="5">
        <v>0.062</v>
      </c>
      <c r="AU44" s="5">
        <v>4.0</v>
      </c>
      <c r="AV44" s="5">
        <v>0.08</v>
      </c>
      <c r="AW44" s="5"/>
      <c r="AX44" s="5">
        <v>56.64</v>
      </c>
      <c r="AY44" s="5">
        <v>88.73</v>
      </c>
      <c r="AZ44" s="5">
        <v>1972.0</v>
      </c>
      <c r="BA44" s="5">
        <v>372.0</v>
      </c>
      <c r="BB44" s="5"/>
      <c r="BC44" s="5"/>
      <c r="BD44" s="5"/>
      <c r="BE44" s="5">
        <v>30260.0</v>
      </c>
      <c r="BF44" s="5">
        <v>865.0</v>
      </c>
      <c r="BG44" s="5">
        <v>894.0</v>
      </c>
      <c r="BH44" s="5">
        <f t="shared" si="100"/>
        <v>5</v>
      </c>
      <c r="BI44" s="5">
        <f t="shared" si="174"/>
        <v>5</v>
      </c>
      <c r="BJ44" s="5">
        <v>11.0</v>
      </c>
      <c r="BK44" s="5">
        <f t="shared" si="158"/>
        <v>0.5</v>
      </c>
      <c r="BL44" s="5">
        <f t="shared" si="43"/>
        <v>0.25</v>
      </c>
      <c r="BM44" s="5">
        <f t="shared" ref="BM44:BN44" si="175">0.5*50</f>
        <v>25</v>
      </c>
      <c r="BN44" s="5">
        <f t="shared" si="175"/>
        <v>25</v>
      </c>
      <c r="BO44" s="5">
        <f t="shared" si="15"/>
        <v>5</v>
      </c>
      <c r="BP44" s="5">
        <f t="shared" si="146"/>
        <v>5</v>
      </c>
      <c r="BQ44" s="5">
        <v>1249.0</v>
      </c>
      <c r="BR44" s="5">
        <f t="shared" si="176"/>
        <v>50</v>
      </c>
      <c r="BS44" s="5">
        <f t="shared" si="46"/>
        <v>2.5</v>
      </c>
      <c r="BT44" s="5">
        <f t="shared" si="147"/>
        <v>0.25</v>
      </c>
      <c r="BU44" s="5">
        <v>2.0</v>
      </c>
      <c r="BV44" s="5">
        <v>1.0</v>
      </c>
      <c r="BW44" s="5">
        <v>12.0</v>
      </c>
      <c r="BX44" s="5">
        <v>2.0</v>
      </c>
      <c r="BY44" s="5">
        <f t="shared" si="177"/>
        <v>0.25</v>
      </c>
      <c r="BZ44" s="5">
        <f t="shared" ref="BZ44:CA44" si="178">0.5*50</f>
        <v>25</v>
      </c>
      <c r="CA44" s="5">
        <f t="shared" si="178"/>
        <v>25</v>
      </c>
      <c r="CB44" s="5">
        <f t="shared" ref="CB44:CC44" si="179">0.5*10</f>
        <v>5</v>
      </c>
      <c r="CC44" s="5">
        <f t="shared" si="179"/>
        <v>5</v>
      </c>
      <c r="CD44" s="5">
        <v>1264.0</v>
      </c>
      <c r="CE44" s="5">
        <v>3449.0</v>
      </c>
      <c r="CF44" s="5">
        <f t="shared" si="149"/>
        <v>2.5</v>
      </c>
      <c r="CG44" s="5">
        <f>0.5*0.5</f>
        <v>0.25</v>
      </c>
      <c r="CH44" s="5">
        <v>4.0</v>
      </c>
      <c r="CI44" s="5">
        <v>1.0</v>
      </c>
      <c r="CJ44" s="5">
        <f t="shared" si="168"/>
        <v>0.01</v>
      </c>
      <c r="CK44" s="5"/>
      <c r="CL44" s="5">
        <f t="shared" ref="CL44:CM44" si="180">0.5*0.001</f>
        <v>0.0005</v>
      </c>
      <c r="CM44" s="5">
        <f t="shared" si="180"/>
        <v>0.0005</v>
      </c>
      <c r="CN44" s="5"/>
      <c r="CO44" s="5">
        <v>0.0</v>
      </c>
      <c r="CP44" s="5"/>
      <c r="CQ44" s="5">
        <v>9377.67</v>
      </c>
      <c r="CR44" s="5"/>
      <c r="CS44" s="5">
        <v>216.58</v>
      </c>
      <c r="CT44" s="5">
        <v>14.94</v>
      </c>
      <c r="CU44" s="5"/>
      <c r="CV44" s="5"/>
      <c r="CW44" s="5">
        <v>7.47</v>
      </c>
      <c r="CX44" s="5"/>
      <c r="CY44" s="5">
        <v>14.94</v>
      </c>
      <c r="CZ44" s="5"/>
      <c r="DA44" s="5"/>
      <c r="DB44" s="5">
        <v>25758.03</v>
      </c>
    </row>
    <row r="45">
      <c r="A45" s="5" t="s">
        <v>349</v>
      </c>
      <c r="B45" s="5" t="s">
        <v>350</v>
      </c>
      <c r="C45" s="6" t="s">
        <v>351</v>
      </c>
      <c r="D45" s="6" t="s">
        <v>352</v>
      </c>
      <c r="E45" s="6" t="s">
        <v>245</v>
      </c>
      <c r="F45" s="5" t="s">
        <v>111</v>
      </c>
      <c r="G45" s="5" t="s">
        <v>112</v>
      </c>
      <c r="H45" s="5" t="s">
        <v>126</v>
      </c>
      <c r="I45" s="5" t="s">
        <v>188</v>
      </c>
      <c r="J45" s="5" t="s">
        <v>353</v>
      </c>
      <c r="K45" s="5" t="s">
        <v>354</v>
      </c>
      <c r="L45" s="5">
        <v>-23.5766</v>
      </c>
      <c r="M45" s="5">
        <v>-60.5801</v>
      </c>
      <c r="N45" s="5">
        <v>0.235</v>
      </c>
      <c r="O45" s="5">
        <v>4.0</v>
      </c>
      <c r="P45" s="5">
        <v>1501.0</v>
      </c>
      <c r="Q45" s="5">
        <v>162.0</v>
      </c>
      <c r="R45" s="5">
        <v>7.72</v>
      </c>
      <c r="S45" s="5">
        <v>-49.75</v>
      </c>
      <c r="T45" s="5">
        <v>666.0</v>
      </c>
      <c r="U45" s="5">
        <v>0.3</v>
      </c>
      <c r="V45" s="5">
        <v>30.8</v>
      </c>
      <c r="W45" s="5">
        <v>5.9</v>
      </c>
      <c r="X45" s="5">
        <v>82.0</v>
      </c>
      <c r="Y45" s="5">
        <f t="shared" ref="Y45:Y50" si="182">1.5*1100</f>
        <v>1650</v>
      </c>
      <c r="Z45" s="5">
        <v>1815.2</v>
      </c>
      <c r="AA45" s="5">
        <v>431.0</v>
      </c>
      <c r="AB45" s="5">
        <v>1384.2</v>
      </c>
      <c r="AC45" s="5">
        <v>25.0</v>
      </c>
      <c r="AD45" s="5">
        <v>236.0</v>
      </c>
      <c r="AE45" s="5">
        <v>0.0</v>
      </c>
      <c r="AF45" s="5">
        <v>88.0</v>
      </c>
      <c r="AG45" s="5">
        <v>39.08</v>
      </c>
      <c r="AH45" s="5">
        <v>177.76</v>
      </c>
      <c r="AI45" s="5">
        <v>65.7</v>
      </c>
      <c r="AJ45" s="5">
        <v>17.0</v>
      </c>
      <c r="AK45" s="5">
        <v>56.03</v>
      </c>
      <c r="AL45" s="5">
        <v>3.46</v>
      </c>
      <c r="AM45" s="5">
        <v>66.5</v>
      </c>
      <c r="AN45" s="5">
        <v>17.0</v>
      </c>
      <c r="AO45" s="5">
        <v>59.78</v>
      </c>
      <c r="AP45" s="5">
        <v>4.42</v>
      </c>
      <c r="AQ45" s="5">
        <v>0.9</v>
      </c>
      <c r="AR45" s="5">
        <v>0.06</v>
      </c>
      <c r="AS45" s="5">
        <v>0.167</v>
      </c>
      <c r="AT45" s="5">
        <v>0.026</v>
      </c>
      <c r="AU45" s="5">
        <v>13.59</v>
      </c>
      <c r="AV45" s="5">
        <v>0.703</v>
      </c>
      <c r="AW45" s="5"/>
      <c r="AX45" s="5">
        <v>12.3</v>
      </c>
      <c r="AY45" s="5">
        <v>225.35</v>
      </c>
      <c r="AZ45" s="5">
        <v>912.0</v>
      </c>
      <c r="BA45" s="5">
        <v>120.0</v>
      </c>
      <c r="BB45" s="5"/>
      <c r="BC45" s="5"/>
      <c r="BD45" s="5"/>
      <c r="BE45" s="5">
        <v>2200.0</v>
      </c>
      <c r="BF45" s="5">
        <f t="shared" ref="BF45:BF50" si="183">0.5*50</f>
        <v>25</v>
      </c>
      <c r="BG45" s="5">
        <v>16152.0</v>
      </c>
      <c r="BH45" s="5">
        <f t="shared" si="100"/>
        <v>5</v>
      </c>
      <c r="BI45" s="5">
        <f t="shared" si="174"/>
        <v>5</v>
      </c>
      <c r="BJ45" s="5">
        <v>1.0</v>
      </c>
      <c r="BK45" s="5">
        <f t="shared" si="158"/>
        <v>0.5</v>
      </c>
      <c r="BL45" s="5">
        <f t="shared" si="43"/>
        <v>0.25</v>
      </c>
      <c r="BM45" s="5">
        <f t="shared" ref="BM45:BN45" si="181">0.5*50</f>
        <v>25</v>
      </c>
      <c r="BN45" s="5">
        <f t="shared" si="181"/>
        <v>25</v>
      </c>
      <c r="BO45" s="5">
        <f t="shared" si="15"/>
        <v>5</v>
      </c>
      <c r="BP45" s="5">
        <f t="shared" si="146"/>
        <v>5</v>
      </c>
      <c r="BQ45" s="5">
        <v>491.0</v>
      </c>
      <c r="BR45" s="5">
        <f t="shared" si="176"/>
        <v>50</v>
      </c>
      <c r="BS45" s="5">
        <f t="shared" si="46"/>
        <v>2.5</v>
      </c>
      <c r="BT45" s="5">
        <f t="shared" si="147"/>
        <v>0.25</v>
      </c>
      <c r="BU45" s="5">
        <v>1.0</v>
      </c>
      <c r="BV45" s="5">
        <f t="shared" ref="BV45:BV50" si="185">0.5*1</f>
        <v>0.5</v>
      </c>
      <c r="BW45" s="5">
        <v>146.0</v>
      </c>
      <c r="BX45" s="5">
        <v>284.0</v>
      </c>
      <c r="BY45" s="5">
        <v>0.9</v>
      </c>
      <c r="BZ45" s="5">
        <v>1261.0</v>
      </c>
      <c r="CA45" s="5">
        <f t="shared" ref="CA45:CA50" si="186">0.5*50</f>
        <v>25</v>
      </c>
      <c r="CB45" s="5">
        <v>332.0</v>
      </c>
      <c r="CC45" s="5">
        <v>251.0</v>
      </c>
      <c r="CD45" s="5">
        <v>965.0</v>
      </c>
      <c r="CE45" s="5">
        <v>425720.0</v>
      </c>
      <c r="CF45" s="5">
        <f t="shared" si="149"/>
        <v>2.5</v>
      </c>
      <c r="CG45" s="5">
        <v>3.0</v>
      </c>
      <c r="CH45" s="5">
        <v>334.0</v>
      </c>
      <c r="CI45" s="5">
        <v>14.0</v>
      </c>
      <c r="CJ45" s="5">
        <f t="shared" si="168"/>
        <v>0.01</v>
      </c>
      <c r="CK45" s="5"/>
      <c r="CL45" s="5">
        <v>0.003</v>
      </c>
      <c r="CM45" s="5">
        <f t="shared" ref="CM45:CM46" si="187">0.5*0.001</f>
        <v>0.0005</v>
      </c>
      <c r="CN45" s="5"/>
      <c r="CO45" s="5">
        <v>10.11</v>
      </c>
      <c r="CP45" s="5"/>
      <c r="CQ45" s="5">
        <v>694.65</v>
      </c>
      <c r="CR45" s="5">
        <v>239.85</v>
      </c>
      <c r="CS45" s="5">
        <v>11668.83</v>
      </c>
      <c r="CT45" s="5">
        <v>240.57</v>
      </c>
      <c r="CU45" s="5">
        <v>181.33</v>
      </c>
      <c r="CV45" s="5">
        <v>911.0</v>
      </c>
      <c r="CW45" s="5">
        <v>104.75</v>
      </c>
      <c r="CX45" s="5">
        <v>2.17</v>
      </c>
      <c r="CY45" s="5">
        <v>205.17</v>
      </c>
      <c r="CZ45" s="5"/>
      <c r="DA45" s="5">
        <v>0.65</v>
      </c>
      <c r="DB45" s="5">
        <v>307556.71</v>
      </c>
    </row>
    <row r="46">
      <c r="A46" s="5" t="s">
        <v>355</v>
      </c>
      <c r="B46" s="5" t="s">
        <v>356</v>
      </c>
      <c r="C46" s="6" t="s">
        <v>351</v>
      </c>
      <c r="D46" s="6" t="s">
        <v>315</v>
      </c>
      <c r="E46" s="6" t="s">
        <v>245</v>
      </c>
      <c r="F46" s="5" t="s">
        <v>111</v>
      </c>
      <c r="G46" s="5" t="s">
        <v>112</v>
      </c>
      <c r="H46" s="5" t="s">
        <v>126</v>
      </c>
      <c r="J46" s="5" t="s">
        <v>357</v>
      </c>
      <c r="K46" s="5" t="s">
        <v>358</v>
      </c>
      <c r="L46" s="5">
        <v>-23.452</v>
      </c>
      <c r="M46" s="5">
        <v>-60.872</v>
      </c>
      <c r="N46" s="5"/>
      <c r="O46" s="5"/>
      <c r="P46" s="5">
        <v>1428.5</v>
      </c>
      <c r="Q46" s="5">
        <v>130.0</v>
      </c>
      <c r="R46" s="5">
        <v>7.61</v>
      </c>
      <c r="S46" s="5">
        <v>-43.4</v>
      </c>
      <c r="T46" s="5">
        <v>700.5</v>
      </c>
      <c r="U46" s="5">
        <v>0.3</v>
      </c>
      <c r="V46" s="5">
        <v>31.0</v>
      </c>
      <c r="W46" s="5">
        <v>4.8</v>
      </c>
      <c r="X46" s="5">
        <v>66.0</v>
      </c>
      <c r="Y46" s="5">
        <f t="shared" si="182"/>
        <v>1650</v>
      </c>
      <c r="Z46" s="5">
        <v>2825.7</v>
      </c>
      <c r="AA46" s="5">
        <v>454.0</v>
      </c>
      <c r="AB46" s="5">
        <v>2371.7</v>
      </c>
      <c r="AC46" s="5">
        <v>20.0</v>
      </c>
      <c r="AD46" s="5">
        <v>238.0</v>
      </c>
      <c r="AE46" s="5">
        <v>0.0</v>
      </c>
      <c r="AF46" s="5">
        <v>89.0</v>
      </c>
      <c r="AG46" s="5">
        <v>47.91</v>
      </c>
      <c r="AH46" s="5">
        <v>183.86</v>
      </c>
      <c r="AI46" s="5">
        <v>67.3</v>
      </c>
      <c r="AJ46" s="5">
        <v>15.5</v>
      </c>
      <c r="AK46" s="5">
        <v>61.17</v>
      </c>
      <c r="AL46" s="5">
        <v>4.27</v>
      </c>
      <c r="AM46" s="5">
        <v>68.1</v>
      </c>
      <c r="AN46" s="5">
        <v>16.5</v>
      </c>
      <c r="AO46" s="5">
        <v>64.7</v>
      </c>
      <c r="AP46" s="5">
        <v>4.85</v>
      </c>
      <c r="AQ46" s="5">
        <v>6.44</v>
      </c>
      <c r="AR46" s="5">
        <v>0.496</v>
      </c>
      <c r="AS46" s="5">
        <v>0.161</v>
      </c>
      <c r="AT46" s="5">
        <v>0.021</v>
      </c>
      <c r="AU46" s="5">
        <v>17.8</v>
      </c>
      <c r="AV46" s="5">
        <v>0.626</v>
      </c>
      <c r="AW46" s="5"/>
      <c r="AX46" s="5">
        <v>17.4</v>
      </c>
      <c r="AY46" s="5">
        <v>338.03</v>
      </c>
      <c r="AZ46" s="5">
        <v>1369.0</v>
      </c>
      <c r="BA46" s="5">
        <v>307.0</v>
      </c>
      <c r="BB46" s="5"/>
      <c r="BC46" s="5"/>
      <c r="BD46" s="5"/>
      <c r="BE46" s="5">
        <v>1848.0</v>
      </c>
      <c r="BF46" s="5">
        <f t="shared" si="183"/>
        <v>25</v>
      </c>
      <c r="BG46" s="5">
        <v>17252.0</v>
      </c>
      <c r="BH46" s="5">
        <f t="shared" si="100"/>
        <v>5</v>
      </c>
      <c r="BI46" s="5">
        <v>11.0</v>
      </c>
      <c r="BJ46" s="5">
        <v>2.0</v>
      </c>
      <c r="BK46" s="5">
        <f t="shared" si="158"/>
        <v>0.5</v>
      </c>
      <c r="BL46" s="5">
        <f t="shared" si="43"/>
        <v>0.25</v>
      </c>
      <c r="BM46" s="5">
        <f t="shared" ref="BM46:BN46" si="184">0.5*50</f>
        <v>25</v>
      </c>
      <c r="BN46" s="5">
        <f t="shared" si="184"/>
        <v>25</v>
      </c>
      <c r="BO46" s="5">
        <f t="shared" si="15"/>
        <v>5</v>
      </c>
      <c r="BP46" s="5">
        <f t="shared" si="146"/>
        <v>5</v>
      </c>
      <c r="BQ46" s="5">
        <v>666.0</v>
      </c>
      <c r="BR46" s="5">
        <v>142.0</v>
      </c>
      <c r="BS46" s="5">
        <f t="shared" si="46"/>
        <v>2.5</v>
      </c>
      <c r="BT46" s="5">
        <f t="shared" si="147"/>
        <v>0.25</v>
      </c>
      <c r="BU46" s="5">
        <v>1.0</v>
      </c>
      <c r="BV46" s="5">
        <f t="shared" si="185"/>
        <v>0.5</v>
      </c>
      <c r="BW46" s="5">
        <v>238.0</v>
      </c>
      <c r="BX46" s="5">
        <v>413.0</v>
      </c>
      <c r="BY46" s="5">
        <v>1.8</v>
      </c>
      <c r="BZ46" s="5">
        <v>1822.0</v>
      </c>
      <c r="CA46" s="5">
        <f t="shared" si="186"/>
        <v>25</v>
      </c>
      <c r="CB46" s="5">
        <v>484.0</v>
      </c>
      <c r="CC46" s="5">
        <v>426.0</v>
      </c>
      <c r="CD46" s="5">
        <v>1185.0</v>
      </c>
      <c r="CE46" s="5">
        <v>611713.0</v>
      </c>
      <c r="CF46" s="5">
        <f t="shared" si="149"/>
        <v>2.5</v>
      </c>
      <c r="CG46" s="5">
        <v>3.9</v>
      </c>
      <c r="CH46" s="5">
        <v>470.0</v>
      </c>
      <c r="CI46" s="5">
        <v>14.0</v>
      </c>
      <c r="CJ46" s="5">
        <f t="shared" si="168"/>
        <v>0.01</v>
      </c>
      <c r="CK46" s="5"/>
      <c r="CL46" s="5">
        <v>0.005</v>
      </c>
      <c r="CM46" s="5">
        <f t="shared" si="187"/>
        <v>0.0005</v>
      </c>
      <c r="CN46" s="5">
        <v>4.64</v>
      </c>
      <c r="CO46" s="5">
        <v>5.9</v>
      </c>
      <c r="CP46" s="5"/>
      <c r="CQ46" s="5">
        <v>497.84</v>
      </c>
      <c r="CR46" s="5">
        <v>204.07</v>
      </c>
      <c r="CS46" s="5">
        <v>7274.11</v>
      </c>
      <c r="CT46" s="5">
        <v>197.75</v>
      </c>
      <c r="CU46" s="5">
        <v>179.62</v>
      </c>
      <c r="CV46" s="5">
        <v>768.23</v>
      </c>
      <c r="CW46" s="5">
        <v>99.51</v>
      </c>
      <c r="CX46" s="5">
        <v>1.64</v>
      </c>
      <c r="CY46" s="5">
        <v>174.14</v>
      </c>
      <c r="CZ46" s="5"/>
      <c r="DA46" s="5">
        <v>0.76</v>
      </c>
      <c r="DB46" s="5">
        <v>257861.87</v>
      </c>
    </row>
    <row r="47">
      <c r="A47" s="5" t="s">
        <v>359</v>
      </c>
      <c r="B47" s="5" t="s">
        <v>360</v>
      </c>
      <c r="C47" s="6" t="s">
        <v>361</v>
      </c>
      <c r="D47" s="6" t="s">
        <v>362</v>
      </c>
      <c r="E47" s="6" t="s">
        <v>245</v>
      </c>
      <c r="F47" s="5" t="s">
        <v>111</v>
      </c>
      <c r="G47" s="5" t="s">
        <v>112</v>
      </c>
      <c r="H47" s="5" t="s">
        <v>363</v>
      </c>
      <c r="J47" s="5" t="s">
        <v>364</v>
      </c>
      <c r="K47" s="5" t="s">
        <v>365</v>
      </c>
      <c r="L47" s="5">
        <v>-22.7122</v>
      </c>
      <c r="M47" s="5">
        <v>-62.1555</v>
      </c>
      <c r="N47" s="5"/>
      <c r="O47" s="5"/>
      <c r="P47" s="5">
        <v>1548.5</v>
      </c>
      <c r="Q47" s="5">
        <v>137.2</v>
      </c>
      <c r="R47" s="5">
        <v>7.64</v>
      </c>
      <c r="S47" s="5">
        <v>-44.9</v>
      </c>
      <c r="T47" s="5">
        <v>646.0</v>
      </c>
      <c r="U47" s="5">
        <v>0.2</v>
      </c>
      <c r="V47" s="5">
        <v>29.2</v>
      </c>
      <c r="W47" s="5">
        <v>5.17</v>
      </c>
      <c r="X47" s="5">
        <v>69.4</v>
      </c>
      <c r="Y47" s="5">
        <f t="shared" si="182"/>
        <v>1650</v>
      </c>
      <c r="Z47" s="5">
        <v>27780.0</v>
      </c>
      <c r="AA47" s="5">
        <v>337.5</v>
      </c>
      <c r="AB47" s="5">
        <v>27560.0</v>
      </c>
      <c r="AC47" s="5">
        <v>70.0</v>
      </c>
      <c r="AD47" s="5">
        <v>248.2</v>
      </c>
      <c r="AE47" s="5">
        <f t="shared" ref="AE47:AE50" si="189">0.5*0.1</f>
        <v>0.05</v>
      </c>
      <c r="AF47" s="5">
        <v>93.1</v>
      </c>
      <c r="AG47" s="5">
        <v>44.1</v>
      </c>
      <c r="AH47" s="5">
        <v>164.2</v>
      </c>
      <c r="AI47" s="5">
        <v>64.6</v>
      </c>
      <c r="AJ47" s="5">
        <v>20.8</v>
      </c>
      <c r="AK47" s="5">
        <v>37.3</v>
      </c>
      <c r="AL47" s="5">
        <v>4.51</v>
      </c>
      <c r="AM47" s="5">
        <v>162.0</v>
      </c>
      <c r="AN47" s="5">
        <v>84.9</v>
      </c>
      <c r="AO47" s="5">
        <v>43.5</v>
      </c>
      <c r="AP47" s="5">
        <v>21.9</v>
      </c>
      <c r="AQ47" s="5">
        <v>0.34</v>
      </c>
      <c r="AR47" s="5">
        <v>0.06</v>
      </c>
      <c r="AS47" s="5">
        <f t="shared" ref="AS47:AS48" si="190">0.5*0.3</f>
        <v>0.15</v>
      </c>
      <c r="AT47" s="5">
        <f t="shared" ref="AT47:AT50" si="191">0.5*0.01</f>
        <v>0.005</v>
      </c>
      <c r="AU47" s="5">
        <v>3.1</v>
      </c>
      <c r="AV47" s="5">
        <v>1.6</v>
      </c>
      <c r="AW47" s="5"/>
      <c r="AX47" s="5">
        <v>10.0</v>
      </c>
      <c r="AY47" s="5">
        <v>14.7</v>
      </c>
      <c r="AZ47" s="5"/>
      <c r="BA47" s="5"/>
      <c r="BB47" s="5"/>
      <c r="BC47" s="5">
        <v>240000.0</v>
      </c>
      <c r="BD47" s="5">
        <v>93000.0</v>
      </c>
      <c r="BE47" s="5">
        <v>31000.0</v>
      </c>
      <c r="BF47" s="5">
        <f t="shared" si="183"/>
        <v>25</v>
      </c>
      <c r="BG47" s="5">
        <v>18725.0</v>
      </c>
      <c r="BH47" s="5">
        <f t="shared" si="100"/>
        <v>5</v>
      </c>
      <c r="BI47" s="5">
        <f t="shared" ref="BI47:BI48" si="192">0.5*10</f>
        <v>5</v>
      </c>
      <c r="BJ47" s="5">
        <v>2.0</v>
      </c>
      <c r="BK47" s="5">
        <f t="shared" si="158"/>
        <v>0.5</v>
      </c>
      <c r="BL47" s="5">
        <f t="shared" si="43"/>
        <v>0.25</v>
      </c>
      <c r="BM47" s="5">
        <f t="shared" ref="BM47:BN47" si="188">0.5*50</f>
        <v>25</v>
      </c>
      <c r="BN47" s="5">
        <f t="shared" si="188"/>
        <v>25</v>
      </c>
      <c r="BO47" s="5">
        <f t="shared" si="15"/>
        <v>5</v>
      </c>
      <c r="BP47" s="5">
        <f t="shared" si="146"/>
        <v>5</v>
      </c>
      <c r="BQ47" s="5">
        <v>539.0</v>
      </c>
      <c r="BR47" s="5">
        <v>418.0</v>
      </c>
      <c r="BS47" s="5">
        <f t="shared" si="46"/>
        <v>2.5</v>
      </c>
      <c r="BT47" s="5">
        <f t="shared" si="147"/>
        <v>0.25</v>
      </c>
      <c r="BU47" s="5">
        <v>2.0</v>
      </c>
      <c r="BV47" s="5">
        <f t="shared" si="185"/>
        <v>0.5</v>
      </c>
      <c r="BW47" s="5">
        <v>232.0</v>
      </c>
      <c r="BX47" s="5">
        <v>354.0</v>
      </c>
      <c r="BY47" s="5">
        <v>1.4</v>
      </c>
      <c r="BZ47" s="5">
        <v>1879.0</v>
      </c>
      <c r="CA47" s="5">
        <f t="shared" si="186"/>
        <v>25</v>
      </c>
      <c r="CB47" s="5">
        <v>433.0</v>
      </c>
      <c r="CC47" s="5">
        <v>394.0</v>
      </c>
      <c r="CD47" s="5">
        <v>994.0</v>
      </c>
      <c r="CE47" s="5">
        <v>512977.0</v>
      </c>
      <c r="CF47" s="5">
        <f t="shared" si="149"/>
        <v>2.5</v>
      </c>
      <c r="CG47" s="5">
        <v>4.4</v>
      </c>
      <c r="CH47" s="5">
        <v>469.0</v>
      </c>
      <c r="CI47" s="5">
        <v>15.0</v>
      </c>
      <c r="CJ47" s="5">
        <f t="shared" si="168"/>
        <v>0.01</v>
      </c>
      <c r="CK47" s="5"/>
      <c r="CL47" s="5">
        <f t="shared" ref="CL47:CL50" si="195">0.5*1</f>
        <v>0.5</v>
      </c>
      <c r="CM47" s="5"/>
      <c r="CN47" s="5"/>
      <c r="CO47" s="5">
        <v>0.54</v>
      </c>
      <c r="CP47" s="5"/>
      <c r="CQ47" s="5">
        <v>35.9</v>
      </c>
      <c r="CR47" s="5">
        <v>15.71</v>
      </c>
      <c r="CS47" s="5">
        <v>679.43</v>
      </c>
      <c r="CT47" s="5">
        <v>16.94</v>
      </c>
      <c r="CU47" s="5">
        <v>14.3</v>
      </c>
      <c r="CV47" s="5">
        <v>68.18</v>
      </c>
      <c r="CW47" s="5">
        <v>8.35</v>
      </c>
      <c r="CX47" s="5">
        <v>0.16</v>
      </c>
      <c r="CY47" s="5">
        <v>12.84</v>
      </c>
      <c r="CZ47" s="5"/>
      <c r="DA47" s="5">
        <v>0.05</v>
      </c>
      <c r="DB47" s="5">
        <v>18597.93</v>
      </c>
    </row>
    <row r="48">
      <c r="A48" s="5" t="s">
        <v>366</v>
      </c>
      <c r="B48" s="5" t="s">
        <v>367</v>
      </c>
      <c r="C48" s="6" t="s">
        <v>361</v>
      </c>
      <c r="D48" s="6" t="s">
        <v>368</v>
      </c>
      <c r="E48" s="6" t="s">
        <v>245</v>
      </c>
      <c r="F48" s="5" t="s">
        <v>111</v>
      </c>
      <c r="G48" s="5" t="s">
        <v>112</v>
      </c>
      <c r="H48" s="5" t="s">
        <v>231</v>
      </c>
      <c r="I48" s="5" t="s">
        <v>232</v>
      </c>
      <c r="J48" s="5" t="s">
        <v>369</v>
      </c>
      <c r="K48" s="5" t="s">
        <v>370</v>
      </c>
      <c r="L48" s="5">
        <v>-22.7002</v>
      </c>
      <c r="M48" s="5">
        <v>-62.1931</v>
      </c>
      <c r="N48" s="5"/>
      <c r="O48" s="5"/>
      <c r="P48" s="5">
        <v>1542.0</v>
      </c>
      <c r="Q48" s="5">
        <v>135.4</v>
      </c>
      <c r="R48" s="5">
        <v>7.72</v>
      </c>
      <c r="S48" s="5">
        <v>-48.7</v>
      </c>
      <c r="T48" s="5">
        <v>648.5</v>
      </c>
      <c r="U48" s="5">
        <v>0.2</v>
      </c>
      <c r="V48" s="5">
        <v>29.1</v>
      </c>
      <c r="W48" s="5">
        <v>5.12</v>
      </c>
      <c r="X48" s="5">
        <v>69.0</v>
      </c>
      <c r="Y48" s="5">
        <f t="shared" si="182"/>
        <v>1650</v>
      </c>
      <c r="Z48" s="5">
        <v>27930.0</v>
      </c>
      <c r="AA48" s="5">
        <v>275.0</v>
      </c>
      <c r="AB48" s="5">
        <v>27790.0</v>
      </c>
      <c r="AC48" s="5">
        <v>250.0</v>
      </c>
      <c r="AD48" s="5">
        <v>241.4</v>
      </c>
      <c r="AE48" s="5">
        <f t="shared" si="189"/>
        <v>0.05</v>
      </c>
      <c r="AF48" s="5">
        <v>93.3</v>
      </c>
      <c r="AG48" s="5">
        <v>43.1</v>
      </c>
      <c r="AH48" s="5">
        <v>156.8</v>
      </c>
      <c r="AI48" s="5">
        <v>60.9</v>
      </c>
      <c r="AJ48" s="5">
        <v>21.4</v>
      </c>
      <c r="AK48" s="5">
        <v>34.4</v>
      </c>
      <c r="AL48" s="5">
        <v>4.58</v>
      </c>
      <c r="AM48" s="5">
        <v>147.4</v>
      </c>
      <c r="AN48" s="5">
        <v>75.3</v>
      </c>
      <c r="AO48" s="5">
        <v>43.3</v>
      </c>
      <c r="AP48" s="5">
        <v>19.0</v>
      </c>
      <c r="AQ48" s="5">
        <v>2.3</v>
      </c>
      <c r="AR48" s="5">
        <v>0.12</v>
      </c>
      <c r="AS48" s="5">
        <f t="shared" si="190"/>
        <v>0.15</v>
      </c>
      <c r="AT48" s="5">
        <f t="shared" si="191"/>
        <v>0.005</v>
      </c>
      <c r="AU48" s="5">
        <v>3.3</v>
      </c>
      <c r="AV48" s="5">
        <v>1.77</v>
      </c>
      <c r="AW48" s="5"/>
      <c r="AX48" s="5">
        <v>10.9</v>
      </c>
      <c r="AY48" s="5">
        <v>13.0</v>
      </c>
      <c r="AZ48" s="5"/>
      <c r="BA48" s="5"/>
      <c r="BB48" s="5"/>
      <c r="BC48" s="5">
        <v>210000.0</v>
      </c>
      <c r="BD48" s="5">
        <v>150000.0</v>
      </c>
      <c r="BE48" s="5">
        <v>38000.0</v>
      </c>
      <c r="BF48" s="5">
        <f t="shared" si="183"/>
        <v>25</v>
      </c>
      <c r="BG48" s="5">
        <v>7963.0</v>
      </c>
      <c r="BH48" s="5">
        <f t="shared" si="100"/>
        <v>5</v>
      </c>
      <c r="BI48" s="5">
        <f t="shared" si="192"/>
        <v>5</v>
      </c>
      <c r="BJ48" s="5">
        <f t="shared" ref="BJ48:BK48" si="193">0.5*1</f>
        <v>0.5</v>
      </c>
      <c r="BK48" s="5">
        <f t="shared" si="193"/>
        <v>0.5</v>
      </c>
      <c r="BL48" s="5">
        <f t="shared" si="43"/>
        <v>0.25</v>
      </c>
      <c r="BM48" s="5">
        <f t="shared" ref="BM48:BN48" si="194">0.5*50</f>
        <v>25</v>
      </c>
      <c r="BN48" s="5">
        <f t="shared" si="194"/>
        <v>25</v>
      </c>
      <c r="BO48" s="5">
        <f t="shared" si="15"/>
        <v>5</v>
      </c>
      <c r="BP48" s="5">
        <f t="shared" si="146"/>
        <v>5</v>
      </c>
      <c r="BQ48" s="5">
        <v>512.0</v>
      </c>
      <c r="BR48" s="5">
        <f>0.5*100</f>
        <v>50</v>
      </c>
      <c r="BS48" s="5">
        <f t="shared" si="46"/>
        <v>2.5</v>
      </c>
      <c r="BT48" s="5">
        <f t="shared" si="147"/>
        <v>0.25</v>
      </c>
      <c r="BU48" s="5">
        <v>1.0</v>
      </c>
      <c r="BV48" s="5">
        <f t="shared" si="185"/>
        <v>0.5</v>
      </c>
      <c r="BW48" s="5">
        <v>72.0</v>
      </c>
      <c r="BX48" s="5">
        <v>120.0</v>
      </c>
      <c r="BY48" s="5">
        <v>0.9</v>
      </c>
      <c r="BZ48" s="5">
        <v>1186.0</v>
      </c>
      <c r="CA48" s="5">
        <f t="shared" si="186"/>
        <v>25</v>
      </c>
      <c r="CB48" s="5">
        <v>151.0</v>
      </c>
      <c r="CC48" s="5">
        <v>178.0</v>
      </c>
      <c r="CD48" s="5">
        <v>644.0</v>
      </c>
      <c r="CE48" s="5">
        <v>265334.0</v>
      </c>
      <c r="CF48" s="5">
        <f t="shared" si="149"/>
        <v>2.5</v>
      </c>
      <c r="CG48" s="5">
        <v>2.2</v>
      </c>
      <c r="CH48" s="5">
        <v>225.0</v>
      </c>
      <c r="CI48" s="5">
        <v>7.0</v>
      </c>
      <c r="CJ48" s="5">
        <f t="shared" si="168"/>
        <v>0.01</v>
      </c>
      <c r="CK48" s="5"/>
      <c r="CL48" s="5">
        <f t="shared" si="195"/>
        <v>0.5</v>
      </c>
      <c r="CM48" s="5"/>
      <c r="CN48" s="5"/>
      <c r="CO48" s="5">
        <v>0.25</v>
      </c>
      <c r="CP48" s="5"/>
      <c r="CQ48" s="5">
        <v>23.01</v>
      </c>
      <c r="CR48" s="5">
        <v>5.43</v>
      </c>
      <c r="CS48" s="5">
        <v>286.54</v>
      </c>
      <c r="CT48" s="5">
        <v>8.06</v>
      </c>
      <c r="CU48" s="5">
        <v>6.41</v>
      </c>
      <c r="CV48" s="5">
        <v>42.68</v>
      </c>
      <c r="CW48" s="5">
        <v>2.59</v>
      </c>
      <c r="CX48" s="5">
        <v>0.08</v>
      </c>
      <c r="CY48" s="5">
        <v>4.32</v>
      </c>
      <c r="CZ48" s="5"/>
      <c r="DA48" s="5">
        <v>0.03</v>
      </c>
      <c r="DB48" s="5">
        <v>9547.82</v>
      </c>
    </row>
    <row r="49">
      <c r="A49" s="5" t="s">
        <v>371</v>
      </c>
      <c r="B49" s="5" t="s">
        <v>372</v>
      </c>
      <c r="C49" s="6" t="s">
        <v>373</v>
      </c>
      <c r="D49" s="6" t="s">
        <v>280</v>
      </c>
      <c r="E49" s="6" t="s">
        <v>245</v>
      </c>
      <c r="F49" s="5" t="s">
        <v>111</v>
      </c>
      <c r="G49" s="5" t="s">
        <v>112</v>
      </c>
      <c r="H49" s="5" t="s">
        <v>126</v>
      </c>
      <c r="J49" s="5" t="s">
        <v>374</v>
      </c>
      <c r="K49" s="5" t="s">
        <v>375</v>
      </c>
      <c r="L49" s="5">
        <v>-23.1698</v>
      </c>
      <c r="M49" s="5">
        <v>-61.6248</v>
      </c>
      <c r="N49" s="5"/>
      <c r="O49" s="5"/>
      <c r="P49" s="5">
        <v>1404.0</v>
      </c>
      <c r="Q49" s="5">
        <v>148.5</v>
      </c>
      <c r="R49" s="5">
        <v>7.62</v>
      </c>
      <c r="S49" s="5">
        <v>-43.95</v>
      </c>
      <c r="T49" s="5">
        <v>712.0</v>
      </c>
      <c r="U49" s="5">
        <v>0.3</v>
      </c>
      <c r="V49" s="5">
        <v>31.3</v>
      </c>
      <c r="W49" s="5">
        <v>5.44</v>
      </c>
      <c r="X49" s="5">
        <v>73.5</v>
      </c>
      <c r="Y49" s="5">
        <f t="shared" si="182"/>
        <v>1650</v>
      </c>
      <c r="Z49" s="5">
        <v>28310.0</v>
      </c>
      <c r="AA49" s="5">
        <v>387.5</v>
      </c>
      <c r="AB49" s="5">
        <v>28000.0</v>
      </c>
      <c r="AC49" s="5">
        <v>74.0</v>
      </c>
      <c r="AD49" s="5">
        <v>265.4</v>
      </c>
      <c r="AE49" s="5">
        <f t="shared" si="189"/>
        <v>0.05</v>
      </c>
      <c r="AF49" s="5">
        <v>93.0</v>
      </c>
      <c r="AG49" s="5">
        <v>49.9</v>
      </c>
      <c r="AH49" s="5">
        <v>167.9</v>
      </c>
      <c r="AI49" s="5">
        <v>69.5</v>
      </c>
      <c r="AJ49" s="5">
        <v>22.0</v>
      </c>
      <c r="AK49" s="5">
        <v>38.8</v>
      </c>
      <c r="AL49" s="5">
        <v>4.89</v>
      </c>
      <c r="AM49" s="5">
        <v>150.4</v>
      </c>
      <c r="AN49" s="5">
        <v>68.8</v>
      </c>
      <c r="AO49" s="5">
        <v>47.8</v>
      </c>
      <c r="AP49" s="5">
        <v>17.9</v>
      </c>
      <c r="AQ49" s="5">
        <v>0.34</v>
      </c>
      <c r="AR49" s="5">
        <v>0.09</v>
      </c>
      <c r="AS49" s="5">
        <v>0.45</v>
      </c>
      <c r="AT49" s="5">
        <f t="shared" si="191"/>
        <v>0.005</v>
      </c>
      <c r="AU49" s="5">
        <v>3.6</v>
      </c>
      <c r="AV49" s="5">
        <v>1.5</v>
      </c>
      <c r="AW49" s="5"/>
      <c r="AX49" s="5">
        <v>16.0</v>
      </c>
      <c r="AY49" s="5">
        <v>18.6</v>
      </c>
      <c r="AZ49" s="5"/>
      <c r="BA49" s="5"/>
      <c r="BB49" s="5"/>
      <c r="BC49" s="5"/>
      <c r="BD49" s="5"/>
      <c r="BE49" s="5"/>
      <c r="BF49" s="5">
        <f t="shared" si="183"/>
        <v>25</v>
      </c>
      <c r="BG49" s="5">
        <v>16131.0</v>
      </c>
      <c r="BH49" s="5">
        <f t="shared" si="100"/>
        <v>5</v>
      </c>
      <c r="BI49" s="5">
        <v>16.0</v>
      </c>
      <c r="BJ49" s="5">
        <v>2.0</v>
      </c>
      <c r="BK49" s="5">
        <f t="shared" ref="BK49:BK50" si="197">0.5*1</f>
        <v>0.5</v>
      </c>
      <c r="BL49" s="5">
        <f t="shared" si="43"/>
        <v>0.25</v>
      </c>
      <c r="BM49" s="5">
        <f t="shared" ref="BM49:BN49" si="196">0.5*50</f>
        <v>25</v>
      </c>
      <c r="BN49" s="5">
        <f t="shared" si="196"/>
        <v>25</v>
      </c>
      <c r="BO49" s="5">
        <f t="shared" si="15"/>
        <v>5</v>
      </c>
      <c r="BP49" s="5">
        <f t="shared" si="146"/>
        <v>5</v>
      </c>
      <c r="BQ49" s="5">
        <v>645.0</v>
      </c>
      <c r="BR49" s="5">
        <v>150.0</v>
      </c>
      <c r="BS49" s="5">
        <f t="shared" si="46"/>
        <v>2.5</v>
      </c>
      <c r="BT49" s="5">
        <f t="shared" si="147"/>
        <v>0.25</v>
      </c>
      <c r="BU49" s="5">
        <v>1.0</v>
      </c>
      <c r="BV49" s="5">
        <f t="shared" si="185"/>
        <v>0.5</v>
      </c>
      <c r="BW49" s="5">
        <v>382.0</v>
      </c>
      <c r="BX49" s="5">
        <v>664.0</v>
      </c>
      <c r="BY49" s="5">
        <v>1.4</v>
      </c>
      <c r="BZ49" s="5">
        <v>2542.0</v>
      </c>
      <c r="CA49" s="5">
        <f t="shared" si="186"/>
        <v>25</v>
      </c>
      <c r="CB49" s="5">
        <v>676.0</v>
      </c>
      <c r="CC49" s="5">
        <v>680.0</v>
      </c>
      <c r="CD49" s="5">
        <v>1367.0</v>
      </c>
      <c r="CE49" s="5">
        <v>1264130.0</v>
      </c>
      <c r="CF49" s="5">
        <f t="shared" si="149"/>
        <v>2.5</v>
      </c>
      <c r="CG49" s="5">
        <v>4.7</v>
      </c>
      <c r="CH49" s="5">
        <v>722.0</v>
      </c>
      <c r="CI49" s="5">
        <v>23.0</v>
      </c>
      <c r="CJ49" s="5">
        <f t="shared" si="168"/>
        <v>0.01</v>
      </c>
      <c r="CK49" s="5"/>
      <c r="CL49" s="5">
        <f t="shared" si="195"/>
        <v>0.5</v>
      </c>
      <c r="CM49" s="5"/>
      <c r="CN49" s="5">
        <v>0.57</v>
      </c>
      <c r="CO49" s="5">
        <v>0.82</v>
      </c>
      <c r="CP49" s="5"/>
      <c r="CQ49" s="5">
        <v>48.65</v>
      </c>
      <c r="CR49" s="5">
        <v>24.14</v>
      </c>
      <c r="CS49" s="5">
        <v>576.11</v>
      </c>
      <c r="CT49" s="5">
        <v>25.75</v>
      </c>
      <c r="CU49" s="5">
        <v>24.29</v>
      </c>
      <c r="CV49" s="5">
        <v>90.79</v>
      </c>
      <c r="CW49" s="5">
        <v>13.57</v>
      </c>
      <c r="CX49" s="5">
        <v>0.17</v>
      </c>
      <c r="CY49" s="5">
        <v>23.71</v>
      </c>
      <c r="CZ49" s="5"/>
      <c r="DA49" s="5">
        <v>0.05</v>
      </c>
      <c r="DB49" s="5">
        <v>45142.29</v>
      </c>
    </row>
    <row r="50">
      <c r="A50" s="5" t="s">
        <v>376</v>
      </c>
      <c r="B50" s="5" t="s">
        <v>377</v>
      </c>
      <c r="C50" s="6" t="s">
        <v>373</v>
      </c>
      <c r="D50" s="6" t="s">
        <v>378</v>
      </c>
      <c r="E50" s="6" t="s">
        <v>245</v>
      </c>
      <c r="F50" s="5" t="s">
        <v>111</v>
      </c>
      <c r="G50" s="5" t="s">
        <v>112</v>
      </c>
      <c r="H50" s="5" t="s">
        <v>126</v>
      </c>
      <c r="J50" s="5" t="s">
        <v>379</v>
      </c>
      <c r="K50" s="5" t="s">
        <v>380</v>
      </c>
      <c r="L50" s="5">
        <v>-22.8601</v>
      </c>
      <c r="M50" s="5">
        <v>-62.0192</v>
      </c>
      <c r="N50" s="5"/>
      <c r="O50" s="5"/>
      <c r="P50" s="5">
        <v>1373.0</v>
      </c>
      <c r="Q50" s="5">
        <v>145.0</v>
      </c>
      <c r="R50" s="5">
        <v>7.628</v>
      </c>
      <c r="S50" s="5">
        <v>-43.8</v>
      </c>
      <c r="T50" s="5">
        <v>728.0</v>
      </c>
      <c r="U50" s="5">
        <v>0.3</v>
      </c>
      <c r="V50" s="5">
        <v>29.9</v>
      </c>
      <c r="W50" s="5">
        <v>5.36</v>
      </c>
      <c r="X50" s="5">
        <v>74.0</v>
      </c>
      <c r="Y50" s="5">
        <f t="shared" si="182"/>
        <v>1650</v>
      </c>
      <c r="Z50" s="5">
        <v>18740.0</v>
      </c>
      <c r="AA50" s="5">
        <v>250.0</v>
      </c>
      <c r="AB50" s="5">
        <v>18660.0</v>
      </c>
      <c r="AC50" s="5">
        <v>136.0</v>
      </c>
      <c r="AD50" s="5">
        <v>259.4</v>
      </c>
      <c r="AE50" s="5">
        <f t="shared" si="189"/>
        <v>0.05</v>
      </c>
      <c r="AF50" s="5">
        <v>92.4</v>
      </c>
      <c r="AG50" s="5">
        <v>54.0</v>
      </c>
      <c r="AH50" s="5">
        <v>170.8</v>
      </c>
      <c r="AI50" s="5">
        <v>66.1</v>
      </c>
      <c r="AJ50" s="5">
        <v>22.6</v>
      </c>
      <c r="AK50" s="5">
        <v>42.9</v>
      </c>
      <c r="AL50" s="5">
        <v>4.8</v>
      </c>
      <c r="AM50" s="5">
        <v>113.0</v>
      </c>
      <c r="AN50" s="5">
        <v>55.0</v>
      </c>
      <c r="AO50" s="5">
        <v>57.3</v>
      </c>
      <c r="AP50" s="5">
        <v>14.7</v>
      </c>
      <c r="AQ50" s="5">
        <v>3.37</v>
      </c>
      <c r="AR50" s="5">
        <v>0.18</v>
      </c>
      <c r="AS50" s="5">
        <f>0.5*0.3</f>
        <v>0.15</v>
      </c>
      <c r="AT50" s="5">
        <f t="shared" si="191"/>
        <v>0.005</v>
      </c>
      <c r="AU50" s="5">
        <v>4.6</v>
      </c>
      <c r="AV50" s="5">
        <v>1.6</v>
      </c>
      <c r="AW50" s="5"/>
      <c r="AX50" s="5">
        <v>7.0</v>
      </c>
      <c r="AY50" s="5">
        <v>11.5</v>
      </c>
      <c r="AZ50" s="5"/>
      <c r="BA50" s="5"/>
      <c r="BB50" s="5"/>
      <c r="BC50" s="5"/>
      <c r="BD50" s="5"/>
      <c r="BE50" s="5"/>
      <c r="BF50" s="5">
        <f t="shared" si="183"/>
        <v>25</v>
      </c>
      <c r="BG50" s="5">
        <v>5191.0</v>
      </c>
      <c r="BH50" s="5">
        <f t="shared" si="100"/>
        <v>5</v>
      </c>
      <c r="BI50" s="5">
        <f>0.5*10</f>
        <v>5</v>
      </c>
      <c r="BJ50" s="5">
        <v>2.0</v>
      </c>
      <c r="BK50" s="5">
        <f t="shared" si="197"/>
        <v>0.5</v>
      </c>
      <c r="BL50" s="5">
        <f t="shared" si="43"/>
        <v>0.25</v>
      </c>
      <c r="BM50" s="5">
        <f t="shared" ref="BM50:BN50" si="198">0.5*50</f>
        <v>25</v>
      </c>
      <c r="BN50" s="5">
        <f t="shared" si="198"/>
        <v>25</v>
      </c>
      <c r="BO50" s="5">
        <f t="shared" si="15"/>
        <v>5</v>
      </c>
      <c r="BP50" s="5">
        <f t="shared" si="146"/>
        <v>5</v>
      </c>
      <c r="BQ50" s="5">
        <v>678.0</v>
      </c>
      <c r="BR50" s="5">
        <v>120.0</v>
      </c>
      <c r="BS50" s="5">
        <f t="shared" si="46"/>
        <v>2.5</v>
      </c>
      <c r="BT50" s="5">
        <f t="shared" si="147"/>
        <v>0.25</v>
      </c>
      <c r="BU50" s="5">
        <v>2.0</v>
      </c>
      <c r="BV50" s="5">
        <f t="shared" si="185"/>
        <v>0.5</v>
      </c>
      <c r="BW50" s="5">
        <v>103.0</v>
      </c>
      <c r="BX50" s="5">
        <v>182.0</v>
      </c>
      <c r="BY50" s="5">
        <v>0.8</v>
      </c>
      <c r="BZ50" s="5">
        <v>734.0</v>
      </c>
      <c r="CA50" s="5">
        <f t="shared" si="186"/>
        <v>25</v>
      </c>
      <c r="CB50" s="5">
        <v>227.0</v>
      </c>
      <c r="CC50" s="5">
        <v>164.0</v>
      </c>
      <c r="CD50" s="5">
        <v>954.0</v>
      </c>
      <c r="CE50" s="5">
        <v>181794.0</v>
      </c>
      <c r="CF50" s="5">
        <f t="shared" si="149"/>
        <v>2.5</v>
      </c>
      <c r="CG50" s="5">
        <v>1.6</v>
      </c>
      <c r="CH50" s="5">
        <v>174.0</v>
      </c>
      <c r="CI50" s="5">
        <v>5.0</v>
      </c>
      <c r="CJ50" s="5">
        <f t="shared" si="168"/>
        <v>0.01</v>
      </c>
      <c r="CK50" s="5"/>
      <c r="CL50" s="5">
        <f t="shared" si="195"/>
        <v>0.5</v>
      </c>
      <c r="CM50" s="5"/>
      <c r="CN50" s="5"/>
      <c r="CO50" s="5">
        <v>0.27</v>
      </c>
      <c r="CP50" s="5"/>
      <c r="CQ50" s="5">
        <v>50.87</v>
      </c>
      <c r="CR50" s="5">
        <v>12.17</v>
      </c>
      <c r="CS50" s="5">
        <v>278.19</v>
      </c>
      <c r="CT50" s="5">
        <v>9.22</v>
      </c>
      <c r="CU50" s="5">
        <v>8.79</v>
      </c>
      <c r="CV50" s="5">
        <v>39.34</v>
      </c>
      <c r="CW50" s="5">
        <v>5.41</v>
      </c>
      <c r="CX50" s="5">
        <v>0.09</v>
      </c>
      <c r="CY50" s="5">
        <v>9.75</v>
      </c>
      <c r="CZ50" s="5"/>
      <c r="DA50" s="5">
        <v>0.04</v>
      </c>
      <c r="DB50" s="5">
        <v>9736.01</v>
      </c>
    </row>
    <row r="51">
      <c r="C51" s="8"/>
      <c r="D51" s="8"/>
      <c r="E51" s="8"/>
    </row>
    <row r="52">
      <c r="C52" s="8"/>
      <c r="D52" s="8"/>
      <c r="E52" s="8"/>
    </row>
  </sheetData>
  <drawing r:id="rId1"/>
</worksheet>
</file>